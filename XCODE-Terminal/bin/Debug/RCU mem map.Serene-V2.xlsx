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Intel\Visual Studio 2010\XCODE-Terminal\XCODE-Terminal\bin\Debug\"/>
    </mc:Choice>
  </mc:AlternateContent>
  <xr:revisionPtr revIDLastSave="0" documentId="13_ncr:1_{975EE764-B295-4FB2-A6A7-D8BCA5E76AB0}" xr6:coauthVersionLast="45" xr6:coauthVersionMax="47" xr10:uidLastSave="{00000000-0000-0000-0000-000000000000}"/>
  <bookViews>
    <workbookView xWindow="3120" yWindow="3120" windowWidth="21600" windowHeight="11505" tabRatio="735" activeTab="2" xr2:uid="{00000000-000D-0000-FFFF-FFFF00000000}"/>
  </bookViews>
  <sheets>
    <sheet name="XLog" sheetId="19" r:id="rId1"/>
    <sheet name="Device" sheetId="1" r:id="rId2"/>
    <sheet name="XCODE" sheetId="15" r:id="rId3"/>
    <sheet name="Program" sheetId="12" r:id="rId4"/>
    <sheet name="Settings" sheetId="3" r:id="rId5"/>
    <sheet name="CustomVar" sheetId="17" r:id="rId6"/>
    <sheet name="Calc" sheetId="14" r:id="rId7"/>
    <sheet name="MemoryVar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78" i="15" l="1"/>
  <c r="B679" i="15"/>
  <c r="B66" i="3" l="1"/>
  <c r="B65" i="3"/>
  <c r="B64" i="3"/>
  <c r="B63" i="3"/>
  <c r="B62" i="3"/>
  <c r="I104" i="1" l="1"/>
  <c r="H104" i="1" s="1"/>
  <c r="I105" i="1"/>
  <c r="H105" i="1" s="1"/>
  <c r="I106" i="1" l="1"/>
  <c r="H106" i="1" l="1"/>
  <c r="I107" i="1"/>
  <c r="I108" i="1" l="1"/>
  <c r="H107" i="1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2" i="3"/>
  <c r="B197" i="3"/>
  <c r="B198" i="3"/>
  <c r="B199" i="3"/>
  <c r="B200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H108" i="1" l="1"/>
  <c r="I109" i="1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1057" i="3"/>
  <c r="A1057" i="3"/>
  <c r="B1056" i="3"/>
  <c r="A1056" i="3"/>
  <c r="B1055" i="3"/>
  <c r="A1055" i="3"/>
  <c r="B1054" i="3"/>
  <c r="A1054" i="3"/>
  <c r="B1053" i="3"/>
  <c r="A1053" i="3"/>
  <c r="B1052" i="3"/>
  <c r="A1052" i="3"/>
  <c r="B1051" i="3"/>
  <c r="A1051" i="3"/>
  <c r="B1050" i="3"/>
  <c r="A1050" i="3"/>
  <c r="B1049" i="3"/>
  <c r="A1049" i="3"/>
  <c r="B1048" i="3"/>
  <c r="A1048" i="3"/>
  <c r="B1047" i="3"/>
  <c r="A1047" i="3"/>
  <c r="B1046" i="3"/>
  <c r="A1046" i="3"/>
  <c r="B1045" i="3"/>
  <c r="A1045" i="3"/>
  <c r="B1044" i="3"/>
  <c r="A1044" i="3"/>
  <c r="B1043" i="3"/>
  <c r="A1043" i="3"/>
  <c r="B1042" i="3"/>
  <c r="A1042" i="3"/>
  <c r="B1041" i="3"/>
  <c r="A1041" i="3"/>
  <c r="B1040" i="3"/>
  <c r="A1040" i="3"/>
  <c r="B1039" i="3"/>
  <c r="A1039" i="3"/>
  <c r="B1038" i="3"/>
  <c r="A1038" i="3"/>
  <c r="B1037" i="3"/>
  <c r="A1037" i="3"/>
  <c r="B1036" i="3"/>
  <c r="A1036" i="3"/>
  <c r="B1035" i="3"/>
  <c r="A1035" i="3"/>
  <c r="B1034" i="3"/>
  <c r="A1034" i="3"/>
  <c r="B1033" i="3"/>
  <c r="A1033" i="3"/>
  <c r="B1032" i="3"/>
  <c r="A1032" i="3"/>
  <c r="B1031" i="3"/>
  <c r="A1031" i="3"/>
  <c r="B1030" i="3"/>
  <c r="A1030" i="3"/>
  <c r="B1029" i="3"/>
  <c r="A1029" i="3"/>
  <c r="B1028" i="3"/>
  <c r="A1028" i="3"/>
  <c r="B1027" i="3"/>
  <c r="A1027" i="3"/>
  <c r="B1026" i="3"/>
  <c r="A1026" i="3"/>
  <c r="B1025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I123" i="3"/>
  <c r="A123" i="3"/>
  <c r="A122" i="3"/>
  <c r="A121" i="3"/>
  <c r="A120" i="3"/>
  <c r="I119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K65" i="3"/>
  <c r="L65" i="3" s="1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1" i="3"/>
  <c r="I6" i="1"/>
  <c r="H5" i="1"/>
  <c r="K104" i="14"/>
  <c r="E106" i="14"/>
  <c r="D106" i="14"/>
  <c r="E105" i="14"/>
  <c r="D105" i="14"/>
  <c r="E104" i="14"/>
  <c r="D104" i="14"/>
  <c r="E103" i="14"/>
  <c r="D103" i="14"/>
  <c r="E102" i="14"/>
  <c r="D102" i="14"/>
  <c r="E101" i="14"/>
  <c r="D101" i="14"/>
  <c r="E100" i="14"/>
  <c r="D100" i="14"/>
  <c r="E99" i="14"/>
  <c r="D99" i="14"/>
  <c r="E98" i="14"/>
  <c r="D98" i="14"/>
  <c r="E97" i="14"/>
  <c r="D97" i="14"/>
  <c r="E96" i="14"/>
  <c r="D96" i="14"/>
  <c r="E95" i="14"/>
  <c r="D95" i="14"/>
  <c r="D91" i="14"/>
  <c r="C91" i="14"/>
  <c r="B91" i="14"/>
  <c r="D90" i="14"/>
  <c r="C90" i="14"/>
  <c r="B90" i="14"/>
  <c r="D89" i="14"/>
  <c r="C89" i="14"/>
  <c r="B89" i="14"/>
  <c r="D88" i="14"/>
  <c r="C88" i="14"/>
  <c r="B88" i="14"/>
  <c r="D87" i="14"/>
  <c r="C87" i="14"/>
  <c r="B87" i="14"/>
  <c r="D86" i="14"/>
  <c r="C86" i="14"/>
  <c r="B86" i="14"/>
  <c r="D85" i="14"/>
  <c r="C85" i="14"/>
  <c r="B85" i="14"/>
  <c r="D84" i="14"/>
  <c r="C84" i="14"/>
  <c r="B84" i="14"/>
  <c r="D83" i="14"/>
  <c r="C83" i="14"/>
  <c r="B83" i="14"/>
  <c r="D82" i="14"/>
  <c r="C82" i="14"/>
  <c r="B82" i="14"/>
  <c r="D81" i="14"/>
  <c r="C81" i="14"/>
  <c r="B81" i="14"/>
  <c r="D80" i="14"/>
  <c r="C80" i="14"/>
  <c r="B80" i="14"/>
  <c r="D79" i="14"/>
  <c r="C79" i="14"/>
  <c r="B79" i="14"/>
  <c r="D78" i="14"/>
  <c r="C78" i="14"/>
  <c r="B78" i="14"/>
  <c r="D77" i="14"/>
  <c r="C77" i="14"/>
  <c r="B77" i="14"/>
  <c r="D76" i="14"/>
  <c r="C76" i="14"/>
  <c r="B76" i="14"/>
  <c r="D75" i="14"/>
  <c r="C75" i="14"/>
  <c r="B75" i="14"/>
  <c r="D74" i="14"/>
  <c r="C74" i="14"/>
  <c r="B74" i="14"/>
  <c r="D73" i="14"/>
  <c r="C73" i="14"/>
  <c r="B73" i="14"/>
  <c r="D72" i="14"/>
  <c r="C72" i="14"/>
  <c r="B72" i="14"/>
  <c r="D71" i="14"/>
  <c r="C71" i="14"/>
  <c r="B71" i="14"/>
  <c r="D70" i="14"/>
  <c r="C70" i="14"/>
  <c r="B70" i="14"/>
  <c r="D69" i="14"/>
  <c r="C69" i="14"/>
  <c r="B69" i="14"/>
  <c r="D68" i="14"/>
  <c r="C68" i="14"/>
  <c r="B68" i="14"/>
  <c r="D67" i="14"/>
  <c r="C67" i="14"/>
  <c r="B67" i="14"/>
  <c r="D66" i="14"/>
  <c r="C66" i="14"/>
  <c r="B66" i="14"/>
  <c r="D65" i="14"/>
  <c r="C65" i="14"/>
  <c r="B65" i="14"/>
  <c r="D64" i="14"/>
  <c r="C64" i="14"/>
  <c r="B64" i="14"/>
  <c r="D63" i="14"/>
  <c r="C63" i="14"/>
  <c r="B63" i="14"/>
  <c r="D62" i="14"/>
  <c r="C62" i="14"/>
  <c r="B62" i="14"/>
  <c r="D61" i="14"/>
  <c r="C61" i="14"/>
  <c r="B61" i="14"/>
  <c r="D60" i="14"/>
  <c r="C60" i="14"/>
  <c r="B60" i="14"/>
  <c r="D59" i="14"/>
  <c r="C59" i="14"/>
  <c r="B59" i="14"/>
  <c r="D58" i="14"/>
  <c r="C58" i="14"/>
  <c r="B58" i="14"/>
  <c r="D57" i="14"/>
  <c r="C57" i="14"/>
  <c r="B57" i="14"/>
  <c r="D56" i="14"/>
  <c r="C56" i="14"/>
  <c r="B56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17" i="14"/>
  <c r="D52" i="14"/>
  <c r="B52" i="14"/>
  <c r="D51" i="14"/>
  <c r="B51" i="14"/>
  <c r="D50" i="14"/>
  <c r="B50" i="14"/>
  <c r="D49" i="14"/>
  <c r="B49" i="14"/>
  <c r="D48" i="14"/>
  <c r="B48" i="14"/>
  <c r="D47" i="14"/>
  <c r="B47" i="14"/>
  <c r="D46" i="14"/>
  <c r="B46" i="14"/>
  <c r="D45" i="14"/>
  <c r="B45" i="14"/>
  <c r="D44" i="14"/>
  <c r="B44" i="14"/>
  <c r="D43" i="14"/>
  <c r="B43" i="14"/>
  <c r="D42" i="14"/>
  <c r="B42" i="14"/>
  <c r="D41" i="14"/>
  <c r="B41" i="14"/>
  <c r="D40" i="14"/>
  <c r="B40" i="14"/>
  <c r="D39" i="14"/>
  <c r="B39" i="14"/>
  <c r="D38" i="14"/>
  <c r="B38" i="14"/>
  <c r="D37" i="14"/>
  <c r="B37" i="14"/>
  <c r="D36" i="14"/>
  <c r="B36" i="14"/>
  <c r="D35" i="14"/>
  <c r="B35" i="14"/>
  <c r="D34" i="14"/>
  <c r="B34" i="14"/>
  <c r="D33" i="14"/>
  <c r="B33" i="14"/>
  <c r="D32" i="14"/>
  <c r="B32" i="14"/>
  <c r="D31" i="14"/>
  <c r="B31" i="14"/>
  <c r="D30" i="14"/>
  <c r="B30" i="14"/>
  <c r="D29" i="14"/>
  <c r="B29" i="14"/>
  <c r="D28" i="14"/>
  <c r="B28" i="14"/>
  <c r="D27" i="14"/>
  <c r="B27" i="14"/>
  <c r="D26" i="14"/>
  <c r="B26" i="14"/>
  <c r="D25" i="14"/>
  <c r="B25" i="14"/>
  <c r="D24" i="14"/>
  <c r="B24" i="14"/>
  <c r="D23" i="14"/>
  <c r="B23" i="14"/>
  <c r="D22" i="14"/>
  <c r="B22" i="14"/>
  <c r="D21" i="14"/>
  <c r="B21" i="14"/>
  <c r="D20" i="14"/>
  <c r="B20" i="14"/>
  <c r="D19" i="14"/>
  <c r="B19" i="14"/>
  <c r="D18" i="14"/>
  <c r="B18" i="14"/>
  <c r="B17" i="14"/>
  <c r="D17" i="14"/>
  <c r="D9" i="14"/>
  <c r="F12" i="14"/>
  <c r="D11" i="14"/>
  <c r="B10" i="1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A3" i="4"/>
  <c r="B3" i="4"/>
  <c r="B2" i="4"/>
  <c r="F5" i="14"/>
  <c r="B5" i="14"/>
  <c r="H5" i="14"/>
  <c r="D5" i="14"/>
  <c r="A5" i="1"/>
  <c r="A6" i="1" s="1"/>
  <c r="A7" i="1" s="1"/>
  <c r="A8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H4" i="1"/>
  <c r="A4" i="4"/>
  <c r="B4" i="4"/>
  <c r="A5" i="4"/>
  <c r="B32" i="15" l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H109" i="1"/>
  <c r="I110" i="1"/>
  <c r="B117" i="3"/>
  <c r="B118" i="3"/>
  <c r="B120" i="3"/>
  <c r="B119" i="3"/>
  <c r="H6" i="14"/>
  <c r="I5" i="14"/>
  <c r="L5" i="14"/>
  <c r="J5" i="14"/>
  <c r="K5" i="14"/>
  <c r="A6" i="4"/>
  <c r="B5" i="4"/>
  <c r="I7" i="1"/>
  <c r="H6" i="1"/>
  <c r="B76" i="15" l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02" i="15" s="1"/>
  <c r="B103" i="15" s="1"/>
  <c r="B104" i="15" s="1"/>
  <c r="B105" i="15" s="1"/>
  <c r="B106" i="15" s="1"/>
  <c r="B107" i="15" s="1"/>
  <c r="B108" i="15" s="1"/>
  <c r="B109" i="15" s="1"/>
  <c r="B110" i="15" s="1"/>
  <c r="B111" i="15" s="1"/>
  <c r="B112" i="15" s="1"/>
  <c r="B113" i="15" s="1"/>
  <c r="B114" i="15" s="1"/>
  <c r="B115" i="15" s="1"/>
  <c r="B116" i="15" s="1"/>
  <c r="B117" i="15" s="1"/>
  <c r="B118" i="15" s="1"/>
  <c r="B119" i="15" s="1"/>
  <c r="B120" i="15" s="1"/>
  <c r="B121" i="15" s="1"/>
  <c r="B122" i="15" s="1"/>
  <c r="B123" i="15" s="1"/>
  <c r="B124" i="15" s="1"/>
  <c r="B125" i="15" s="1"/>
  <c r="B126" i="15" s="1"/>
  <c r="B127" i="15" s="1"/>
  <c r="B128" i="15" s="1"/>
  <c r="B129" i="15" s="1"/>
  <c r="B130" i="15" s="1"/>
  <c r="B131" i="15" s="1"/>
  <c r="B132" i="15" s="1"/>
  <c r="B133" i="15" s="1"/>
  <c r="B134" i="15" s="1"/>
  <c r="B135" i="15" s="1"/>
  <c r="B136" i="15" s="1"/>
  <c r="B137" i="15" s="1"/>
  <c r="B138" i="15" s="1"/>
  <c r="B139" i="15" s="1"/>
  <c r="B140" i="15" s="1"/>
  <c r="B141" i="15" s="1"/>
  <c r="B142" i="15" s="1"/>
  <c r="B143" i="15" s="1"/>
  <c r="B144" i="15" s="1"/>
  <c r="B145" i="15" s="1"/>
  <c r="B146" i="15" s="1"/>
  <c r="B147" i="15" s="1"/>
  <c r="B148" i="15" s="1"/>
  <c r="B149" i="15" s="1"/>
  <c r="B150" i="15" s="1"/>
  <c r="B151" i="15" s="1"/>
  <c r="B152" i="15" s="1"/>
  <c r="B153" i="15" s="1"/>
  <c r="H110" i="1"/>
  <c r="I111" i="1"/>
  <c r="I8" i="1"/>
  <c r="H7" i="1"/>
  <c r="B6" i="4"/>
  <c r="A7" i="4"/>
  <c r="B154" i="15" l="1"/>
  <c r="B155" i="15" s="1"/>
  <c r="B156" i="15" s="1"/>
  <c r="B157" i="15" s="1"/>
  <c r="B158" i="15" s="1"/>
  <c r="B159" i="15" s="1"/>
  <c r="B160" i="15" s="1"/>
  <c r="B161" i="15" s="1"/>
  <c r="B162" i="15" s="1"/>
  <c r="B163" i="15" s="1"/>
  <c r="B164" i="15" s="1"/>
  <c r="B165" i="15" s="1"/>
  <c r="B166" i="15" s="1"/>
  <c r="B167" i="15" s="1"/>
  <c r="B168" i="15" s="1"/>
  <c r="B169" i="15" s="1"/>
  <c r="B170" i="15" s="1"/>
  <c r="B171" i="15" s="1"/>
  <c r="B172" i="15" s="1"/>
  <c r="B173" i="15" s="1"/>
  <c r="B174" i="15" s="1"/>
  <c r="B175" i="15" s="1"/>
  <c r="B176" i="15" s="1"/>
  <c r="B177" i="15" s="1"/>
  <c r="B178" i="15" s="1"/>
  <c r="B179" i="15" s="1"/>
  <c r="B180" i="15" s="1"/>
  <c r="B181" i="15" s="1"/>
  <c r="B182" i="15" s="1"/>
  <c r="B183" i="15" s="1"/>
  <c r="B184" i="15" s="1"/>
  <c r="B185" i="15" s="1"/>
  <c r="B186" i="15" s="1"/>
  <c r="B187" i="15" s="1"/>
  <c r="B188" i="15" s="1"/>
  <c r="B189" i="15" s="1"/>
  <c r="B190" i="15" s="1"/>
  <c r="B191" i="15" s="1"/>
  <c r="B192" i="15" s="1"/>
  <c r="B193" i="15" s="1"/>
  <c r="B194" i="15" s="1"/>
  <c r="B195" i="15" s="1"/>
  <c r="B196" i="15" s="1"/>
  <c r="B197" i="15" s="1"/>
  <c r="B198" i="15" s="1"/>
  <c r="B199" i="15" s="1"/>
  <c r="B200" i="15" s="1"/>
  <c r="B201" i="15" s="1"/>
  <c r="B202" i="15" s="1"/>
  <c r="B203" i="15" s="1"/>
  <c r="B204" i="15" s="1"/>
  <c r="B205" i="15" s="1"/>
  <c r="B206" i="15" s="1"/>
  <c r="B207" i="15" s="1"/>
  <c r="B208" i="15" s="1"/>
  <c r="B209" i="15" s="1"/>
  <c r="B210" i="15" s="1"/>
  <c r="B211" i="15" s="1"/>
  <c r="B212" i="15" s="1"/>
  <c r="B213" i="15" s="1"/>
  <c r="B214" i="15" s="1"/>
  <c r="B215" i="15" s="1"/>
  <c r="B216" i="15" s="1"/>
  <c r="B217" i="15" s="1"/>
  <c r="B218" i="15" s="1"/>
  <c r="B219" i="15" s="1"/>
  <c r="B220" i="15" s="1"/>
  <c r="B221" i="15" s="1"/>
  <c r="B222" i="15" s="1"/>
  <c r="B223" i="15" s="1"/>
  <c r="B224" i="15" s="1"/>
  <c r="B225" i="15" s="1"/>
  <c r="B226" i="15" s="1"/>
  <c r="B227" i="15" s="1"/>
  <c r="B228" i="15" s="1"/>
  <c r="B229" i="15" s="1"/>
  <c r="B230" i="15" s="1"/>
  <c r="B231" i="15" s="1"/>
  <c r="B232" i="15" s="1"/>
  <c r="B233" i="15" s="1"/>
  <c r="B234" i="15" s="1"/>
  <c r="B235" i="15" s="1"/>
  <c r="B236" i="15" s="1"/>
  <c r="B237" i="15" s="1"/>
  <c r="B238" i="15" s="1"/>
  <c r="B239" i="15" s="1"/>
  <c r="B240" i="15" s="1"/>
  <c r="B241" i="15" s="1"/>
  <c r="B242" i="15" s="1"/>
  <c r="B243" i="15" s="1"/>
  <c r="B244" i="15" s="1"/>
  <c r="B245" i="15" s="1"/>
  <c r="B246" i="15" s="1"/>
  <c r="B247" i="15" s="1"/>
  <c r="B248" i="15" s="1"/>
  <c r="B249" i="15" s="1"/>
  <c r="B250" i="15" s="1"/>
  <c r="B251" i="15" s="1"/>
  <c r="B252" i="15" s="1"/>
  <c r="B253" i="15" s="1"/>
  <c r="B254" i="15" s="1"/>
  <c r="B255" i="15" s="1"/>
  <c r="B256" i="15" s="1"/>
  <c r="B257" i="15" s="1"/>
  <c r="B258" i="15" s="1"/>
  <c r="B259" i="15" s="1"/>
  <c r="B260" i="15" s="1"/>
  <c r="B261" i="15" s="1"/>
  <c r="B262" i="15" s="1"/>
  <c r="B263" i="15" s="1"/>
  <c r="B264" i="15" s="1"/>
  <c r="B265" i="15" s="1"/>
  <c r="B266" i="15" s="1"/>
  <c r="B267" i="15" s="1"/>
  <c r="B268" i="15" s="1"/>
  <c r="B269" i="15" s="1"/>
  <c r="B270" i="15" s="1"/>
  <c r="B271" i="15" s="1"/>
  <c r="B272" i="15" s="1"/>
  <c r="B273" i="15" s="1"/>
  <c r="B274" i="15" s="1"/>
  <c r="B275" i="15" s="1"/>
  <c r="B276" i="15" s="1"/>
  <c r="B277" i="15" s="1"/>
  <c r="B278" i="15" s="1"/>
  <c r="B279" i="15" s="1"/>
  <c r="B280" i="15" s="1"/>
  <c r="B281" i="15" s="1"/>
  <c r="B282" i="15" s="1"/>
  <c r="B283" i="15" s="1"/>
  <c r="B284" i="15" s="1"/>
  <c r="B285" i="15" s="1"/>
  <c r="B286" i="15" s="1"/>
  <c r="B287" i="15" s="1"/>
  <c r="B288" i="15" s="1"/>
  <c r="B289" i="15" s="1"/>
  <c r="B290" i="15" s="1"/>
  <c r="B291" i="15" s="1"/>
  <c r="B292" i="15" s="1"/>
  <c r="B293" i="15" s="1"/>
  <c r="B294" i="15" s="1"/>
  <c r="B295" i="15" s="1"/>
  <c r="B296" i="15" s="1"/>
  <c r="B297" i="15" s="1"/>
  <c r="B298" i="15" s="1"/>
  <c r="B299" i="15" s="1"/>
  <c r="B300" i="15" s="1"/>
  <c r="B301" i="15" s="1"/>
  <c r="B302" i="15" s="1"/>
  <c r="B303" i="15" s="1"/>
  <c r="B304" i="15" s="1"/>
  <c r="B305" i="15" s="1"/>
  <c r="B306" i="15" s="1"/>
  <c r="B307" i="15" s="1"/>
  <c r="B308" i="15" s="1"/>
  <c r="B309" i="15" s="1"/>
  <c r="H111" i="1"/>
  <c r="I112" i="1"/>
  <c r="B7" i="4"/>
  <c r="A8" i="4"/>
  <c r="H8" i="1"/>
  <c r="I9" i="1"/>
  <c r="B310" i="15" l="1"/>
  <c r="B311" i="15" s="1"/>
  <c r="B312" i="15" s="1"/>
  <c r="B313" i="15" s="1"/>
  <c r="B314" i="15" s="1"/>
  <c r="B315" i="15" s="1"/>
  <c r="B316" i="15" s="1"/>
  <c r="B317" i="15" s="1"/>
  <c r="B318" i="15" s="1"/>
  <c r="B319" i="15" s="1"/>
  <c r="B320" i="15" s="1"/>
  <c r="B321" i="15" s="1"/>
  <c r="B322" i="15" s="1"/>
  <c r="B323" i="15" s="1"/>
  <c r="B324" i="15" s="1"/>
  <c r="B325" i="15" s="1"/>
  <c r="B326" i="15" s="1"/>
  <c r="B327" i="15" s="1"/>
  <c r="B328" i="15" s="1"/>
  <c r="B329" i="15" s="1"/>
  <c r="B330" i="15" s="1"/>
  <c r="B331" i="15" s="1"/>
  <c r="B332" i="15" s="1"/>
  <c r="B333" i="15" s="1"/>
  <c r="B334" i="15" s="1"/>
  <c r="B335" i="15" s="1"/>
  <c r="B336" i="15" s="1"/>
  <c r="B337" i="15" s="1"/>
  <c r="B338" i="15" s="1"/>
  <c r="B339" i="15" s="1"/>
  <c r="B340" i="15" s="1"/>
  <c r="B341" i="15" s="1"/>
  <c r="B342" i="15" s="1"/>
  <c r="B343" i="15" s="1"/>
  <c r="B344" i="15" s="1"/>
  <c r="B345" i="15" s="1"/>
  <c r="B346" i="15" s="1"/>
  <c r="B347" i="15" s="1"/>
  <c r="B348" i="15" s="1"/>
  <c r="B349" i="15" s="1"/>
  <c r="B350" i="15" s="1"/>
  <c r="B351" i="15" s="1"/>
  <c r="B352" i="15" s="1"/>
  <c r="B353" i="15" s="1"/>
  <c r="B354" i="15" s="1"/>
  <c r="B355" i="15" s="1"/>
  <c r="B356" i="15" s="1"/>
  <c r="B357" i="15" s="1"/>
  <c r="B358" i="15" s="1"/>
  <c r="B359" i="15" s="1"/>
  <c r="B360" i="15" s="1"/>
  <c r="B361" i="15" s="1"/>
  <c r="B362" i="15" s="1"/>
  <c r="B363" i="15" s="1"/>
  <c r="B364" i="15" s="1"/>
  <c r="B365" i="15" s="1"/>
  <c r="B366" i="15" s="1"/>
  <c r="B367" i="15" s="1"/>
  <c r="B368" i="15" s="1"/>
  <c r="B369" i="15" s="1"/>
  <c r="B370" i="15" s="1"/>
  <c r="B371" i="15" s="1"/>
  <c r="B372" i="15" s="1"/>
  <c r="B373" i="15" s="1"/>
  <c r="B374" i="15" s="1"/>
  <c r="B375" i="15" s="1"/>
  <c r="B376" i="15" s="1"/>
  <c r="B377" i="15" s="1"/>
  <c r="B378" i="15" s="1"/>
  <c r="B379" i="15" s="1"/>
  <c r="B380" i="15" s="1"/>
  <c r="B381" i="15" s="1"/>
  <c r="B382" i="15" s="1"/>
  <c r="B383" i="15" s="1"/>
  <c r="B384" i="15" s="1"/>
  <c r="B385" i="15" s="1"/>
  <c r="H112" i="1"/>
  <c r="I113" i="1"/>
  <c r="H9" i="1"/>
  <c r="I10" i="1"/>
  <c r="B8" i="4"/>
  <c r="A9" i="4"/>
  <c r="I114" i="1" l="1"/>
  <c r="H113" i="1"/>
  <c r="B386" i="15"/>
  <c r="B9" i="4"/>
  <c r="A10" i="4"/>
  <c r="I11" i="1"/>
  <c r="H10" i="1"/>
  <c r="H114" i="1" l="1"/>
  <c r="I115" i="1"/>
  <c r="B387" i="15"/>
  <c r="H11" i="1"/>
  <c r="I12" i="1"/>
  <c r="B10" i="4"/>
  <c r="A11" i="4"/>
  <c r="I116" i="1" l="1"/>
  <c r="H115" i="1"/>
  <c r="B388" i="15"/>
  <c r="A12" i="4"/>
  <c r="B11" i="4"/>
  <c r="H12" i="1"/>
  <c r="I13" i="1"/>
  <c r="H116" i="1" l="1"/>
  <c r="I117" i="1"/>
  <c r="B389" i="15"/>
  <c r="H13" i="1"/>
  <c r="I14" i="1"/>
  <c r="A13" i="4"/>
  <c r="B12" i="4"/>
  <c r="H117" i="1" l="1"/>
  <c r="I118" i="1"/>
  <c r="B390" i="15"/>
  <c r="B13" i="4"/>
  <c r="A14" i="4"/>
  <c r="H14" i="1"/>
  <c r="I15" i="1"/>
  <c r="H118" i="1" l="1"/>
  <c r="I119" i="1"/>
  <c r="B391" i="15"/>
  <c r="B392" i="15" s="1"/>
  <c r="B393" i="15" s="1"/>
  <c r="B394" i="15" s="1"/>
  <c r="B395" i="15" s="1"/>
  <c r="B396" i="15" s="1"/>
  <c r="B397" i="15" s="1"/>
  <c r="B398" i="15" s="1"/>
  <c r="B399" i="15" s="1"/>
  <c r="B400" i="15" s="1"/>
  <c r="B401" i="15" s="1"/>
  <c r="B402" i="15" s="1"/>
  <c r="B403" i="15" s="1"/>
  <c r="B404" i="15" s="1"/>
  <c r="B405" i="15" s="1"/>
  <c r="B406" i="15" s="1"/>
  <c r="B407" i="15" s="1"/>
  <c r="B408" i="15" s="1"/>
  <c r="B409" i="15" s="1"/>
  <c r="B410" i="15" s="1"/>
  <c r="B411" i="15" s="1"/>
  <c r="B412" i="15" s="1"/>
  <c r="B413" i="15" s="1"/>
  <c r="B414" i="15" s="1"/>
  <c r="B415" i="15" s="1"/>
  <c r="B416" i="15" s="1"/>
  <c r="B417" i="15" s="1"/>
  <c r="B418" i="15" s="1"/>
  <c r="H15" i="1"/>
  <c r="I16" i="1"/>
  <c r="A15" i="4"/>
  <c r="B14" i="4"/>
  <c r="B419" i="15" l="1"/>
  <c r="B420" i="15" s="1"/>
  <c r="B421" i="15" s="1"/>
  <c r="B422" i="15" s="1"/>
  <c r="B423" i="15" s="1"/>
  <c r="B424" i="15" s="1"/>
  <c r="B425" i="15" s="1"/>
  <c r="B426" i="15" s="1"/>
  <c r="B427" i="15" s="1"/>
  <c r="B428" i="15" s="1"/>
  <c r="B429" i="15" s="1"/>
  <c r="B430" i="15" s="1"/>
  <c r="B431" i="15" s="1"/>
  <c r="B432" i="15" s="1"/>
  <c r="B433" i="15" s="1"/>
  <c r="B434" i="15" s="1"/>
  <c r="B435" i="15" s="1"/>
  <c r="B436" i="15" s="1"/>
  <c r="B437" i="15" s="1"/>
  <c r="B438" i="15" s="1"/>
  <c r="B439" i="15" s="1"/>
  <c r="B440" i="15" s="1"/>
  <c r="B441" i="15" s="1"/>
  <c r="B442" i="15" s="1"/>
  <c r="B443" i="15" s="1"/>
  <c r="B444" i="15" s="1"/>
  <c r="B445" i="15" s="1"/>
  <c r="B446" i="15" s="1"/>
  <c r="B447" i="15" s="1"/>
  <c r="B448" i="15" s="1"/>
  <c r="B449" i="15" s="1"/>
  <c r="B450" i="15" s="1"/>
  <c r="B451" i="15" s="1"/>
  <c r="B452" i="15" s="1"/>
  <c r="B453" i="15" s="1"/>
  <c r="B454" i="15" s="1"/>
  <c r="B455" i="15" s="1"/>
  <c r="B456" i="15" s="1"/>
  <c r="B457" i="15" s="1"/>
  <c r="B458" i="15" s="1"/>
  <c r="B459" i="15" s="1"/>
  <c r="B460" i="15" s="1"/>
  <c r="B461" i="15" s="1"/>
  <c r="B462" i="15" s="1"/>
  <c r="B463" i="15" s="1"/>
  <c r="B464" i="15" s="1"/>
  <c r="B465" i="15" s="1"/>
  <c r="B466" i="15" s="1"/>
  <c r="B467" i="15" s="1"/>
  <c r="B468" i="15" s="1"/>
  <c r="B469" i="15" s="1"/>
  <c r="B470" i="15" s="1"/>
  <c r="B471" i="15" s="1"/>
  <c r="B472" i="15" s="1"/>
  <c r="B473" i="15" s="1"/>
  <c r="B474" i="15" s="1"/>
  <c r="B475" i="15" s="1"/>
  <c r="B476" i="15" s="1"/>
  <c r="B477" i="15" s="1"/>
  <c r="B478" i="15" s="1"/>
  <c r="B479" i="15" s="1"/>
  <c r="B480" i="15" s="1"/>
  <c r="B481" i="15" s="1"/>
  <c r="B482" i="15" s="1"/>
  <c r="B483" i="15" s="1"/>
  <c r="B484" i="15" s="1"/>
  <c r="B485" i="15" s="1"/>
  <c r="B486" i="15" s="1"/>
  <c r="B487" i="15" s="1"/>
  <c r="B488" i="15" s="1"/>
  <c r="B489" i="15" s="1"/>
  <c r="B490" i="15" s="1"/>
  <c r="B491" i="15" s="1"/>
  <c r="B492" i="15" s="1"/>
  <c r="B493" i="15" s="1"/>
  <c r="B494" i="15" s="1"/>
  <c r="B495" i="15" s="1"/>
  <c r="B496" i="15" s="1"/>
  <c r="B497" i="15" s="1"/>
  <c r="B498" i="15" s="1"/>
  <c r="B499" i="15" s="1"/>
  <c r="B500" i="15" s="1"/>
  <c r="B501" i="15" s="1"/>
  <c r="B502" i="15" s="1"/>
  <c r="B503" i="15" s="1"/>
  <c r="B504" i="15" s="1"/>
  <c r="B505" i="15" s="1"/>
  <c r="B506" i="15" s="1"/>
  <c r="B507" i="15" s="1"/>
  <c r="B508" i="15" s="1"/>
  <c r="B509" i="15" s="1"/>
  <c r="B510" i="15" s="1"/>
  <c r="B511" i="15" s="1"/>
  <c r="B512" i="15" s="1"/>
  <c r="B513" i="15" s="1"/>
  <c r="B514" i="15" s="1"/>
  <c r="B515" i="15" s="1"/>
  <c r="B516" i="15" s="1"/>
  <c r="B517" i="15" s="1"/>
  <c r="B518" i="15" s="1"/>
  <c r="B519" i="15" s="1"/>
  <c r="B520" i="15" s="1"/>
  <c r="B521" i="15" s="1"/>
  <c r="B522" i="15" s="1"/>
  <c r="B523" i="15" s="1"/>
  <c r="B524" i="15" s="1"/>
  <c r="B525" i="15" s="1"/>
  <c r="B526" i="15" s="1"/>
  <c r="B527" i="15" s="1"/>
  <c r="B528" i="15" s="1"/>
  <c r="B529" i="15" s="1"/>
  <c r="B530" i="15" s="1"/>
  <c r="B531" i="15" s="1"/>
  <c r="B532" i="15" s="1"/>
  <c r="B533" i="15" s="1"/>
  <c r="B534" i="15" s="1"/>
  <c r="B535" i="15" s="1"/>
  <c r="B536" i="15" s="1"/>
  <c r="B537" i="15" s="1"/>
  <c r="B538" i="15" s="1"/>
  <c r="B539" i="15" s="1"/>
  <c r="B540" i="15" s="1"/>
  <c r="B541" i="15" s="1"/>
  <c r="B542" i="15" s="1"/>
  <c r="B543" i="15" s="1"/>
  <c r="I120" i="1"/>
  <c r="H119" i="1"/>
  <c r="A16" i="4"/>
  <c r="B15" i="4"/>
  <c r="H16" i="1"/>
  <c r="I17" i="1"/>
  <c r="B544" i="15" l="1"/>
  <c r="H120" i="1"/>
  <c r="I121" i="1"/>
  <c r="H17" i="1"/>
  <c r="I18" i="1"/>
  <c r="A17" i="4"/>
  <c r="B16" i="4"/>
  <c r="B545" i="15" l="1"/>
  <c r="I122" i="1"/>
  <c r="H121" i="1"/>
  <c r="A18" i="4"/>
  <c r="B17" i="4"/>
  <c r="H18" i="1"/>
  <c r="I19" i="1"/>
  <c r="B546" i="15" l="1"/>
  <c r="B547" i="15" s="1"/>
  <c r="B548" i="15" s="1"/>
  <c r="B549" i="15" s="1"/>
  <c r="B550" i="15" s="1"/>
  <c r="B551" i="15" s="1"/>
  <c r="H122" i="1"/>
  <c r="I123" i="1"/>
  <c r="I20" i="1"/>
  <c r="H19" i="1"/>
  <c r="A19" i="4"/>
  <c r="B18" i="4"/>
  <c r="B552" i="15" l="1"/>
  <c r="I124" i="1"/>
  <c r="H123" i="1"/>
  <c r="B19" i="4"/>
  <c r="A20" i="4"/>
  <c r="H20" i="1"/>
  <c r="I21" i="1"/>
  <c r="B553" i="15" l="1"/>
  <c r="H124" i="1"/>
  <c r="I125" i="1"/>
  <c r="I22" i="1"/>
  <c r="H21" i="1"/>
  <c r="B20" i="4"/>
  <c r="A21" i="4"/>
  <c r="B554" i="15" l="1"/>
  <c r="I126" i="1"/>
  <c r="H125" i="1"/>
  <c r="B21" i="4"/>
  <c r="A22" i="4"/>
  <c r="B22" i="4" s="1"/>
  <c r="I23" i="1"/>
  <c r="H22" i="1"/>
  <c r="B555" i="15" l="1"/>
  <c r="B556" i="15" s="1"/>
  <c r="B557" i="15" s="1"/>
  <c r="B558" i="15" s="1"/>
  <c r="B559" i="15" s="1"/>
  <c r="B560" i="15" s="1"/>
  <c r="B561" i="15" s="1"/>
  <c r="H126" i="1"/>
  <c r="I127" i="1"/>
  <c r="I24" i="1"/>
  <c r="H23" i="1"/>
  <c r="B562" i="15" l="1"/>
  <c r="B563" i="15" s="1"/>
  <c r="I128" i="1"/>
  <c r="H127" i="1"/>
  <c r="H24" i="1"/>
  <c r="I25" i="1"/>
  <c r="B564" i="15" l="1"/>
  <c r="B565" i="15" s="1"/>
  <c r="B566" i="15" s="1"/>
  <c r="B567" i="15" s="1"/>
  <c r="B568" i="15" s="1"/>
  <c r="B569" i="15" s="1"/>
  <c r="B570" i="15" s="1"/>
  <c r="B571" i="15" s="1"/>
  <c r="B572" i="15" s="1"/>
  <c r="B573" i="15" s="1"/>
  <c r="B574" i="15" s="1"/>
  <c r="B575" i="15" s="1"/>
  <c r="H128" i="1"/>
  <c r="I129" i="1"/>
  <c r="H25" i="1"/>
  <c r="I26" i="1"/>
  <c r="H129" i="1" l="1"/>
  <c r="I130" i="1"/>
  <c r="H130" i="1" s="1"/>
  <c r="H26" i="1"/>
  <c r="I27" i="1"/>
  <c r="I28" i="1" l="1"/>
  <c r="H27" i="1"/>
  <c r="H28" i="1" l="1"/>
  <c r="I29" i="1"/>
  <c r="H29" i="1" l="1"/>
  <c r="I30" i="1"/>
  <c r="H30" i="1" l="1"/>
  <c r="I31" i="1"/>
  <c r="H31" i="1" l="1"/>
  <c r="I32" i="1"/>
  <c r="B576" i="15" l="1"/>
  <c r="I33" i="1"/>
  <c r="H32" i="1"/>
  <c r="B577" i="15" l="1"/>
  <c r="B578" i="15" s="1"/>
  <c r="B579" i="15" s="1"/>
  <c r="B580" i="15" s="1"/>
  <c r="B581" i="15" s="1"/>
  <c r="B582" i="15" s="1"/>
  <c r="B583" i="15" s="1"/>
  <c r="B584" i="15" s="1"/>
  <c r="B585" i="15" s="1"/>
  <c r="B586" i="15" s="1"/>
  <c r="I34" i="1"/>
  <c r="H33" i="1"/>
  <c r="I35" i="1" l="1"/>
  <c r="H34" i="1"/>
  <c r="H35" i="1" l="1"/>
  <c r="I36" i="1"/>
  <c r="B587" i="15" l="1"/>
  <c r="H36" i="1"/>
  <c r="I37" i="1"/>
  <c r="B588" i="15" l="1"/>
  <c r="B589" i="15" s="1"/>
  <c r="B590" i="15" s="1"/>
  <c r="B591" i="15" s="1"/>
  <c r="B592" i="15" s="1"/>
  <c r="B593" i="15" s="1"/>
  <c r="B594" i="15" s="1"/>
  <c r="B595" i="15" s="1"/>
  <c r="B596" i="15" s="1"/>
  <c r="H37" i="1"/>
  <c r="I38" i="1"/>
  <c r="H38" i="1" l="1"/>
  <c r="I39" i="1"/>
  <c r="I40" i="1" l="1"/>
  <c r="H39" i="1"/>
  <c r="H40" i="1" l="1"/>
  <c r="I41" i="1"/>
  <c r="I42" i="1" l="1"/>
  <c r="H41" i="1"/>
  <c r="I43" i="1" l="1"/>
  <c r="H42" i="1"/>
  <c r="H43" i="1" l="1"/>
  <c r="I44" i="1"/>
  <c r="I45" i="1" l="1"/>
  <c r="H44" i="1"/>
  <c r="H45" i="1" l="1"/>
  <c r="I46" i="1"/>
  <c r="H46" i="1" l="1"/>
  <c r="I47" i="1"/>
  <c r="H47" i="1" l="1"/>
  <c r="I48" i="1"/>
  <c r="B597" i="15" l="1"/>
  <c r="H48" i="1"/>
  <c r="I49" i="1"/>
  <c r="B598" i="15" l="1"/>
  <c r="B599" i="15" s="1"/>
  <c r="B600" i="15" s="1"/>
  <c r="B601" i="15" s="1"/>
  <c r="B602" i="15" s="1"/>
  <c r="B603" i="15" s="1"/>
  <c r="B604" i="15" s="1"/>
  <c r="B605" i="15" s="1"/>
  <c r="B606" i="15" s="1"/>
  <c r="B607" i="15" s="1"/>
  <c r="I50" i="1"/>
  <c r="H49" i="1"/>
  <c r="B608" i="15" l="1"/>
  <c r="B609" i="15" s="1"/>
  <c r="B610" i="15" s="1"/>
  <c r="B611" i="15" s="1"/>
  <c r="B612" i="15" s="1"/>
  <c r="B613" i="15" s="1"/>
  <c r="B614" i="15" s="1"/>
  <c r="B615" i="15" s="1"/>
  <c r="B616" i="15" s="1"/>
  <c r="B617" i="15" s="1"/>
  <c r="B618" i="15" s="1"/>
  <c r="B619" i="15" s="1"/>
  <c r="B620" i="15" s="1"/>
  <c r="B621" i="15" s="1"/>
  <c r="B622" i="15" s="1"/>
  <c r="B623" i="15" s="1"/>
  <c r="B624" i="15" s="1"/>
  <c r="B625" i="15" s="1"/>
  <c r="B626" i="15" s="1"/>
  <c r="B627" i="15" s="1"/>
  <c r="B628" i="15" s="1"/>
  <c r="B629" i="15" s="1"/>
  <c r="B630" i="15" s="1"/>
  <c r="B631" i="15" s="1"/>
  <c r="I51" i="1"/>
  <c r="H50" i="1"/>
  <c r="B632" i="15" l="1"/>
  <c r="H51" i="1"/>
  <c r="I52" i="1"/>
  <c r="B633" i="15" l="1"/>
  <c r="B634" i="15" s="1"/>
  <c r="I53" i="1"/>
  <c r="H52" i="1"/>
  <c r="H53" i="1" l="1"/>
  <c r="I54" i="1"/>
  <c r="B635" i="15" l="1"/>
  <c r="B636" i="15" s="1"/>
  <c r="B637" i="15" s="1"/>
  <c r="B638" i="15" s="1"/>
  <c r="B639" i="15" s="1"/>
  <c r="I55" i="1"/>
  <c r="H54" i="1"/>
  <c r="B640" i="15" l="1"/>
  <c r="I56" i="1"/>
  <c r="H55" i="1"/>
  <c r="B641" i="15" l="1"/>
  <c r="H56" i="1"/>
  <c r="I57" i="1"/>
  <c r="B642" i="15" l="1"/>
  <c r="H57" i="1"/>
  <c r="I58" i="1"/>
  <c r="B643" i="15" l="1"/>
  <c r="I59" i="1"/>
  <c r="H58" i="1"/>
  <c r="B644" i="15" l="1"/>
  <c r="H59" i="1"/>
  <c r="I60" i="1"/>
  <c r="B645" i="15" l="1"/>
  <c r="I61" i="1"/>
  <c r="H60" i="1"/>
  <c r="B646" i="15" l="1"/>
  <c r="H61" i="1"/>
  <c r="I62" i="1"/>
  <c r="B647" i="15" l="1"/>
  <c r="B648" i="15" s="1"/>
  <c r="B649" i="15" s="1"/>
  <c r="B650" i="15" s="1"/>
  <c r="B651" i="15" s="1"/>
  <c r="B652" i="15" s="1"/>
  <c r="B653" i="15" s="1"/>
  <c r="B654" i="15" s="1"/>
  <c r="B655" i="15" s="1"/>
  <c r="B656" i="15" s="1"/>
  <c r="B657" i="15" s="1"/>
  <c r="B658" i="15" s="1"/>
  <c r="I63" i="1"/>
  <c r="H62" i="1"/>
  <c r="H63" i="1" l="1"/>
  <c r="I64" i="1"/>
  <c r="B659" i="15" l="1"/>
  <c r="H64" i="1"/>
  <c r="I65" i="1"/>
  <c r="B660" i="15" l="1"/>
  <c r="B661" i="15" s="1"/>
  <c r="B662" i="15" s="1"/>
  <c r="B663" i="15" s="1"/>
  <c r="B664" i="15" s="1"/>
  <c r="B665" i="15" s="1"/>
  <c r="B666" i="15" s="1"/>
  <c r="B667" i="15" s="1"/>
  <c r="B668" i="15" s="1"/>
  <c r="B669" i="15" s="1"/>
  <c r="B670" i="15" s="1"/>
  <c r="B671" i="15" s="1"/>
  <c r="B672" i="15" s="1"/>
  <c r="I66" i="1"/>
  <c r="H65" i="1"/>
  <c r="B673" i="15" l="1"/>
  <c r="B674" i="15" s="1"/>
  <c r="H66" i="1"/>
  <c r="I67" i="1"/>
  <c r="B675" i="15" l="1"/>
  <c r="I68" i="1"/>
  <c r="H67" i="1"/>
  <c r="B676" i="15" l="1"/>
  <c r="B677" i="15" s="1"/>
  <c r="B680" i="15" s="1"/>
  <c r="B681" i="15" s="1"/>
  <c r="B682" i="15" s="1"/>
  <c r="B683" i="15" s="1"/>
  <c r="B684" i="15" s="1"/>
  <c r="B685" i="15" s="1"/>
  <c r="B686" i="15" s="1"/>
  <c r="B687" i="15" s="1"/>
  <c r="B688" i="15" s="1"/>
  <c r="B689" i="15" s="1"/>
  <c r="B690" i="15" s="1"/>
  <c r="B691" i="15" s="1"/>
  <c r="B692" i="15" s="1"/>
  <c r="B693" i="15" s="1"/>
  <c r="B694" i="15" s="1"/>
  <c r="B695" i="15" s="1"/>
  <c r="B696" i="15" s="1"/>
  <c r="B697" i="15" s="1"/>
  <c r="B698" i="15" s="1"/>
  <c r="B699" i="15" s="1"/>
  <c r="B700" i="15" s="1"/>
  <c r="B701" i="15" s="1"/>
  <c r="B702" i="15" s="1"/>
  <c r="B703" i="15" s="1"/>
  <c r="B704" i="15" s="1"/>
  <c r="B705" i="15" s="1"/>
  <c r="I69" i="1"/>
  <c r="H68" i="1"/>
  <c r="B706" i="15" l="1"/>
  <c r="B707" i="15" s="1"/>
  <c r="B708" i="15" s="1"/>
  <c r="B709" i="15" s="1"/>
  <c r="B710" i="15" s="1"/>
  <c r="B711" i="15" s="1"/>
  <c r="B712" i="15" s="1"/>
  <c r="H69" i="1"/>
  <c r="I70" i="1"/>
  <c r="B713" i="15" l="1"/>
  <c r="B714" i="15" s="1"/>
  <c r="B715" i="15" s="1"/>
  <c r="B716" i="15" s="1"/>
  <c r="B717" i="15" s="1"/>
  <c r="B718" i="15" s="1"/>
  <c r="B719" i="15" s="1"/>
  <c r="B720" i="15" s="1"/>
  <c r="B721" i="15" s="1"/>
  <c r="B722" i="15" s="1"/>
  <c r="B723" i="15" s="1"/>
  <c r="B724" i="15" s="1"/>
  <c r="B725" i="15" s="1"/>
  <c r="B726" i="15" s="1"/>
  <c r="B727" i="15" s="1"/>
  <c r="H70" i="1"/>
  <c r="I71" i="1"/>
  <c r="B728" i="15" l="1"/>
  <c r="B729" i="15" s="1"/>
  <c r="B730" i="15" s="1"/>
  <c r="B731" i="15" s="1"/>
  <c r="B732" i="15" s="1"/>
  <c r="I72" i="1"/>
  <c r="H71" i="1"/>
  <c r="B733" i="15" l="1"/>
  <c r="B734" i="15" s="1"/>
  <c r="B735" i="15" s="1"/>
  <c r="B736" i="15" s="1"/>
  <c r="B737" i="15" s="1"/>
  <c r="B738" i="15" s="1"/>
  <c r="B739" i="15" s="1"/>
  <c r="B740" i="15" s="1"/>
  <c r="H72" i="1"/>
  <c r="I73" i="1"/>
  <c r="B741" i="15" l="1"/>
  <c r="I74" i="1"/>
  <c r="H73" i="1"/>
  <c r="B742" i="15" l="1"/>
  <c r="I75" i="1"/>
  <c r="H74" i="1"/>
  <c r="B743" i="15" l="1"/>
  <c r="H75" i="1"/>
  <c r="I76" i="1"/>
  <c r="B744" i="15" l="1"/>
  <c r="B745" i="15" s="1"/>
  <c r="H76" i="1"/>
  <c r="I77" i="1"/>
  <c r="B746" i="15" l="1"/>
  <c r="I78" i="1"/>
  <c r="H77" i="1"/>
  <c r="B747" i="15" l="1"/>
  <c r="I79" i="1"/>
  <c r="H78" i="1"/>
  <c r="B748" i="15" l="1"/>
  <c r="B749" i="15" s="1"/>
  <c r="B750" i="15" s="1"/>
  <c r="H79" i="1"/>
  <c r="I80" i="1"/>
  <c r="B751" i="15" l="1"/>
  <c r="H80" i="1"/>
  <c r="I81" i="1"/>
  <c r="B752" i="15" l="1"/>
  <c r="I82" i="1"/>
  <c r="H81" i="1"/>
  <c r="B753" i="15" l="1"/>
  <c r="B754" i="15" s="1"/>
  <c r="B755" i="15" s="1"/>
  <c r="B756" i="15" s="1"/>
  <c r="H82" i="1"/>
  <c r="I83" i="1"/>
  <c r="B757" i="15" l="1"/>
  <c r="I84" i="1"/>
  <c r="H83" i="1"/>
  <c r="B758" i="15" l="1"/>
  <c r="H84" i="1"/>
  <c r="I85" i="1"/>
  <c r="B759" i="15" l="1"/>
  <c r="I86" i="1"/>
  <c r="H85" i="1"/>
  <c r="B760" i="15" l="1"/>
  <c r="I87" i="1"/>
  <c r="H86" i="1"/>
  <c r="B761" i="15" l="1"/>
  <c r="I88" i="1"/>
  <c r="H87" i="1"/>
  <c r="B762" i="15" l="1"/>
  <c r="B763" i="15" s="1"/>
  <c r="B764" i="15" s="1"/>
  <c r="B765" i="15" s="1"/>
  <c r="B766" i="15" s="1"/>
  <c r="B767" i="15" s="1"/>
  <c r="B768" i="15" s="1"/>
  <c r="B769" i="15" s="1"/>
  <c r="B770" i="15" s="1"/>
  <c r="B771" i="15" s="1"/>
  <c r="B772" i="15" s="1"/>
  <c r="B773" i="15" s="1"/>
  <c r="B774" i="15" s="1"/>
  <c r="B775" i="15" s="1"/>
  <c r="B776" i="15" s="1"/>
  <c r="B777" i="15" s="1"/>
  <c r="B778" i="15" s="1"/>
  <c r="B779" i="15" s="1"/>
  <c r="B780" i="15" s="1"/>
  <c r="B781" i="15" s="1"/>
  <c r="B782" i="15" s="1"/>
  <c r="B783" i="15" s="1"/>
  <c r="B784" i="15" s="1"/>
  <c r="B785" i="15" s="1"/>
  <c r="B786" i="15" s="1"/>
  <c r="B787" i="15" s="1"/>
  <c r="B788" i="15" s="1"/>
  <c r="B789" i="15" s="1"/>
  <c r="B790" i="15" s="1"/>
  <c r="B791" i="15" s="1"/>
  <c r="B792" i="15" s="1"/>
  <c r="B793" i="15" s="1"/>
  <c r="B794" i="15" s="1"/>
  <c r="B795" i="15" s="1"/>
  <c r="B796" i="15" s="1"/>
  <c r="B797" i="15" s="1"/>
  <c r="B798" i="15" s="1"/>
  <c r="B799" i="15" s="1"/>
  <c r="B800" i="15" s="1"/>
  <c r="B801" i="15" s="1"/>
  <c r="B802" i="15" s="1"/>
  <c r="B803" i="15" s="1"/>
  <c r="B804" i="15" s="1"/>
  <c r="B805" i="15" s="1"/>
  <c r="B806" i="15" s="1"/>
  <c r="B807" i="15" s="1"/>
  <c r="B808" i="15" s="1"/>
  <c r="B809" i="15" s="1"/>
  <c r="B810" i="15" s="1"/>
  <c r="B811" i="15" s="1"/>
  <c r="B812" i="15" s="1"/>
  <c r="B813" i="15" s="1"/>
  <c r="B814" i="15" s="1"/>
  <c r="B815" i="15" s="1"/>
  <c r="B816" i="15" s="1"/>
  <c r="B817" i="15" s="1"/>
  <c r="B818" i="15" s="1"/>
  <c r="B819" i="15" s="1"/>
  <c r="B820" i="15" s="1"/>
  <c r="B821" i="15" s="1"/>
  <c r="B822" i="15" s="1"/>
  <c r="B823" i="15" s="1"/>
  <c r="B824" i="15" s="1"/>
  <c r="B825" i="15" s="1"/>
  <c r="B826" i="15" s="1"/>
  <c r="B827" i="15" s="1"/>
  <c r="B828" i="15" s="1"/>
  <c r="B829" i="15" s="1"/>
  <c r="B830" i="15" s="1"/>
  <c r="B831" i="15" s="1"/>
  <c r="B832" i="15" s="1"/>
  <c r="B833" i="15" s="1"/>
  <c r="B834" i="15" s="1"/>
  <c r="B835" i="15" s="1"/>
  <c r="B836" i="15" s="1"/>
  <c r="B837" i="15" s="1"/>
  <c r="B838" i="15" s="1"/>
  <c r="B839" i="15" s="1"/>
  <c r="B840" i="15" s="1"/>
  <c r="B841" i="15" s="1"/>
  <c r="B842" i="15" s="1"/>
  <c r="B843" i="15" s="1"/>
  <c r="B844" i="15" s="1"/>
  <c r="B845" i="15" s="1"/>
  <c r="B846" i="15" s="1"/>
  <c r="B847" i="15" s="1"/>
  <c r="B848" i="15" s="1"/>
  <c r="B849" i="15" s="1"/>
  <c r="B850" i="15" s="1"/>
  <c r="B851" i="15" s="1"/>
  <c r="B852" i="15" s="1"/>
  <c r="B853" i="15" s="1"/>
  <c r="B854" i="15" s="1"/>
  <c r="B855" i="15" s="1"/>
  <c r="B856" i="15" s="1"/>
  <c r="B857" i="15" s="1"/>
  <c r="B858" i="15" s="1"/>
  <c r="B859" i="15" s="1"/>
  <c r="B860" i="15" s="1"/>
  <c r="B861" i="15" s="1"/>
  <c r="B862" i="15" s="1"/>
  <c r="B863" i="15" s="1"/>
  <c r="B864" i="15" s="1"/>
  <c r="B865" i="15" s="1"/>
  <c r="B866" i="15" s="1"/>
  <c r="B867" i="15" s="1"/>
  <c r="B868" i="15" s="1"/>
  <c r="B869" i="15" s="1"/>
  <c r="B870" i="15" s="1"/>
  <c r="B871" i="15" s="1"/>
  <c r="B872" i="15" s="1"/>
  <c r="B873" i="15" s="1"/>
  <c r="B874" i="15" s="1"/>
  <c r="B875" i="15" s="1"/>
  <c r="B876" i="15" s="1"/>
  <c r="B877" i="15" s="1"/>
  <c r="B878" i="15" s="1"/>
  <c r="B879" i="15" s="1"/>
  <c r="B880" i="15" s="1"/>
  <c r="B881" i="15" s="1"/>
  <c r="B882" i="15" s="1"/>
  <c r="B883" i="15" s="1"/>
  <c r="B884" i="15" s="1"/>
  <c r="B885" i="15" s="1"/>
  <c r="B886" i="15" s="1"/>
  <c r="B887" i="15" s="1"/>
  <c r="B888" i="15" s="1"/>
  <c r="B889" i="15" s="1"/>
  <c r="B890" i="15" s="1"/>
  <c r="B891" i="15" s="1"/>
  <c r="B892" i="15" s="1"/>
  <c r="B893" i="15" s="1"/>
  <c r="B894" i="15" s="1"/>
  <c r="B895" i="15" s="1"/>
  <c r="B896" i="15" s="1"/>
  <c r="B897" i="15" s="1"/>
  <c r="B898" i="15" s="1"/>
  <c r="B899" i="15" s="1"/>
  <c r="B900" i="15" s="1"/>
  <c r="B901" i="15" s="1"/>
  <c r="B902" i="15" s="1"/>
  <c r="B903" i="15" s="1"/>
  <c r="B904" i="15" s="1"/>
  <c r="B905" i="15" s="1"/>
  <c r="B906" i="15" s="1"/>
  <c r="B907" i="15" s="1"/>
  <c r="B908" i="15" s="1"/>
  <c r="B909" i="15" s="1"/>
  <c r="B910" i="15" s="1"/>
  <c r="B911" i="15" s="1"/>
  <c r="B912" i="15" s="1"/>
  <c r="B913" i="15" s="1"/>
  <c r="B914" i="15" s="1"/>
  <c r="B915" i="15" s="1"/>
  <c r="B916" i="15" s="1"/>
  <c r="B917" i="15" s="1"/>
  <c r="B918" i="15" s="1"/>
  <c r="B919" i="15" s="1"/>
  <c r="B920" i="15" s="1"/>
  <c r="B921" i="15" s="1"/>
  <c r="B922" i="15" s="1"/>
  <c r="B923" i="15" s="1"/>
  <c r="B924" i="15" s="1"/>
  <c r="B925" i="15" s="1"/>
  <c r="B926" i="15" s="1"/>
  <c r="B927" i="15" s="1"/>
  <c r="B928" i="15" s="1"/>
  <c r="B929" i="15" s="1"/>
  <c r="B930" i="15" s="1"/>
  <c r="B931" i="15" s="1"/>
  <c r="B932" i="15" s="1"/>
  <c r="B933" i="15" s="1"/>
  <c r="B934" i="15" s="1"/>
  <c r="B935" i="15" s="1"/>
  <c r="B936" i="15" s="1"/>
  <c r="B937" i="15" s="1"/>
  <c r="B938" i="15" s="1"/>
  <c r="B939" i="15" s="1"/>
  <c r="B940" i="15" s="1"/>
  <c r="B941" i="15" s="1"/>
  <c r="B942" i="15" s="1"/>
  <c r="B943" i="15" s="1"/>
  <c r="B944" i="15" s="1"/>
  <c r="B945" i="15" s="1"/>
  <c r="B946" i="15" s="1"/>
  <c r="B947" i="15" s="1"/>
  <c r="B948" i="15" s="1"/>
  <c r="B949" i="15" s="1"/>
  <c r="B950" i="15" s="1"/>
  <c r="B951" i="15" s="1"/>
  <c r="B952" i="15" s="1"/>
  <c r="B953" i="15" s="1"/>
  <c r="B954" i="15" s="1"/>
  <c r="B955" i="15" s="1"/>
  <c r="B956" i="15" s="1"/>
  <c r="B957" i="15" s="1"/>
  <c r="B958" i="15" s="1"/>
  <c r="B959" i="15" s="1"/>
  <c r="B960" i="15" s="1"/>
  <c r="B961" i="15" s="1"/>
  <c r="B962" i="15" s="1"/>
  <c r="B963" i="15" s="1"/>
  <c r="B964" i="15" s="1"/>
  <c r="B965" i="15" s="1"/>
  <c r="B966" i="15" s="1"/>
  <c r="B967" i="15" s="1"/>
  <c r="B968" i="15" s="1"/>
  <c r="B969" i="15" s="1"/>
  <c r="B970" i="15" s="1"/>
  <c r="B971" i="15" s="1"/>
  <c r="B972" i="15" s="1"/>
  <c r="B973" i="15" s="1"/>
  <c r="B974" i="15" s="1"/>
  <c r="B975" i="15" s="1"/>
  <c r="B976" i="15" s="1"/>
  <c r="B977" i="15" s="1"/>
  <c r="B978" i="15" s="1"/>
  <c r="B979" i="15" s="1"/>
  <c r="B980" i="15" s="1"/>
  <c r="B981" i="15" s="1"/>
  <c r="B982" i="15" s="1"/>
  <c r="B983" i="15" s="1"/>
  <c r="B984" i="15" s="1"/>
  <c r="B985" i="15" s="1"/>
  <c r="B986" i="15" s="1"/>
  <c r="B987" i="15" s="1"/>
  <c r="B988" i="15" s="1"/>
  <c r="B989" i="15" s="1"/>
  <c r="B990" i="15" s="1"/>
  <c r="B991" i="15" s="1"/>
  <c r="B992" i="15" s="1"/>
  <c r="B993" i="15" s="1"/>
  <c r="B994" i="15" s="1"/>
  <c r="B995" i="15" s="1"/>
  <c r="B996" i="15" s="1"/>
  <c r="B997" i="15" s="1"/>
  <c r="B998" i="15" s="1"/>
  <c r="B999" i="15" s="1"/>
  <c r="B1000" i="15" s="1"/>
  <c r="B1001" i="15" s="1"/>
  <c r="B1002" i="15" s="1"/>
  <c r="B1003" i="15" s="1"/>
  <c r="B1004" i="15" s="1"/>
  <c r="B1005" i="15" s="1"/>
  <c r="B1006" i="15" s="1"/>
  <c r="B1007" i="15" s="1"/>
  <c r="B1008" i="15" s="1"/>
  <c r="B1009" i="15" s="1"/>
  <c r="B1010" i="15" s="1"/>
  <c r="B1011" i="15" s="1"/>
  <c r="B1012" i="15" s="1"/>
  <c r="B1013" i="15" s="1"/>
  <c r="B1014" i="15" s="1"/>
  <c r="B1015" i="15" s="1"/>
  <c r="B1016" i="15" s="1"/>
  <c r="B1017" i="15" s="1"/>
  <c r="B1018" i="15" s="1"/>
  <c r="B1019" i="15" s="1"/>
  <c r="B1020" i="15" s="1"/>
  <c r="B1021" i="15" s="1"/>
  <c r="B1022" i="15" s="1"/>
  <c r="B1023" i="15" s="1"/>
  <c r="B1024" i="15" s="1"/>
  <c r="B1025" i="15" s="1"/>
  <c r="B1026" i="15" s="1"/>
  <c r="B1027" i="15" s="1"/>
  <c r="B1028" i="15" s="1"/>
  <c r="B1029" i="15" s="1"/>
  <c r="B1030" i="15" s="1"/>
  <c r="B1031" i="15" s="1"/>
  <c r="B1032" i="15" s="1"/>
  <c r="B1033" i="15" s="1"/>
  <c r="B1034" i="15" s="1"/>
  <c r="B1035" i="15" s="1"/>
  <c r="B1036" i="15" s="1"/>
  <c r="B1037" i="15" s="1"/>
  <c r="B1038" i="15" s="1"/>
  <c r="B1039" i="15" s="1"/>
  <c r="B1040" i="15" s="1"/>
  <c r="B1041" i="15" s="1"/>
  <c r="B1042" i="15" s="1"/>
  <c r="B1043" i="15" s="1"/>
  <c r="B1044" i="15" s="1"/>
  <c r="B1045" i="15" s="1"/>
  <c r="B1046" i="15" s="1"/>
  <c r="B1047" i="15" s="1"/>
  <c r="B1048" i="15" s="1"/>
  <c r="B1049" i="15" s="1"/>
  <c r="B1050" i="15" s="1"/>
  <c r="B1051" i="15" s="1"/>
  <c r="B1052" i="15" s="1"/>
  <c r="B1053" i="15" s="1"/>
  <c r="B1054" i="15" s="1"/>
  <c r="B1055" i="15" s="1"/>
  <c r="B1056" i="15" s="1"/>
  <c r="B1057" i="15" s="1"/>
  <c r="B1058" i="15" s="1"/>
  <c r="B1059" i="15" s="1"/>
  <c r="B1060" i="15" s="1"/>
  <c r="B1061" i="15" s="1"/>
  <c r="B1062" i="15" s="1"/>
  <c r="B1063" i="15" s="1"/>
  <c r="B1064" i="15" s="1"/>
  <c r="B1065" i="15" s="1"/>
  <c r="B1066" i="15" s="1"/>
  <c r="B1067" i="15" s="1"/>
  <c r="B1068" i="15" s="1"/>
  <c r="B1069" i="15" s="1"/>
  <c r="B1070" i="15" s="1"/>
  <c r="B1071" i="15" s="1"/>
  <c r="B1072" i="15" s="1"/>
  <c r="B1073" i="15" s="1"/>
  <c r="B1074" i="15" s="1"/>
  <c r="B1075" i="15" s="1"/>
  <c r="B1076" i="15" s="1"/>
  <c r="B1077" i="15" s="1"/>
  <c r="B1078" i="15" s="1"/>
  <c r="B1079" i="15" s="1"/>
  <c r="B1080" i="15" s="1"/>
  <c r="B1081" i="15" s="1"/>
  <c r="B1082" i="15" s="1"/>
  <c r="B1083" i="15" s="1"/>
  <c r="B1084" i="15" s="1"/>
  <c r="B1085" i="15" s="1"/>
  <c r="B1086" i="15" s="1"/>
  <c r="B1087" i="15" s="1"/>
  <c r="B1088" i="15" s="1"/>
  <c r="B1089" i="15" s="1"/>
  <c r="B1090" i="15" s="1"/>
  <c r="B1091" i="15" s="1"/>
  <c r="B1092" i="15" s="1"/>
  <c r="B1093" i="15" s="1"/>
  <c r="B1094" i="15" s="1"/>
  <c r="I89" i="1"/>
  <c r="H88" i="1"/>
  <c r="I90" i="1" l="1"/>
  <c r="H89" i="1"/>
  <c r="I91" i="1" l="1"/>
  <c r="H90" i="1"/>
  <c r="H91" i="1" l="1"/>
  <c r="I92" i="1"/>
  <c r="I93" i="1" l="1"/>
  <c r="H92" i="1"/>
  <c r="H93" i="1" l="1"/>
  <c r="I94" i="1"/>
  <c r="I95" i="1" l="1"/>
  <c r="H94" i="1"/>
  <c r="H95" i="1" l="1"/>
  <c r="I96" i="1"/>
  <c r="I97" i="1" l="1"/>
  <c r="H96" i="1"/>
  <c r="H97" i="1" l="1"/>
  <c r="I98" i="1"/>
  <c r="H98" i="1" l="1"/>
  <c r="I99" i="1"/>
  <c r="H99" i="1" l="1"/>
  <c r="I100" i="1"/>
  <c r="I101" i="1" l="1"/>
  <c r="H100" i="1"/>
  <c r="I102" i="1" l="1"/>
  <c r="H101" i="1"/>
  <c r="H102" i="1" l="1"/>
  <c r="I103" i="1"/>
  <c r="H103" i="1" l="1"/>
</calcChain>
</file>

<file path=xl/sharedStrings.xml><?xml version="1.0" encoding="utf-8"?>
<sst xmlns="http://schemas.openxmlformats.org/spreadsheetml/2006/main" count="4329" uniqueCount="2256">
  <si>
    <t>;Devices.hex</t>
  </si>
  <si>
    <t>Event map</t>
  </si>
  <si>
    <t>Dir:</t>
  </si>
  <si>
    <t>C:\tini\ModularHotel\ABSlink\RCUmanager\bin\Release</t>
  </si>
  <si>
    <t>;Enum</t>
  </si>
  <si>
    <t>Type</t>
  </si>
  <si>
    <t>Id</t>
  </si>
  <si>
    <t>COM</t>
  </si>
  <si>
    <t>Pt Event map</t>
  </si>
  <si>
    <t>lo hi</t>
  </si>
  <si>
    <t>16bit pt to program</t>
  </si>
  <si>
    <t>0000=none</t>
  </si>
  <si>
    <t>Enum/Priority</t>
  </si>
  <si>
    <t>;/Priority</t>
  </si>
  <si>
    <t>EnumHex</t>
  </si>
  <si>
    <t>Enum</t>
  </si>
  <si>
    <t>Progran</t>
  </si>
  <si>
    <t>Start with RCU event</t>
  </si>
  <si>
    <t>8000=activate standard management</t>
  </si>
  <si>
    <t>Enum is used in multi devices to manage variable offseting</t>
  </si>
  <si>
    <t>01</t>
  </si>
  <si>
    <t>00 00;</t>
  </si>
  <si>
    <t>RCU</t>
  </si>
  <si>
    <t>Startup</t>
  </si>
  <si>
    <t>4000=only on guest presence</t>
  </si>
  <si>
    <t>00</t>
  </si>
  <si>
    <t>00 00</t>
  </si>
  <si>
    <t>;</t>
  </si>
  <si>
    <t>Watchdog</t>
  </si>
  <si>
    <t>bit 15 permit to flag both (standard+program)</t>
  </si>
  <si>
    <t>Battery</t>
  </si>
  <si>
    <t>start</t>
  </si>
  <si>
    <t>bit 14 only guest action</t>
  </si>
  <si>
    <t>end</t>
  </si>
  <si>
    <t>11</t>
  </si>
  <si>
    <t>low</t>
  </si>
  <si>
    <t>Types</t>
  </si>
  <si>
    <t>Input</t>
  </si>
  <si>
    <t>1 on</t>
  </si>
  <si>
    <t>IDPG</t>
  </si>
  <si>
    <t>1 off</t>
  </si>
  <si>
    <t>TIG</t>
  </si>
  <si>
    <t>0E</t>
  </si>
  <si>
    <t>;cBs GTW</t>
  </si>
  <si>
    <t>2 on</t>
  </si>
  <si>
    <t>TAG</t>
  </si>
  <si>
    <t>2 off</t>
  </si>
  <si>
    <t>IOEXP</t>
  </si>
  <si>
    <t>3 on</t>
  </si>
  <si>
    <t>IODEXP</t>
  </si>
  <si>
    <t>3 off</t>
  </si>
  <si>
    <t>GSW</t>
  </si>
  <si>
    <t>IOEXP with polling on Input</t>
  </si>
  <si>
    <t>4 on</t>
  </si>
  <si>
    <t>IOEXPIN</t>
  </si>
  <si>
    <t>4 off</t>
  </si>
  <si>
    <t>BSP RF</t>
  </si>
  <si>
    <t>5 on</t>
  </si>
  <si>
    <t>BSP wired</t>
  </si>
  <si>
    <t>5 off</t>
  </si>
  <si>
    <t>General Modbus</t>
  </si>
  <si>
    <t>6 on</t>
  </si>
  <si>
    <t>General IP</t>
  </si>
  <si>
    <t>Id+Com=Port Pt=last 2 IP addr</t>
  </si>
  <si>
    <t>6 off</t>
  </si>
  <si>
    <t>7 on</t>
  </si>
  <si>
    <t>FF</t>
  </si>
  <si>
    <t>Server</t>
  </si>
  <si>
    <t>7 off</t>
  </si>
  <si>
    <t>FE</t>
  </si>
  <si>
    <t>Calling device</t>
  </si>
  <si>
    <t>8 on</t>
  </si>
  <si>
    <t>8 off</t>
  </si>
  <si>
    <t>Thermo</t>
  </si>
  <si>
    <t>on</t>
  </si>
  <si>
    <t>thermo_cycle</t>
  </si>
  <si>
    <t>Evt grp write (reg)</t>
  </si>
  <si>
    <t>MUR</t>
  </si>
  <si>
    <t>off</t>
  </si>
  <si>
    <t>SOS</t>
  </si>
  <si>
    <t>Laundry</t>
  </si>
  <si>
    <t>Call</t>
  </si>
  <si>
    <t>Card Ok</t>
  </si>
  <si>
    <t>Card Nok</t>
  </si>
  <si>
    <t>IDPG1</t>
  </si>
  <si>
    <t>Offline</t>
  </si>
  <si>
    <t>dev_offline</t>
  </si>
  <si>
    <t>Bell</t>
  </si>
  <si>
    <t>Bell with DnD</t>
  </si>
  <si>
    <t>Input 1 on</t>
  </si>
  <si>
    <t>Input 1 off</t>
  </si>
  <si>
    <t>Input 2 on</t>
  </si>
  <si>
    <t>Input 2 off</t>
  </si>
  <si>
    <t>TIG1</t>
  </si>
  <si>
    <t>OffLine</t>
  </si>
  <si>
    <t>DND</t>
  </si>
  <si>
    <t>down</t>
  </si>
  <si>
    <t>up</t>
  </si>
  <si>
    <t>Master</t>
  </si>
  <si>
    <t>Card Pocket Insert</t>
  </si>
  <si>
    <t>Card pocket Extract</t>
  </si>
  <si>
    <t>TAG1</t>
  </si>
  <si>
    <t>C/F</t>
  </si>
  <si>
    <t>tag1_c/f</t>
  </si>
  <si>
    <t>out temp</t>
  </si>
  <si>
    <t>Btn -</t>
  </si>
  <si>
    <t>tag1_readsetpoint</t>
  </si>
  <si>
    <t>Btn +</t>
  </si>
  <si>
    <t>Fan1</t>
  </si>
  <si>
    <t>tag1_off</t>
  </si>
  <si>
    <t>Fan2</t>
  </si>
  <si>
    <t>Fan3</t>
  </si>
  <si>
    <t>tag1_auto</t>
  </si>
  <si>
    <t>Auto</t>
  </si>
  <si>
    <t>tag1_fan1</t>
  </si>
  <si>
    <t>Eco</t>
  </si>
  <si>
    <t>tag1_fan2</t>
  </si>
  <si>
    <t xml:space="preserve">Off </t>
  </si>
  <si>
    <t>tag1_fan3</t>
  </si>
  <si>
    <t>Dummy</t>
  </si>
  <si>
    <t>Press no right</t>
  </si>
  <si>
    <t>Button</t>
  </si>
  <si>
    <t>9 on</t>
  </si>
  <si>
    <t>9 off</t>
  </si>
  <si>
    <t>10 on</t>
  </si>
  <si>
    <t>10 off</t>
  </si>
  <si>
    <t>11 on</t>
  </si>
  <si>
    <t>11 off</t>
  </si>
  <si>
    <t>12 on</t>
  </si>
  <si>
    <t>12 off</t>
  </si>
  <si>
    <t>Motion</t>
  </si>
  <si>
    <t>13 on</t>
  </si>
  <si>
    <t>13 off</t>
  </si>
  <si>
    <t>FF FF</t>
  </si>
  <si>
    <t>def</t>
  </si>
  <si>
    <t>02 01</t>
  </si>
  <si>
    <t>Access Grant</t>
  </si>
  <si>
    <t>03 01</t>
  </si>
  <si>
    <t>Door Open</t>
  </si>
  <si>
    <t>04 01</t>
  </si>
  <si>
    <t>Door Close</t>
  </si>
  <si>
    <t>#startup</t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</si>
  <si>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debugging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</si>
  <si>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</si>
  <si>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checkin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</si>
  <si>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startup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</si>
  <si>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=80*10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</si>
  <si>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=30*10</t>
    </r>
  </si>
  <si>
    <t>exit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</si>
  <si>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debugging</t>
    </r>
  </si>
  <si>
    <t>debug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</si>
  <si>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motion_settings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</si>
  <si>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=80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=63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</si>
  <si>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=81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=15E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</si>
  <si>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</si>
  <si>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thermo_cycle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</si>
  <si>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</si>
  <si>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dev_offline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</si>
  <si>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</si>
  <si>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</si>
  <si>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</si>
  <si>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</si>
  <si>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</si>
  <si>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checkin</t>
    </r>
  </si>
  <si>
    <t>// new cbs code</t>
  </si>
  <si>
    <t>// Haflee Instructions //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</si>
  <si>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hf_access_reject</t>
    </r>
  </si>
  <si>
    <t>//load cbs $element=41 //0x10 85 01 00 41 00 00 00 //loading Access role ele. 41</t>
  </si>
  <si>
    <t>//if equal goto #cardnok_idpg $hex=0 //sub guest access reject</t>
  </si>
  <si>
    <t>//if equal goto #cardnok_idpg $hex=80 //first time guest access reject</t>
  </si>
  <si>
    <t>//if equal goto #cardnok_idpg $hex=1 //sub staff access reject</t>
  </si>
  <si>
    <t>//if equal goto #cardnok_idpg $hex=81 //first time staff access reject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</si>
  <si>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hf_access_grant</t>
    </r>
  </si>
  <si>
    <r>
      <t>load</t>
    </r>
    <r>
      <rPr>
        <sz val="11"/>
        <color theme="0"/>
        <rFont val="Calibri"/>
        <family val="2"/>
        <scheme val="minor"/>
      </rPr>
      <t xml:space="preserve"> cbs </t>
    </r>
    <r>
      <rPr>
        <sz val="11"/>
        <color rgb="FF00FF99"/>
        <rFont val="Calibri"/>
        <family val="2"/>
        <scheme val="minor"/>
      </rPr>
      <t>$element</t>
    </r>
    <r>
      <rPr>
        <sz val="11"/>
        <color theme="0"/>
        <rFont val="Calibri"/>
        <family val="2"/>
        <scheme val="minor"/>
      </rPr>
      <t xml:space="preserve">=41 </t>
    </r>
    <r>
      <rPr>
        <sz val="11"/>
        <color rgb="FF5F5F5F"/>
        <rFont val="Calibri"/>
        <family val="2"/>
        <scheme val="minor"/>
      </rPr>
      <t>//0x10 85 01 00 41 00 00 00 //loading Access role ele. 41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</si>
  <si>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hafele_guest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//sub guest access grant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</si>
  <si>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hafele_staff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//sub staff access grant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</si>
  <si>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hafele_staff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=81 </t>
    </r>
    <r>
      <rPr>
        <sz val="11"/>
        <color rgb="FF5F5F5F"/>
        <rFont val="Calibri"/>
        <family val="2"/>
        <scheme val="minor"/>
      </rPr>
      <t>//first time staff access grant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</si>
  <si>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hf_door_open</t>
    </r>
  </si>
  <si>
    <r>
      <t>load</t>
    </r>
    <r>
      <rPr>
        <sz val="11"/>
        <color theme="0"/>
        <rFont val="Calibri"/>
        <family val="2"/>
        <scheme val="minor"/>
      </rPr>
      <t xml:space="preserve"> cbs </t>
    </r>
    <r>
      <rPr>
        <sz val="11"/>
        <color rgb="FF00FF99"/>
        <rFont val="Calibri"/>
        <family val="2"/>
        <scheme val="minor"/>
      </rPr>
      <t>$element</t>
    </r>
    <r>
      <rPr>
        <sz val="11"/>
        <color theme="0"/>
        <rFont val="Calibri"/>
        <family val="2"/>
        <scheme val="minor"/>
      </rPr>
      <t xml:space="preserve">=43 </t>
    </r>
    <r>
      <rPr>
        <sz val="11"/>
        <color rgb="FF5F5F5F"/>
        <rFont val="Calibri"/>
        <family val="2"/>
        <scheme val="minor"/>
      </rPr>
      <t>//0x10 85 01 00 43 00 00 00 //door open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</si>
  <si>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//dummy no action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</si>
  <si>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hf_door_open_ingress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=2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</si>
  <si>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hf_door_open_egress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</si>
  <si>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hf_door_close</t>
    </r>
  </si>
  <si>
    <r>
      <t>load</t>
    </r>
    <r>
      <rPr>
        <sz val="11"/>
        <color theme="0"/>
        <rFont val="Calibri"/>
        <family val="2"/>
        <scheme val="minor"/>
      </rPr>
      <t xml:space="preserve"> cbs </t>
    </r>
    <r>
      <rPr>
        <sz val="11"/>
        <color rgb="FF00FF99"/>
        <rFont val="Calibri"/>
        <family val="2"/>
        <scheme val="minor"/>
      </rPr>
      <t>$element</t>
    </r>
    <r>
      <rPr>
        <sz val="11"/>
        <color theme="0"/>
        <rFont val="Calibri"/>
        <family val="2"/>
        <scheme val="minor"/>
      </rPr>
      <t xml:space="preserve">=44 </t>
    </r>
    <r>
      <rPr>
        <sz val="11"/>
        <color rgb="FF5F5F5F"/>
        <rFont val="Calibri"/>
        <family val="2"/>
        <scheme val="minor"/>
      </rPr>
      <t>//0x10 85 01 00 44 00 00 00 //door close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</si>
  <si>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hf_door_close_ok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</si>
  <si>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hf_door_open_ingress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</si>
  <si>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=0001 </t>
    </r>
    <r>
      <rPr>
        <sz val="11"/>
        <color rgb="FF5F5F5F"/>
        <rFont val="Calibri"/>
        <family val="2"/>
        <scheme val="minor"/>
      </rPr>
      <t>//Door open/Ingress (Door open from outside with Lock)</t>
    </r>
  </si>
  <si>
    <r>
      <t>user_direction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</si>
  <si>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hf_door_open_egress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</si>
  <si>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=0002</t>
    </r>
    <r>
      <rPr>
        <sz val="11"/>
        <color rgb="FF5F5F5F"/>
        <rFont val="Calibri"/>
        <family val="2"/>
        <scheme val="minor"/>
      </rPr>
      <t>//Egress (Door open from inside with Lock)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</si>
  <si>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check_exit_scene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=20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</si>
  <si>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hf_door_close_ok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</si>
  <si>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=0000 </t>
    </r>
    <r>
      <rPr>
        <sz val="11"/>
        <color rgb="FF5F5F5F"/>
        <rFont val="Calibri"/>
        <family val="2"/>
        <scheme val="minor"/>
      </rPr>
      <t>//Door close/ajar end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</si>
  <si>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=user_direction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</si>
  <si>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so that only Egress can do Exit Scene</t>
    </r>
  </si>
  <si>
    <r>
      <t>last_action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</si>
  <si>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</si>
  <si>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</si>
  <si>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</si>
  <si>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=16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</si>
  <si>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</si>
  <si>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=workflow</t>
    </r>
  </si>
  <si>
    <t>// tag functions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</si>
  <si>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</si>
  <si>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</si>
  <si>
    <r>
      <t>anti_ice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=65536*35*10+5*10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</si>
  <si>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</si>
  <si>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tag1_refresh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</si>
  <si>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</si>
  <si>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</si>
  <si>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tag1_sub_common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</si>
  <si>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=0.15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</si>
  <si>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tag1_sub_common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</si>
  <si>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tag1_wakeup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</si>
  <si>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tag1_readsetpoint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</si>
  <si>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tag1_wakeup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</si>
  <si>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=6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</si>
  <si>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</si>
  <si>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load</t>
    </r>
    <r>
      <rPr>
        <sz val="11"/>
        <color theme="0"/>
        <rFont val="Calibri"/>
        <family val="2"/>
        <scheme val="minor"/>
      </rPr>
      <t xml:space="preserve"> shift enum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</si>
  <si>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=11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=8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</si>
  <si>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tag1_clear_display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</si>
  <si>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</si>
  <si>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t>// gsw functions</t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</si>
  <si>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+4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</si>
  <si>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</si>
  <si>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r>
      <t>workflow</t>
    </r>
    <r>
      <rPr>
        <sz val="11"/>
        <color rgb="FFFFCC66"/>
        <rFont val="Calibri"/>
        <family val="2"/>
        <scheme val="minor"/>
      </rPr>
      <t>.unset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</si>
  <si>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=7</t>
    </r>
  </si>
  <si>
    <r>
      <t>workflow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</si>
  <si>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=gs1</t>
    </r>
  </si>
  <si>
    <t>// relay functions</t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</si>
  <si>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relays</t>
    </r>
  </si>
  <si>
    <t>//motion functions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</si>
  <si>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pir1_close</t>
    </r>
  </si>
  <si>
    <r>
      <t>pir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</si>
  <si>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pir1_open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</si>
  <si>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set_last_action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</si>
  <si>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pir1_open</t>
    </r>
  </si>
  <si>
    <r>
      <t>pir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</si>
  <si>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check_exit_scene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</si>
  <si>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</si>
  <si>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</si>
  <si>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=pir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</si>
  <si>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</si>
  <si>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master_off_check</t>
    </r>
  </si>
  <si>
    <r>
      <t>user</t>
    </r>
    <r>
      <rPr>
        <sz val="11"/>
        <color rgb="FFFFCC66"/>
        <rFont val="Calibri"/>
        <family val="2"/>
        <scheme val="minor"/>
      </rPr>
      <t>.unset</t>
    </r>
  </si>
  <si>
    <r>
      <t>rcu</t>
    </r>
    <r>
      <rPr>
        <sz val="11"/>
        <color rgb="FFFFCC66"/>
        <rFont val="Calibri"/>
        <family val="2"/>
        <scheme val="minor"/>
      </rPr>
      <t>.read</t>
    </r>
    <r>
      <rPr>
        <sz val="11"/>
        <color theme="0"/>
        <rFont val="Calibri"/>
        <family val="2"/>
        <scheme val="minor"/>
      </rPr>
      <t xml:space="preserve"> input</t>
    </r>
  </si>
  <si>
    <r>
      <t>math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</si>
  <si>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=8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</si>
  <si>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</t>
    </r>
  </si>
  <si>
    <r>
      <t>if less than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=8000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</si>
  <si>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=16</t>
    </r>
  </si>
  <si>
    <r>
      <t>math</t>
    </r>
    <r>
      <rPr>
        <sz val="11"/>
        <color rgb="FFFFCC66"/>
        <rFont val="Calibri"/>
        <family val="2"/>
        <scheme val="minor"/>
      </rPr>
      <t>.add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</si>
  <si>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set_last_action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</si>
  <si>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motion_detect_from_inside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</si>
  <si>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motion_detect_from_inside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</si>
  <si>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all relays from acc</t>
    </r>
  </si>
  <si>
    <t>;code</t>
  </si>
  <si>
    <t>0000</t>
  </si>
  <si>
    <t>0001</t>
  </si>
  <si>
    <t>0002</t>
  </si>
  <si>
    <t>goto #debugging</t>
  </si>
  <si>
    <t>0003</t>
  </si>
  <si>
    <t>01 01 00 00 00 00 00 00;</t>
  </si>
  <si>
    <t>0004</t>
  </si>
  <si>
    <t>0005</t>
  </si>
  <si>
    <t>0006</t>
  </si>
  <si>
    <t>0007</t>
  </si>
  <si>
    <t>0008</t>
  </si>
  <si>
    <t>0009</t>
  </si>
  <si>
    <t>000A</t>
  </si>
  <si>
    <t>000B</t>
  </si>
  <si>
    <t>000C</t>
  </si>
  <si>
    <t>000D</t>
  </si>
  <si>
    <t>000E</t>
  </si>
  <si>
    <t>000F</t>
  </si>
  <si>
    <t>0010</t>
  </si>
  <si>
    <t>0011</t>
  </si>
  <si>
    <t>0012</t>
  </si>
  <si>
    <t>0013</t>
  </si>
  <si>
    <t>0014</t>
  </si>
  <si>
    <t>0015</t>
  </si>
  <si>
    <t>0016</t>
  </si>
  <si>
    <t>0017</t>
  </si>
  <si>
    <t>goto #checkout</t>
  </si>
  <si>
    <t>0018</t>
  </si>
  <si>
    <t>goto #checkin</t>
  </si>
  <si>
    <t>0019</t>
  </si>
  <si>
    <t>20 FF 00 00 00 00 00 00;</t>
  </si>
  <si>
    <t>send.modbus $dev=server $reg=0 $dec=0</t>
  </si>
  <si>
    <t>001A</t>
  </si>
  <si>
    <t>21 03 00 0F 03 20 00 00;</t>
  </si>
  <si>
    <t>send.modbus $type=tag $reg=15 $dec=80*10</t>
  </si>
  <si>
    <t>001B</t>
  </si>
  <si>
    <t>21 03 00 10 01 2C 00 00;</t>
  </si>
  <si>
    <t>send.modbus $type=tag $reg=16 $dec=30*10</t>
  </si>
  <si>
    <t>001C</t>
  </si>
  <si>
    <t>21 03 00 11 03 20 00 00;</t>
  </si>
  <si>
    <t>send.modbus $type=tag $reg=17 $dec=80*10</t>
  </si>
  <si>
    <t>001D</t>
  </si>
  <si>
    <t>21 03 00 12 01 2C 00 00;</t>
  </si>
  <si>
    <t>send.modbus $type=tag $reg=18 $dec=30*10</t>
  </si>
  <si>
    <t>001E</t>
  </si>
  <si>
    <t>21 06 00 0F 03 20 00 00;</t>
  </si>
  <si>
    <t>send.modbus $type=gsw $reg=15 $dec=80*10</t>
  </si>
  <si>
    <t>001F</t>
  </si>
  <si>
    <t>21 06 00 10 01 2C 00 00;</t>
  </si>
  <si>
    <t>send.modbus $type=gsw $reg=16 $dec=30*10</t>
  </si>
  <si>
    <t>0020</t>
  </si>
  <si>
    <t>0021</t>
  </si>
  <si>
    <t>0022</t>
  </si>
  <si>
    <t>reuse #motion_settings $sec=15</t>
  </si>
  <si>
    <t>0023</t>
  </si>
  <si>
    <t>0024</t>
  </si>
  <si>
    <t>04 01 00 00 00 00 00 00;</t>
  </si>
  <si>
    <t>0025</t>
  </si>
  <si>
    <t>40 01 01 00 00 00 00 00;</t>
  </si>
  <si>
    <t>0026</t>
  </si>
  <si>
    <t>0027</t>
  </si>
  <si>
    <t>21 03 00 50 00 63 00 00;</t>
  </si>
  <si>
    <t>send.modbus $type=tag $reg=80 $hex=63</t>
  </si>
  <si>
    <t>0028</t>
  </si>
  <si>
    <t>21 03 00 51 01 5E 00 00;</t>
  </si>
  <si>
    <t>send.modbus $type=tag $reg=81 $hex=15e</t>
  </si>
  <si>
    <t>0029</t>
  </si>
  <si>
    <t>21 03 00 52 00 02 00 00;</t>
  </si>
  <si>
    <t>send.modbus $type=tag $reg=82 $hex=02</t>
  </si>
  <si>
    <t>002A</t>
  </si>
  <si>
    <t>21 06 01 2C 00 63 00 00;</t>
  </si>
  <si>
    <t>send.modbus $type=gsw $reg=300 $hex=63</t>
  </si>
  <si>
    <t>002B</t>
  </si>
  <si>
    <t>21 06 01 2D 01 5E 00 00;</t>
  </si>
  <si>
    <t>send.modbus $type=gsw $reg=301 $hex=15e</t>
  </si>
  <si>
    <t>002C</t>
  </si>
  <si>
    <t>21 06 01 2E 00 04 00 00;</t>
  </si>
  <si>
    <t>send.modbus $type=gsw $reg=302 $hex=04</t>
  </si>
  <si>
    <t>002D</t>
  </si>
  <si>
    <t>002E</t>
  </si>
  <si>
    <t>22 FF 00 0E 10 00 00 00;</t>
  </si>
  <si>
    <t>send.modbus $dev=server $reg=14 $len=16</t>
  </si>
  <si>
    <t>002F</t>
  </si>
  <si>
    <t>0030</t>
  </si>
  <si>
    <t>22 FF 00 08 04 00 00 00;</t>
  </si>
  <si>
    <t>send.modbus $dev=server $reg=8 $len=4</t>
  </si>
  <si>
    <t>0031</t>
  </si>
  <si>
    <t>0032</t>
  </si>
  <si>
    <t>load $var=workflow</t>
  </si>
  <si>
    <t>0033</t>
  </si>
  <si>
    <t>0034</t>
  </si>
  <si>
    <t>0035</t>
  </si>
  <si>
    <t>0036</t>
  </si>
  <si>
    <t>0037</t>
  </si>
  <si>
    <t>0038</t>
  </si>
  <si>
    <t>0039</t>
  </si>
  <si>
    <t>003A</t>
  </si>
  <si>
    <t>003B</t>
  </si>
  <si>
    <t>003C</t>
  </si>
  <si>
    <t>003D</t>
  </si>
  <si>
    <t>003E</t>
  </si>
  <si>
    <t>003F</t>
  </si>
  <si>
    <t>0040</t>
  </si>
  <si>
    <t>0041</t>
  </si>
  <si>
    <t>0042</t>
  </si>
  <si>
    <t>0043</t>
  </si>
  <si>
    <t>10 80 01 00 00 00 00 00;</t>
  </si>
  <si>
    <t>load $dec=0</t>
  </si>
  <si>
    <t>0044</t>
  </si>
  <si>
    <t>goto #+2</t>
  </si>
  <si>
    <t>0045</t>
  </si>
  <si>
    <t>0046</t>
  </si>
  <si>
    <t>0047</t>
  </si>
  <si>
    <t>0048</t>
  </si>
  <si>
    <t>0049</t>
  </si>
  <si>
    <t>22 FF 00 06 10 00 00 00;</t>
  </si>
  <si>
    <t>send.modbus $dev=server $reg=6 $len=16</t>
  </si>
  <si>
    <t>004A</t>
  </si>
  <si>
    <t>004B</t>
  </si>
  <si>
    <t>004C</t>
  </si>
  <si>
    <t>004D</t>
  </si>
  <si>
    <t>004E</t>
  </si>
  <si>
    <t>004F</t>
  </si>
  <si>
    <t>0050</t>
  </si>
  <si>
    <t>0051</t>
  </si>
  <si>
    <t>0052</t>
  </si>
  <si>
    <t>save $var=user</t>
  </si>
  <si>
    <t>0053</t>
  </si>
  <si>
    <t>0054</t>
  </si>
  <si>
    <t>save $var=workflow</t>
  </si>
  <si>
    <t>0055</t>
  </si>
  <si>
    <t>22 FF 00 04 03 00 00 00;</t>
  </si>
  <si>
    <t>send.modbus $dev=server $reg=4 $len=3</t>
  </si>
  <si>
    <t>0056</t>
  </si>
  <si>
    <t>01 01 00 00 DC 05 00 00;</t>
  </si>
  <si>
    <t>wait $sec=0.15</t>
  </si>
  <si>
    <t>0057</t>
  </si>
  <si>
    <t>0058</t>
  </si>
  <si>
    <t>0059</t>
  </si>
  <si>
    <t>005A</t>
  </si>
  <si>
    <t>005B</t>
  </si>
  <si>
    <t>005C</t>
  </si>
  <si>
    <t>005D</t>
  </si>
  <si>
    <t>goto #tag_conditional_check_without_user</t>
  </si>
  <si>
    <t>005E</t>
  </si>
  <si>
    <t>005F</t>
  </si>
  <si>
    <t>0060</t>
  </si>
  <si>
    <t>0061</t>
  </si>
  <si>
    <t>0062</t>
  </si>
  <si>
    <t>0063</t>
  </si>
  <si>
    <t>0064</t>
  </si>
  <si>
    <t>10 85 01 00 41 00 00 00;</t>
  </si>
  <si>
    <t>load cbs $element=41</t>
  </si>
  <si>
    <t>0065</t>
  </si>
  <si>
    <t>if equal goto #hafele_guest $hex=0</t>
  </si>
  <si>
    <t>0066</t>
  </si>
  <si>
    <t>0067</t>
  </si>
  <si>
    <t>if equal goto #hafele_staff $hex=1</t>
  </si>
  <si>
    <t>0068</t>
  </si>
  <si>
    <t>if equal goto #hafele_staff $hex=81</t>
  </si>
  <si>
    <t>0069</t>
  </si>
  <si>
    <t>006A</t>
  </si>
  <si>
    <t>10 85 01 00 43 00 00 00;</t>
  </si>
  <si>
    <t>load cbs $element=43</t>
  </si>
  <si>
    <t>006B</t>
  </si>
  <si>
    <t>if equal #exit $dec=1</t>
  </si>
  <si>
    <t>006C</t>
  </si>
  <si>
    <t>if equal #hf_door_open_ingress $dec=2</t>
  </si>
  <si>
    <t>006D</t>
  </si>
  <si>
    <t>if equal #hf_door_open_egress $dec=3</t>
  </si>
  <si>
    <t>006E</t>
  </si>
  <si>
    <t>006F</t>
  </si>
  <si>
    <t>10 85 01 00 44 00 00 00;</t>
  </si>
  <si>
    <t>load cbs $element=44</t>
  </si>
  <si>
    <t>0070</t>
  </si>
  <si>
    <t>if equal #hf_door_close_ok $dec=1</t>
  </si>
  <si>
    <t>0071</t>
  </si>
  <si>
    <t>0072</t>
  </si>
  <si>
    <t>20 FF 00 0F 00 01 00 00;</t>
  </si>
  <si>
    <t>send.modbus $dev=server $reg=15 $hex=0001</t>
  </si>
  <si>
    <t>0073</t>
  </si>
  <si>
    <t>10 80 01 00 02 00 00 00;</t>
  </si>
  <si>
    <t>load $hex=2</t>
  </si>
  <si>
    <t>0074</t>
  </si>
  <si>
    <t>save $var=user_direction</t>
  </si>
  <si>
    <t>0075</t>
  </si>
  <si>
    <t>0076</t>
  </si>
  <si>
    <t>20 FF 00 0F 00 02 00 00;</t>
  </si>
  <si>
    <t>send.modbus $dev=server $reg=15 $hex=0002</t>
  </si>
  <si>
    <t>0077</t>
  </si>
  <si>
    <t>0078</t>
  </si>
  <si>
    <t>save $var=last_action</t>
  </si>
  <si>
    <t>0079</t>
  </si>
  <si>
    <t>reuse #check_exit_scene $sec=20 $dev=tag1</t>
  </si>
  <si>
    <t>007A</t>
  </si>
  <si>
    <t>007B</t>
  </si>
  <si>
    <t>20 FF 00 0F 00 00 00 00;</t>
  </si>
  <si>
    <t>send.modbus $dev=server $reg=15 $hex=0000</t>
  </si>
  <si>
    <t>007C</t>
  </si>
  <si>
    <t>load $var=user_direction</t>
  </si>
  <si>
    <t>007D</t>
  </si>
  <si>
    <t>if equal goto #exit $hex=2</t>
  </si>
  <si>
    <t>007E</t>
  </si>
  <si>
    <t>load $hex=0</t>
  </si>
  <si>
    <t>007F</t>
  </si>
  <si>
    <t>save $var=pir</t>
  </si>
  <si>
    <t>0080</t>
  </si>
  <si>
    <t>0081</t>
  </si>
  <si>
    <t>0082</t>
  </si>
  <si>
    <t>0083</t>
  </si>
  <si>
    <t>0084</t>
  </si>
  <si>
    <t>10 85 01 00 46 00 00 00;</t>
  </si>
  <si>
    <t>load cbs $element=46</t>
  </si>
  <si>
    <t>0085</t>
  </si>
  <si>
    <t>0086</t>
  </si>
  <si>
    <t>0087</t>
  </si>
  <si>
    <t>0088</t>
  </si>
  <si>
    <t>0089</t>
  </si>
  <si>
    <t>10 80 01 00 01 00 00 00;</t>
  </si>
  <si>
    <t>load $hex=1</t>
  </si>
  <si>
    <t>008A</t>
  </si>
  <si>
    <t>008B</t>
  </si>
  <si>
    <t>008C</t>
  </si>
  <si>
    <t>02 08 00 00 00 00 00 00;</t>
  </si>
  <si>
    <t>rcu.read input</t>
  </si>
  <si>
    <t>008D</t>
  </si>
  <si>
    <t>10 05 01 00 80 00 00 00;</t>
  </si>
  <si>
    <t>math.xor $bit=8</t>
  </si>
  <si>
    <t>008E</t>
  </si>
  <si>
    <t>if bit true #exit $bit=8</t>
  </si>
  <si>
    <t>008F</t>
  </si>
  <si>
    <t>load $var=temp1</t>
  </si>
  <si>
    <t>0090</t>
  </si>
  <si>
    <t>22 03 00 19 02 00 00 00;</t>
  </si>
  <si>
    <t>send.modbus $dev=tag1 $reg=25 $len=2</t>
  </si>
  <si>
    <t>0091</t>
  </si>
  <si>
    <t>reuse #tag1_refresh $dev=tag1</t>
  </si>
  <si>
    <t>0092</t>
  </si>
  <si>
    <t>0093</t>
  </si>
  <si>
    <t>0094</t>
  </si>
  <si>
    <t>0095</t>
  </si>
  <si>
    <t>load $var=user</t>
  </si>
  <si>
    <t>0096</t>
  </si>
  <si>
    <t>0097</t>
  </si>
  <si>
    <t>0098</t>
  </si>
  <si>
    <t>0099</t>
  </si>
  <si>
    <t>22 FF 00 02 10 00 00 00;</t>
  </si>
  <si>
    <t>send.modbus $dev=server $reg=2 $len=16</t>
  </si>
  <si>
    <t>009A</t>
  </si>
  <si>
    <t>009B</t>
  </si>
  <si>
    <t>goto #tag_conditional_check_with_user</t>
  </si>
  <si>
    <t>009C</t>
  </si>
  <si>
    <t>009D</t>
  </si>
  <si>
    <t>009E</t>
  </si>
  <si>
    <t>009F</t>
  </si>
  <si>
    <t>10 80 01 00 10 00 00 00;</t>
  </si>
  <si>
    <t>load $hex=10</t>
  </si>
  <si>
    <t>00A0</t>
  </si>
  <si>
    <t>00A1</t>
  </si>
  <si>
    <t>00A2</t>
  </si>
  <si>
    <t>00A3</t>
  </si>
  <si>
    <t>00A4</t>
  </si>
  <si>
    <t>00A5</t>
  </si>
  <si>
    <t>10 80 01 00 00 00 4A 00;</t>
  </si>
  <si>
    <t>load $hex=4a0000</t>
  </si>
  <si>
    <t>00A6</t>
  </si>
  <si>
    <t>10 80 01 01 00 00 00 00;</t>
  </si>
  <si>
    <t>load shift $hex=0</t>
  </si>
  <si>
    <t>00A7</t>
  </si>
  <si>
    <t>00A8</t>
  </si>
  <si>
    <t>10 80 01 00 01 00 4A 00;</t>
  </si>
  <si>
    <t>load $hex=4a0001</t>
  </si>
  <si>
    <t>00A9</t>
  </si>
  <si>
    <t>00AA</t>
  </si>
  <si>
    <t>00AB</t>
  </si>
  <si>
    <t>00AC</t>
  </si>
  <si>
    <t>00AD</t>
  </si>
  <si>
    <t>00AE</t>
  </si>
  <si>
    <t>23 03 00 06 02 00 00 00;</t>
  </si>
  <si>
    <t>send.modbus $type=tag $reg=6 $len=2</t>
  </si>
  <si>
    <t>00AF</t>
  </si>
  <si>
    <t>00B0</t>
  </si>
  <si>
    <t>save $var=temp1</t>
  </si>
  <si>
    <t>00B1</t>
  </si>
  <si>
    <t>00B2</t>
  </si>
  <si>
    <t>10 80 01 00 55 06 3F 00;</t>
  </si>
  <si>
    <t>load $fan=fan1</t>
  </si>
  <si>
    <t>00B3</t>
  </si>
  <si>
    <t>save $var=thermo1</t>
  </si>
  <si>
    <t>00B4</t>
  </si>
  <si>
    <t>00B5</t>
  </si>
  <si>
    <t>save $var=season</t>
  </si>
  <si>
    <t>00B6</t>
  </si>
  <si>
    <t>00B7</t>
  </si>
  <si>
    <t>save $var=room_empty</t>
  </si>
  <si>
    <t>00B8</t>
  </si>
  <si>
    <t>10 80 01 00 32 00 5E 01;</t>
  </si>
  <si>
    <t>load $dec=65536*35*10+5*10</t>
  </si>
  <si>
    <t>00B9</t>
  </si>
  <si>
    <t>save $var=anti_ice</t>
  </si>
  <si>
    <t>00BA</t>
  </si>
  <si>
    <t>00BB</t>
  </si>
  <si>
    <t>save $var=intervention</t>
  </si>
  <si>
    <t>00BC</t>
  </si>
  <si>
    <t>21 03 00 03 00 02 00 00;</t>
  </si>
  <si>
    <t>00BD</t>
  </si>
  <si>
    <t>00BE</t>
  </si>
  <si>
    <t>if bit true #+3 $hex=ff</t>
  </si>
  <si>
    <t>00BF</t>
  </si>
  <si>
    <t>reuse #tag_conditional_check_without_user</t>
  </si>
  <si>
    <t>00C0</t>
  </si>
  <si>
    <t>00C1</t>
  </si>
  <si>
    <t>reuse #tag_conditional_check_with_user</t>
  </si>
  <si>
    <t>00C2</t>
  </si>
  <si>
    <t>00C3</t>
  </si>
  <si>
    <t>00C4</t>
  </si>
  <si>
    <t>00C5</t>
  </si>
  <si>
    <t>00C6</t>
  </si>
  <si>
    <t>00C7</t>
  </si>
  <si>
    <t>00C8</t>
  </si>
  <si>
    <t>00C9</t>
  </si>
  <si>
    <t>00CA</t>
  </si>
  <si>
    <t>00CB</t>
  </si>
  <si>
    <t>00CC</t>
  </si>
  <si>
    <t>00CD</t>
  </si>
  <si>
    <t>00CE</t>
  </si>
  <si>
    <t>00CF</t>
  </si>
  <si>
    <t>00D0</t>
  </si>
  <si>
    <t>00D1</t>
  </si>
  <si>
    <t>22 03 00 0D 04 00 00 00;</t>
  </si>
  <si>
    <t>send.modbus $dev=tag1 $reg=13 $len=4</t>
  </si>
  <si>
    <t>00D2</t>
  </si>
  <si>
    <t>00D3</t>
  </si>
  <si>
    <t>20 FF 00 0D 00 06 00 00;</t>
  </si>
  <si>
    <t>00D4</t>
  </si>
  <si>
    <t>10 80 01 00 59 05 3F 00;</t>
  </si>
  <si>
    <t>load $fan=off</t>
  </si>
  <si>
    <t>00D5</t>
  </si>
  <si>
    <t>00D6</t>
  </si>
  <si>
    <t>00D7</t>
  </si>
  <si>
    <t>00D8</t>
  </si>
  <si>
    <t>22 03 00 5A 04 00 00 00;</t>
  </si>
  <si>
    <t>send.modbus $dev=tag1 $reg=90 $len=4</t>
  </si>
  <si>
    <t>00D9</t>
  </si>
  <si>
    <t>00DA</t>
  </si>
  <si>
    <t>00DB</t>
  </si>
  <si>
    <t>00DC</t>
  </si>
  <si>
    <t>00DD</t>
  </si>
  <si>
    <t>00DE</t>
  </si>
  <si>
    <t>00DF</t>
  </si>
  <si>
    <t>00E0</t>
  </si>
  <si>
    <t>00E1</t>
  </si>
  <si>
    <t>20 FF 00 0D 00 04 00 00;</t>
  </si>
  <si>
    <t>00E2</t>
  </si>
  <si>
    <t>10 80 01 00 55 09 3F 00;</t>
  </si>
  <si>
    <t>load $fan=auto</t>
  </si>
  <si>
    <t>00E3</t>
  </si>
  <si>
    <t>00E4</t>
  </si>
  <si>
    <t>00E5</t>
  </si>
  <si>
    <t>00E6</t>
  </si>
  <si>
    <t>00E7</t>
  </si>
  <si>
    <t>goto #tag1_sub_common</t>
  </si>
  <si>
    <t>00E8</t>
  </si>
  <si>
    <t>20 FF 00 0D 00 01 00 00;</t>
  </si>
  <si>
    <t>00E9</t>
  </si>
  <si>
    <t>00EA</t>
  </si>
  <si>
    <t>00EB</t>
  </si>
  <si>
    <t>00EC</t>
  </si>
  <si>
    <t>00ED</t>
  </si>
  <si>
    <t>00EE</t>
  </si>
  <si>
    <t>00EF</t>
  </si>
  <si>
    <t>20 FF 00 0D 00 02 00 00;</t>
  </si>
  <si>
    <t>00F0</t>
  </si>
  <si>
    <t>10 80 01 00 65 05 3F 00;</t>
  </si>
  <si>
    <t>load $fan=fan2</t>
  </si>
  <si>
    <t>00F1</t>
  </si>
  <si>
    <t>00F2</t>
  </si>
  <si>
    <t>00F3</t>
  </si>
  <si>
    <t>00F4</t>
  </si>
  <si>
    <t>00F5</t>
  </si>
  <si>
    <t>00F6</t>
  </si>
  <si>
    <t>20 FF 00 0D 00 03 00 00;</t>
  </si>
  <si>
    <t>00F7</t>
  </si>
  <si>
    <t>10 80 01 00 56 05 3F 00;</t>
  </si>
  <si>
    <t>load $fan=fan3</t>
  </si>
  <si>
    <t>00F8</t>
  </si>
  <si>
    <t>00F9</t>
  </si>
  <si>
    <t>00FA</t>
  </si>
  <si>
    <t>00FB</t>
  </si>
  <si>
    <t>00FC</t>
  </si>
  <si>
    <t>00FD</t>
  </si>
  <si>
    <t>00FE</t>
  </si>
  <si>
    <t>00FF</t>
  </si>
  <si>
    <t>0100</t>
  </si>
  <si>
    <t>0101</t>
  </si>
  <si>
    <t>reuse #tag1_wakeup</t>
  </si>
  <si>
    <t>0102</t>
  </si>
  <si>
    <t>0103</t>
  </si>
  <si>
    <t>01 01 00 00 60 EA 00 00;</t>
  </si>
  <si>
    <t>wait $sec=6</t>
  </si>
  <si>
    <t>0104</t>
  </si>
  <si>
    <t>26 03 00 19 02 00 00 00;</t>
  </si>
  <si>
    <t>read.modbus $dev=tag1 $reg=25</t>
  </si>
  <si>
    <t>0105</t>
  </si>
  <si>
    <t>0106</t>
  </si>
  <si>
    <t>10 80 10 01 00 00 00 00;</t>
  </si>
  <si>
    <t>load shift enum</t>
  </si>
  <si>
    <t>0107</t>
  </si>
  <si>
    <t>22 FF 00 0B 08 00 00 00;</t>
  </si>
  <si>
    <t>send.modbus $dev=server $reg=11 $len=8</t>
  </si>
  <si>
    <t>0108</t>
  </si>
  <si>
    <t>0109</t>
  </si>
  <si>
    <t>load $display=[]</t>
  </si>
  <si>
    <t>010A</t>
  </si>
  <si>
    <t>010B</t>
  </si>
  <si>
    <t>010C</t>
  </si>
  <si>
    <t>010D</t>
  </si>
  <si>
    <t>010E</t>
  </si>
  <si>
    <t>010F</t>
  </si>
  <si>
    <t>10 05 01 00 01 00 00 00;</t>
  </si>
  <si>
    <t>0110</t>
  </si>
  <si>
    <t>0111</t>
  </si>
  <si>
    <t>0112</t>
  </si>
  <si>
    <t>0113</t>
  </si>
  <si>
    <t>0114</t>
  </si>
  <si>
    <t>0115</t>
  </si>
  <si>
    <t>0116</t>
  </si>
  <si>
    <t>20 FF 00 0C 00 01 00 00;</t>
  </si>
  <si>
    <t>send.modbus $dev=server $reg=12 $hex=001</t>
  </si>
  <si>
    <t>0117</t>
  </si>
  <si>
    <t>0118</t>
  </si>
  <si>
    <t>0119</t>
  </si>
  <si>
    <t>011A</t>
  </si>
  <si>
    <t>011B</t>
  </si>
  <si>
    <t>011C</t>
  </si>
  <si>
    <t>011D</t>
  </si>
  <si>
    <t>20 FF 00 0C 00 00 00 00;</t>
  </si>
  <si>
    <t>send.modbus $dev=server $reg=12 $hex=000</t>
  </si>
  <si>
    <t>011E</t>
  </si>
  <si>
    <t>011F</t>
  </si>
  <si>
    <t>send.modbus $type=tag $reg=3 $hex=2</t>
  </si>
  <si>
    <t>0120</t>
  </si>
  <si>
    <t>0121</t>
  </si>
  <si>
    <t>0122</t>
  </si>
  <si>
    <t>0123</t>
  </si>
  <si>
    <t>0124</t>
  </si>
  <si>
    <t>0125</t>
  </si>
  <si>
    <t>goto #+4</t>
  </si>
  <si>
    <t>0126</t>
  </si>
  <si>
    <t>0127</t>
  </si>
  <si>
    <t>0128</t>
  </si>
  <si>
    <t>0129</t>
  </si>
  <si>
    <t>save $var=gs1</t>
  </si>
  <si>
    <t>012A</t>
  </si>
  <si>
    <t>012B</t>
  </si>
  <si>
    <t>22 04 00 0D 04 00 00 00;</t>
  </si>
  <si>
    <t>012C</t>
  </si>
  <si>
    <t>012D</t>
  </si>
  <si>
    <t>012E</t>
  </si>
  <si>
    <t>012F</t>
  </si>
  <si>
    <t>0130</t>
  </si>
  <si>
    <t>0131</t>
  </si>
  <si>
    <t>0132</t>
  </si>
  <si>
    <t>0133</t>
  </si>
  <si>
    <t>0134</t>
  </si>
  <si>
    <t>0135</t>
  </si>
  <si>
    <t>0136</t>
  </si>
  <si>
    <t>10 80 01 00 07 00 00 00;</t>
  </si>
  <si>
    <t>load $hex=7</t>
  </si>
  <si>
    <t>0137</t>
  </si>
  <si>
    <t>0138</t>
  </si>
  <si>
    <t>0139</t>
  </si>
  <si>
    <t>013A</t>
  </si>
  <si>
    <t>013B</t>
  </si>
  <si>
    <t>013C</t>
  </si>
  <si>
    <t>013D</t>
  </si>
  <si>
    <t>013E</t>
  </si>
  <si>
    <t>013F</t>
  </si>
  <si>
    <t>0140</t>
  </si>
  <si>
    <t>0141</t>
  </si>
  <si>
    <t>0142</t>
  </si>
  <si>
    <t>0143</t>
  </si>
  <si>
    <t>0144</t>
  </si>
  <si>
    <t>0145</t>
  </si>
  <si>
    <t>0146</t>
  </si>
  <si>
    <t>0147</t>
  </si>
  <si>
    <t>0148</t>
  </si>
  <si>
    <t>0149</t>
  </si>
  <si>
    <t>014A</t>
  </si>
  <si>
    <t>014B</t>
  </si>
  <si>
    <t>014C</t>
  </si>
  <si>
    <t>014D</t>
  </si>
  <si>
    <t>014E</t>
  </si>
  <si>
    <t>014F</t>
  </si>
  <si>
    <t>0150</t>
  </si>
  <si>
    <t>0151</t>
  </si>
  <si>
    <t>0152</t>
  </si>
  <si>
    <t>0153</t>
  </si>
  <si>
    <t>0154</t>
  </si>
  <si>
    <t>0155</t>
  </si>
  <si>
    <t>0156</t>
  </si>
  <si>
    <t>load $var=gs1</t>
  </si>
  <si>
    <t>0157</t>
  </si>
  <si>
    <t>0158</t>
  </si>
  <si>
    <t>0159</t>
  </si>
  <si>
    <t>015A</t>
  </si>
  <si>
    <t>015B</t>
  </si>
  <si>
    <t>015C</t>
  </si>
  <si>
    <t>015D</t>
  </si>
  <si>
    <t>015E</t>
  </si>
  <si>
    <t>015F</t>
  </si>
  <si>
    <t>0160</t>
  </si>
  <si>
    <t>0161</t>
  </si>
  <si>
    <t>0162</t>
  </si>
  <si>
    <t>0163</t>
  </si>
  <si>
    <t>0164</t>
  </si>
  <si>
    <t>0165</t>
  </si>
  <si>
    <t>0166</t>
  </si>
  <si>
    <t>0167</t>
  </si>
  <si>
    <t>0168</t>
  </si>
  <si>
    <t>0169</t>
  </si>
  <si>
    <t>016A</t>
  </si>
  <si>
    <t>016B</t>
  </si>
  <si>
    <t>016C</t>
  </si>
  <si>
    <t>016D</t>
  </si>
  <si>
    <t>016E</t>
  </si>
  <si>
    <t>016F</t>
  </si>
  <si>
    <t>0170</t>
  </si>
  <si>
    <t>0171</t>
  </si>
  <si>
    <t>0172</t>
  </si>
  <si>
    <t>0173</t>
  </si>
  <si>
    <t>0174</t>
  </si>
  <si>
    <t>0175</t>
  </si>
  <si>
    <t>0176</t>
  </si>
  <si>
    <t>0177</t>
  </si>
  <si>
    <t>0178</t>
  </si>
  <si>
    <t>0179</t>
  </si>
  <si>
    <t>017A</t>
  </si>
  <si>
    <t>017B</t>
  </si>
  <si>
    <t>017C</t>
  </si>
  <si>
    <t>017D</t>
  </si>
  <si>
    <t>017E</t>
  </si>
  <si>
    <t>017F</t>
  </si>
  <si>
    <t>0180</t>
  </si>
  <si>
    <t>0181</t>
  </si>
  <si>
    <t>0182</t>
  </si>
  <si>
    <t>0183</t>
  </si>
  <si>
    <t>0184</t>
  </si>
  <si>
    <t>0185</t>
  </si>
  <si>
    <t>0186</t>
  </si>
  <si>
    <t>0187</t>
  </si>
  <si>
    <t>0188</t>
  </si>
  <si>
    <t>0189</t>
  </si>
  <si>
    <t>018A</t>
  </si>
  <si>
    <t>018B</t>
  </si>
  <si>
    <t>018C</t>
  </si>
  <si>
    <t>018D</t>
  </si>
  <si>
    <t>018E</t>
  </si>
  <si>
    <t>018F</t>
  </si>
  <si>
    <t>0190</t>
  </si>
  <si>
    <t>0191</t>
  </si>
  <si>
    <t>0192</t>
  </si>
  <si>
    <t>0193</t>
  </si>
  <si>
    <t>0194</t>
  </si>
  <si>
    <t>0195</t>
  </si>
  <si>
    <t>0196</t>
  </si>
  <si>
    <t>0197</t>
  </si>
  <si>
    <t>0198</t>
  </si>
  <si>
    <t>0199</t>
  </si>
  <si>
    <t>019A</t>
  </si>
  <si>
    <t>019B</t>
  </si>
  <si>
    <t>019C</t>
  </si>
  <si>
    <t>019D</t>
  </si>
  <si>
    <t>019E</t>
  </si>
  <si>
    <t>019F</t>
  </si>
  <si>
    <t>01A0</t>
  </si>
  <si>
    <t>01A1</t>
  </si>
  <si>
    <t>01A2</t>
  </si>
  <si>
    <t>01A3</t>
  </si>
  <si>
    <t>01A4</t>
  </si>
  <si>
    <t>01A5</t>
  </si>
  <si>
    <t>01A6</t>
  </si>
  <si>
    <t>01A7</t>
  </si>
  <si>
    <t>01A8</t>
  </si>
  <si>
    <t>01A9</t>
  </si>
  <si>
    <t>01AA</t>
  </si>
  <si>
    <t>01AB</t>
  </si>
  <si>
    <t>01AC</t>
  </si>
  <si>
    <t>01AD</t>
  </si>
  <si>
    <t>01AE</t>
  </si>
  <si>
    <t>01AF</t>
  </si>
  <si>
    <t>01B0</t>
  </si>
  <si>
    <t>01B1</t>
  </si>
  <si>
    <t>01B2</t>
  </si>
  <si>
    <t>01B3</t>
  </si>
  <si>
    <t>01B4</t>
  </si>
  <si>
    <t>01B5</t>
  </si>
  <si>
    <t>01B6</t>
  </si>
  <si>
    <t>01B7</t>
  </si>
  <si>
    <t>01B8</t>
  </si>
  <si>
    <t>01B9</t>
  </si>
  <si>
    <t>01BA</t>
  </si>
  <si>
    <t>01BB</t>
  </si>
  <si>
    <t>01BC</t>
  </si>
  <si>
    <t>01BD</t>
  </si>
  <si>
    <t>01BE</t>
  </si>
  <si>
    <t>01BF</t>
  </si>
  <si>
    <t>01C0</t>
  </si>
  <si>
    <t>01C1</t>
  </si>
  <si>
    <t>01C2</t>
  </si>
  <si>
    <t>01C3</t>
  </si>
  <si>
    <t>01C4</t>
  </si>
  <si>
    <t>01C5</t>
  </si>
  <si>
    <t>01C6</t>
  </si>
  <si>
    <t>01C7</t>
  </si>
  <si>
    <t>01C8</t>
  </si>
  <si>
    <t>01C9</t>
  </si>
  <si>
    <t>02 03 00 00 00 00 00 00;</t>
  </si>
  <si>
    <t>rcu.read relays</t>
  </si>
  <si>
    <t>01CA</t>
  </si>
  <si>
    <t>01CB</t>
  </si>
  <si>
    <t>01CC</t>
  </si>
  <si>
    <t>01CD</t>
  </si>
  <si>
    <t>01CE</t>
  </si>
  <si>
    <t>01CF</t>
  </si>
  <si>
    <t>01D0</t>
  </si>
  <si>
    <t>01D1</t>
  </si>
  <si>
    <t>01D2</t>
  </si>
  <si>
    <t>01D3</t>
  </si>
  <si>
    <t>01D4</t>
  </si>
  <si>
    <t>01D5</t>
  </si>
  <si>
    <t>01D6</t>
  </si>
  <si>
    <t>01D7</t>
  </si>
  <si>
    <t>01D8</t>
  </si>
  <si>
    <t>01D9</t>
  </si>
  <si>
    <t>01DA</t>
  </si>
  <si>
    <t>01DB</t>
  </si>
  <si>
    <t>load $var=pir</t>
  </si>
  <si>
    <t>01DC</t>
  </si>
  <si>
    <t>10 04 01 00 01 00 00 00;</t>
  </si>
  <si>
    <t>math.or $bit=1</t>
  </si>
  <si>
    <t>01DD</t>
  </si>
  <si>
    <t>01DE</t>
  </si>
  <si>
    <t>01DF</t>
  </si>
  <si>
    <t>reuse #pir1_open $sec=15</t>
  </si>
  <si>
    <t>01E0</t>
  </si>
  <si>
    <t>goto #set_last_action</t>
  </si>
  <si>
    <t>01E1</t>
  </si>
  <si>
    <t>01E2</t>
  </si>
  <si>
    <t>10 04 01 00 02 00 00 00;</t>
  </si>
  <si>
    <t>math.or $bit=2</t>
  </si>
  <si>
    <t>01E3</t>
  </si>
  <si>
    <t>01E4</t>
  </si>
  <si>
    <t>01E5</t>
  </si>
  <si>
    <t>01E6</t>
  </si>
  <si>
    <t>01E7</t>
  </si>
  <si>
    <t>01E8</t>
  </si>
  <si>
    <t>01E9</t>
  </si>
  <si>
    <t>01EA</t>
  </si>
  <si>
    <t>01EB</t>
  </si>
  <si>
    <t>01EC</t>
  </si>
  <si>
    <t>01ED</t>
  </si>
  <si>
    <t>01EE</t>
  </si>
  <si>
    <t>01EF</t>
  </si>
  <si>
    <t>01F0</t>
  </si>
  <si>
    <t>01F1</t>
  </si>
  <si>
    <t>01F2</t>
  </si>
  <si>
    <t>01F3</t>
  </si>
  <si>
    <t>01F4</t>
  </si>
  <si>
    <t>01F5</t>
  </si>
  <si>
    <t>01F6</t>
  </si>
  <si>
    <t>01F7</t>
  </si>
  <si>
    <t>01F8</t>
  </si>
  <si>
    <t>01F9</t>
  </si>
  <si>
    <t>10 06 01 00 FE FF FF FF;</t>
  </si>
  <si>
    <t>math.and $bit=1</t>
  </si>
  <si>
    <t>01FA</t>
  </si>
  <si>
    <t>01FB</t>
  </si>
  <si>
    <t>01FC</t>
  </si>
  <si>
    <t>01FD</t>
  </si>
  <si>
    <t>01FE</t>
  </si>
  <si>
    <t>01FF</t>
  </si>
  <si>
    <t>0200</t>
  </si>
  <si>
    <t>0201</t>
  </si>
  <si>
    <t>0202</t>
  </si>
  <si>
    <t>0203</t>
  </si>
  <si>
    <t>0204</t>
  </si>
  <si>
    <t>0205</t>
  </si>
  <si>
    <t>0206</t>
  </si>
  <si>
    <t>0207</t>
  </si>
  <si>
    <t>0208</t>
  </si>
  <si>
    <t>0209</t>
  </si>
  <si>
    <t>020A</t>
  </si>
  <si>
    <t>020B</t>
  </si>
  <si>
    <t>020C</t>
  </si>
  <si>
    <t>020D</t>
  </si>
  <si>
    <t>020E</t>
  </si>
  <si>
    <t>020F</t>
  </si>
  <si>
    <t>0210</t>
  </si>
  <si>
    <t>0211</t>
  </si>
  <si>
    <t>load $var=last_action</t>
  </si>
  <si>
    <t>0212</t>
  </si>
  <si>
    <t>if bit true #exit $hex=ff</t>
  </si>
  <si>
    <t>0213</t>
  </si>
  <si>
    <t>0214</t>
  </si>
  <si>
    <t>if bit true #exit $relay=1-5</t>
  </si>
  <si>
    <t>0215</t>
  </si>
  <si>
    <t>0216</t>
  </si>
  <si>
    <t>0217</t>
  </si>
  <si>
    <t>0218</t>
  </si>
  <si>
    <t>0219</t>
  </si>
  <si>
    <t>021A</t>
  </si>
  <si>
    <t>021B</t>
  </si>
  <si>
    <t>021C</t>
  </si>
  <si>
    <t>021D</t>
  </si>
  <si>
    <t>021E</t>
  </si>
  <si>
    <t>021F</t>
  </si>
  <si>
    <t>0220</t>
  </si>
  <si>
    <t>0221</t>
  </si>
  <si>
    <t>0222</t>
  </si>
  <si>
    <t>save $var=rcu_relay_backup</t>
  </si>
  <si>
    <t>0223</t>
  </si>
  <si>
    <t>0224</t>
  </si>
  <si>
    <t>0225</t>
  </si>
  <si>
    <t>0226</t>
  </si>
  <si>
    <t>0227</t>
  </si>
  <si>
    <t>0228</t>
  </si>
  <si>
    <t>load $var=room_empty</t>
  </si>
  <si>
    <t>0229</t>
  </si>
  <si>
    <t>if less than #+3 $hex=8000</t>
  </si>
  <si>
    <t>022A</t>
  </si>
  <si>
    <t>10 06 01 00 FF 7F FF FF;</t>
  </si>
  <si>
    <t>math.and $relay=16</t>
  </si>
  <si>
    <t>022B</t>
  </si>
  <si>
    <t>math.add $var=temp1</t>
  </si>
  <si>
    <t>022C</t>
  </si>
  <si>
    <t>022D</t>
  </si>
  <si>
    <t>022E</t>
  </si>
  <si>
    <t>022F</t>
  </si>
  <si>
    <t>0230</t>
  </si>
  <si>
    <t>0231</t>
  </si>
  <si>
    <t>load $dec=1</t>
  </si>
  <si>
    <t>0232</t>
  </si>
  <si>
    <t>0233</t>
  </si>
  <si>
    <t>0234</t>
  </si>
  <si>
    <t>0235</t>
  </si>
  <si>
    <t>goto #motion_detect_from_inside</t>
  </si>
  <si>
    <t>0236</t>
  </si>
  <si>
    <t>0237</t>
  </si>
  <si>
    <t>0238</t>
  </si>
  <si>
    <t>0239</t>
  </si>
  <si>
    <t>023A</t>
  </si>
  <si>
    <t>023B</t>
  </si>
  <si>
    <t>math.or $var=rcu_relay_backup</t>
  </si>
  <si>
    <t>023C</t>
  </si>
  <si>
    <t>02 04 00 00 00 00 00 00;</t>
  </si>
  <si>
    <t>rcu.set all relays from acc</t>
  </si>
  <si>
    <t>023D</t>
  </si>
  <si>
    <t>023E</t>
  </si>
  <si>
    <t>02;</t>
  </si>
  <si>
    <t>MAC Address</t>
  </si>
  <si>
    <t>01;</t>
  </si>
  <si>
    <t>Settings page:</t>
  </si>
  <si>
    <t>0x0007D000</t>
  </si>
  <si>
    <t>36;</t>
  </si>
  <si>
    <t>7D;</t>
  </si>
  <si>
    <t>6D;</t>
  </si>
  <si>
    <t>14;</t>
  </si>
  <si>
    <t>Device IP</t>
  </si>
  <si>
    <t>Mask</t>
  </si>
  <si>
    <t>Gateway</t>
  </si>
  <si>
    <t>Port</t>
  </si>
  <si>
    <t>Hi</t>
  </si>
  <si>
    <t>Low</t>
  </si>
  <si>
    <t>Devices/EventMap</t>
  </si>
  <si>
    <t>Device list followed by event map</t>
  </si>
  <si>
    <t>(align 4 byte var/dest)</t>
  </si>
  <si>
    <t>AutoStart/Program</t>
  </si>
  <si>
    <t>Autostart followed by program</t>
  </si>
  <si>
    <t>0=above 63 blocks 80=standard below 63 blocks</t>
  </si>
  <si>
    <t>DeviceNum</t>
  </si>
  <si>
    <t>Devices number</t>
  </si>
  <si>
    <t>AutostartNum</t>
  </si>
  <si>
    <t>Space</t>
  </si>
  <si>
    <t>Number of elements in autoexec</t>
  </si>
  <si>
    <t>TH Server</t>
  </si>
  <si>
    <t>ModBus pseudoadd FF</t>
  </si>
  <si>
    <t>Site code</t>
  </si>
  <si>
    <t>Room number</t>
  </si>
  <si>
    <t>Building/Extension</t>
  </si>
  <si>
    <t>TH server port</t>
  </si>
  <si>
    <t>COM1</t>
  </si>
  <si>
    <t>Master 115k</t>
  </si>
  <si>
    <t>Processes sheet</t>
  </si>
  <si>
    <t>COM2</t>
  </si>
  <si>
    <t>COM3</t>
  </si>
  <si>
    <t>Master 9.6k</t>
  </si>
  <si>
    <t>RF</t>
  </si>
  <si>
    <t>Slave 9600</t>
  </si>
  <si>
    <t>TCP/IP</t>
  </si>
  <si>
    <t>Slave</t>
  </si>
  <si>
    <t>COMTimeout</t>
  </si>
  <si>
    <t>Par secs</t>
  </si>
  <si>
    <t>Max timeout on answer (in 128 1/10000 secs, 20 =1/4 secs)</t>
  </si>
  <si>
    <t>COM Delay 1</t>
  </si>
  <si>
    <t>Tick</t>
  </si>
  <si>
    <t>Delay between packets</t>
  </si>
  <si>
    <t xml:space="preserve">RCU Relay mask </t>
  </si>
  <si>
    <t>security block, filter out thermo relays</t>
  </si>
  <si>
    <t>Thermo1</t>
  </si>
  <si>
    <t>Device Num</t>
  </si>
  <si>
    <t>0=Null, 1=TAG base rel 1/0</t>
  </si>
  <si>
    <t>Control device</t>
  </si>
  <si>
    <t>0=RCU, #=device num</t>
  </si>
  <si>
    <t>open</t>
  </si>
  <si>
    <t>Hot relay</t>
  </si>
  <si>
    <t>0=Null, 1-31 = rel, 32-33 = 0-10V</t>
  </si>
  <si>
    <t>close</t>
  </si>
  <si>
    <t>Cold relay</t>
  </si>
  <si>
    <t>Speed1 relay</t>
  </si>
  <si>
    <t>0=Null, 1-31 = rel</t>
  </si>
  <si>
    <t>Speed2 relay</t>
  </si>
  <si>
    <t>Speed3 relay</t>
  </si>
  <si>
    <t>Window contact</t>
  </si>
  <si>
    <t>87th bits 00Rcu/01Tag/10Dev, 20h=0NO 1NC,  00hNone, 0fh #Input</t>
  </si>
  <si>
    <t>Thermo2</t>
  </si>
  <si>
    <t>87th bits 00Rcu/01Tag/10Dev, 00hNone, #Input number</t>
  </si>
  <si>
    <t>Thermo3</t>
  </si>
  <si>
    <t>Thermo4</t>
  </si>
  <si>
    <t>Thermo5</t>
  </si>
  <si>
    <t>Thermo6</t>
  </si>
  <si>
    <t>8th bit 0Rcu/1Tag, 0None, #Input number</t>
  </si>
  <si>
    <t>Thermo*</t>
  </si>
  <si>
    <t>Speed Ratio</t>
  </si>
  <si>
    <t>FanSpeed=Temperature delta in decimals / ratio</t>
  </si>
  <si>
    <t>Valve Ratio</t>
  </si>
  <si>
    <t>Valve 0-100%= delta temp in cent / ratio</t>
  </si>
  <si>
    <t>RunTime Cold</t>
  </si>
  <si>
    <t>Running time for the valve in TICK</t>
  </si>
  <si>
    <t>es. 190 sec= 10000*190</t>
  </si>
  <si>
    <t>RunTime Hot</t>
  </si>
  <si>
    <t>Roles opening door</t>
  </si>
  <si>
    <t>Permit to define staff open the door</t>
  </si>
  <si>
    <t>high</t>
  </si>
  <si>
    <t>Ablitate groups opening</t>
  </si>
  <si>
    <t>bit1=true</t>
  </si>
  <si>
    <t>Roles blocked by</t>
  </si>
  <si>
    <t>HK and HKS</t>
  </si>
  <si>
    <t>flag on event</t>
  </si>
  <si>
    <t>RfId mode</t>
  </si>
  <si>
    <t>0=standard, 1=Vingcard mixed</t>
  </si>
  <si>
    <t>RfId data</t>
  </si>
  <si>
    <t>On Vingcard mode = starting info for staff</t>
  </si>
  <si>
    <t>Type of calculation for open valve</t>
  </si>
  <si>
    <t>0=standard, 1=japanese algorithm</t>
  </si>
  <si>
    <t>Battery if=1 from program, if=0 charging</t>
  </si>
  <si>
    <t>bit 0=0 Output on, 1=0 if battery dor lock 100% to-do add new HW</t>
  </si>
  <si>
    <t>Delay on server error</t>
  </si>
  <si>
    <t>amount of delay before next send, 0=1 second else (1/10000)&lt;&lt;val</t>
  </si>
  <si>
    <t>IWT -F01/2 - use value 0x10</t>
  </si>
  <si>
    <t>(6.5 seconds delay)</t>
  </si>
  <si>
    <t>FAN remap on valve mode</t>
  </si>
  <si>
    <t>1= fan based on valves according the remap table below</t>
  </si>
  <si>
    <t>Fan1   Fan1 from valve %</t>
  </si>
  <si>
    <t>Fan2   Fan2 from valve %</t>
  </si>
  <si>
    <t>Fan3   Fan3 from valve %</t>
  </si>
  <si>
    <t>BSP1</t>
  </si>
  <si>
    <t>BSP2</t>
  </si>
  <si>
    <t>BSP3</t>
  </si>
  <si>
    <t>BSP4</t>
  </si>
  <si>
    <t>BSP5</t>
  </si>
  <si>
    <t>BSP6</t>
  </si>
  <si>
    <t>COM1 Timeout +Reg 35</t>
  </si>
  <si>
    <t>COM2 Timeout +Reg 35</t>
  </si>
  <si>
    <t>COM3 Timeout +Reg 35</t>
  </si>
  <si>
    <t>COM4 Timeout +Reg 35</t>
  </si>
  <si>
    <t>53;</t>
  </si>
  <si>
    <t>COM4 BusExt</t>
  </si>
  <si>
    <t>!=0 = Activate</t>
  </si>
  <si>
    <r>
      <rPr>
        <b/>
        <sz val="11"/>
        <color theme="1"/>
        <rFont val="Calibri"/>
        <family val="2"/>
        <scheme val="minor"/>
      </rPr>
      <t>3D</t>
    </r>
    <r>
      <rPr>
        <sz val="11"/>
        <color theme="1"/>
        <rFont val="Calibri"/>
        <family val="2"/>
        <scheme val="minor"/>
      </rPr>
      <t>-5D Kaba - 50 WiFi -10.50.53 ZigBee master 50 vingcard;</t>
    </r>
  </si>
  <si>
    <t>COM Ext Type</t>
  </si>
  <si>
    <t>0, 1=Kaba, 2=WiFi/ZigBee transparent, 3=ZigBeeMaster, 4=WiFiMaster Digi API</t>
  </si>
  <si>
    <t>Expansio bus type</t>
  </si>
  <si>
    <t>1=COM, 2=8 relays</t>
  </si>
  <si>
    <t>00;</t>
  </si>
  <si>
    <t>Number of locks</t>
  </si>
  <si>
    <t>Address specified on ZigBee addresses from 0x300</t>
  </si>
  <si>
    <t>ZeroCrossing on Input 8</t>
  </si>
  <si>
    <t>Delay RelayOn/Off on zero crossing (1 activate, &gt;1 delay in TICK)</t>
  </si>
  <si>
    <t>ZeroCrossing on Input</t>
  </si>
  <si>
    <t>Offset GMT  time -&gt; UTC</t>
  </si>
  <si>
    <t>Offset signed INT 32 bit</t>
  </si>
  <si>
    <t>params set to AUS time</t>
  </si>
  <si>
    <t>GMT</t>
  </si>
  <si>
    <t>val</t>
  </si>
  <si>
    <t>FFFFFFFF-hex(GMT *3600)</t>
  </si>
  <si>
    <t>Enabled groups</t>
  </si>
  <si>
    <t>Group</t>
  </si>
  <si>
    <t>000-007</t>
  </si>
  <si>
    <t>008-015</t>
  </si>
  <si>
    <t>016-023</t>
  </si>
  <si>
    <t>248-255</t>
  </si>
  <si>
    <t>Enabled groups IDPG2</t>
  </si>
  <si>
    <t>Enabled groups IDPG3</t>
  </si>
  <si>
    <t>Enabled groups IDPG4</t>
  </si>
  <si>
    <t>Enabled groups IDPG5</t>
  </si>
  <si>
    <t>Enabled groups IDPG6</t>
  </si>
  <si>
    <t>Enabled groups IDPG7</t>
  </si>
  <si>
    <t>Variable short name</t>
  </si>
  <si>
    <t xml:space="preserve">Description for variable                       </t>
  </si>
  <si>
    <t>last_action</t>
  </si>
  <si>
    <t>pir</t>
  </si>
  <si>
    <t>user_direction</t>
  </si>
  <si>
    <t>rcu_relay_backup</t>
  </si>
  <si>
    <t>Tick from midnight</t>
  </si>
  <si>
    <t>HH</t>
  </si>
  <si>
    <t>MM</t>
  </si>
  <si>
    <t>SS</t>
  </si>
  <si>
    <t>Hex</t>
  </si>
  <si>
    <t>Tot:</t>
  </si>
  <si>
    <t>BIN</t>
  </si>
  <si>
    <t>HEX</t>
  </si>
  <si>
    <t>DEC</t>
  </si>
  <si>
    <t>BIN2HEX</t>
  </si>
  <si>
    <t>HEX2BIN</t>
  </si>
  <si>
    <t>00449508</t>
  </si>
  <si>
    <t>DEC2HEX</t>
  </si>
  <si>
    <t>HEX2DEC</t>
  </si>
  <si>
    <t>A</t>
  </si>
  <si>
    <t>GSW Button Assignments</t>
  </si>
  <si>
    <t>RegDec</t>
  </si>
  <si>
    <t>RegHex</t>
  </si>
  <si>
    <t>Hex Value High</t>
  </si>
  <si>
    <t>Hex Value Low</t>
  </si>
  <si>
    <t>Bin Value High</t>
  </si>
  <si>
    <t>Bin Value Low</t>
  </si>
  <si>
    <t>GS Button#</t>
  </si>
  <si>
    <t>Button Color</t>
  </si>
  <si>
    <t>GS2</t>
  </si>
  <si>
    <t>GS4</t>
  </si>
  <si>
    <t>GS6</t>
  </si>
  <si>
    <t>GS8</t>
  </si>
  <si>
    <t>GS10</t>
  </si>
  <si>
    <t>GS12</t>
  </si>
  <si>
    <t>00000000</t>
  </si>
  <si>
    <t>Blue</t>
  </si>
  <si>
    <t>Red</t>
  </si>
  <si>
    <t>Cyan</t>
  </si>
  <si>
    <t>Black</t>
  </si>
  <si>
    <t>REVERSE</t>
  </si>
  <si>
    <t>Blink Button to black for .5 seconds</t>
  </si>
  <si>
    <t>Entry</t>
  </si>
  <si>
    <t>Here</t>
  </si>
  <si>
    <t>bin 2 hex</t>
  </si>
  <si>
    <t>FILTER</t>
  </si>
  <si>
    <t>GS1</t>
  </si>
  <si>
    <t>GS3</t>
  </si>
  <si>
    <t>btn 1</t>
  </si>
  <si>
    <t>btn 2</t>
  </si>
  <si>
    <t>btn 3</t>
  </si>
  <si>
    <t>01010101</t>
  </si>
  <si>
    <t>btn 4</t>
  </si>
  <si>
    <t>x</t>
  </si>
  <si>
    <t>btn 5</t>
  </si>
  <si>
    <t>btn 6</t>
  </si>
  <si>
    <t>btn 7</t>
  </si>
  <si>
    <t>00111111</t>
  </si>
  <si>
    <t>btn 8</t>
  </si>
  <si>
    <t>btn 9</t>
  </si>
  <si>
    <t>btn 10</t>
  </si>
  <si>
    <t>aa</t>
  </si>
  <si>
    <t>btn 11</t>
  </si>
  <si>
    <t>btn 12</t>
  </si>
  <si>
    <t>Backupped variables</t>
  </si>
  <si>
    <t>Start</t>
  </si>
  <si>
    <t>Len</t>
  </si>
  <si>
    <t>Desc</t>
  </si>
  <si>
    <t>Volatile variables</t>
  </si>
  <si>
    <t>0xe0084000</t>
  </si>
  <si>
    <t>Card event log</t>
  </si>
  <si>
    <t>0x7fe00000-0x7fe001ff</t>
  </si>
  <si>
    <t>Event last status bitmap</t>
  </si>
  <si>
    <t>0xe0084004</t>
  </si>
  <si>
    <t>Log</t>
  </si>
  <si>
    <t>0xe0084600</t>
  </si>
  <si>
    <t>0x200</t>
  </si>
  <si>
    <t>64 events</t>
  </si>
  <si>
    <t>#define VOLV_BmEve        ((unsigned char *)0x7fe00000)</t>
  </si>
  <si>
    <t>0xe0084008</t>
  </si>
  <si>
    <t>Revoked cards</t>
  </si>
  <si>
    <t>0xe0084500</t>
  </si>
  <si>
    <t>0x100</t>
  </si>
  <si>
    <t>64 Ids (32bit crc)</t>
  </si>
  <si>
    <t xml:space="preserve">#define VOLV_CardInTig </t>
  </si>
  <si>
    <t xml:space="preserve">  ((unsigned int  *)0x7fe00200)</t>
  </si>
  <si>
    <t>0xe008400C</t>
  </si>
  <si>
    <t>#define VOLV_free1        ((unsigned int  *)0x7fe00204)</t>
  </si>
  <si>
    <t>0xe0084010</t>
  </si>
  <si>
    <t xml:space="preserve">  __top_RAM_RTC_2 = 0xe0084000 + 0x800;</t>
  </si>
  <si>
    <t>#define VOLV_free2        ((unsigned char *)0x7fe00208)</t>
  </si>
  <si>
    <t>0xe0084014</t>
  </si>
  <si>
    <t>Master On/Off</t>
  </si>
  <si>
    <t>#define VOLV_free3        ((unsigned char *)0x7fe0020C)</t>
  </si>
  <si>
    <t>0xe0084018</t>
  </si>
  <si>
    <t>Tag1 status</t>
  </si>
  <si>
    <t>#define VOLV_LastThDev    *((unsigned int *)0x7fe00210)</t>
  </si>
  <si>
    <t>0xe008401C</t>
  </si>
  <si>
    <t>Tag2 status</t>
  </si>
  <si>
    <t>#define VOLV_LastThTemp   *((unsigned int *)0x7fe00214)</t>
  </si>
  <si>
    <t>0xe0084020</t>
  </si>
  <si>
    <t>Tag3 status</t>
  </si>
  <si>
    <t>#define VOLV_LastThComp   *((unsigned int *)0x7fe00218)</t>
  </si>
  <si>
    <t>// Card role/presence</t>
  </si>
  <si>
    <t>0xe0084024</t>
  </si>
  <si>
    <t>Tag4 status</t>
  </si>
  <si>
    <t>#define VOLV_LastThOff    *((unsigned int *)0x7fe0021C)</t>
  </si>
  <si>
    <t>0xe0084028</t>
  </si>
  <si>
    <t>Tag5 status</t>
  </si>
  <si>
    <t>#define VOLV_LastCardChk  ((unsigned int  *)0x7fe00220)</t>
  </si>
  <si>
    <t>0xe008402C</t>
  </si>
  <si>
    <t>Tag6 status</t>
  </si>
  <si>
    <t>#define VOLV_LastCard     ((unsigned char *)0x7fe00224)</t>
  </si>
  <si>
    <t>0xe0084030</t>
  </si>
  <si>
    <t>Tag1 guest temp</t>
  </si>
  <si>
    <t>in decimals</t>
  </si>
  <si>
    <t>#define VOLV_WindowContacts     ((unsigned char *)0x7fe00240)</t>
  </si>
  <si>
    <t>0xe0084034</t>
  </si>
  <si>
    <t>Tag2 guest temp</t>
  </si>
  <si>
    <t>0xe0084038</t>
  </si>
  <si>
    <t>Tag3 guest temp</t>
  </si>
  <si>
    <t>Last TAG Out Set (proxy)</t>
  </si>
  <si>
    <t>0xe008403C</t>
  </si>
  <si>
    <t>Tag4 guest temp</t>
  </si>
  <si>
    <t>0xe0084040</t>
  </si>
  <si>
    <t>Tag5 guest temp</t>
  </si>
  <si>
    <t>0xe0084044</t>
  </si>
  <si>
    <t>Tag6 guest temp</t>
  </si>
  <si>
    <t>0x7fe00400</t>
  </si>
  <si>
    <t>VOLV_ProgramVariable</t>
  </si>
  <si>
    <t>0xe0084048</t>
  </si>
  <si>
    <t>Winter/Summer</t>
  </si>
  <si>
    <t>0=NOP, 1=Summer. 2=Winter</t>
  </si>
  <si>
    <t>0xe008404C</t>
  </si>
  <si>
    <t>Intervention offset</t>
  </si>
  <si>
    <t>0xe0084050</t>
  </si>
  <si>
    <t>Room empty temperature in decimal</t>
  </si>
  <si>
    <t xml:space="preserve"> (if bit 15 0x8000 ON, value is added to offset)</t>
  </si>
  <si>
    <t>0xe0084054</t>
  </si>
  <si>
    <t>User presence/role</t>
  </si>
  <si>
    <t>0xe0084058</t>
  </si>
  <si>
    <t>MuR Workflow status</t>
  </si>
  <si>
    <t>0xe008405c</t>
  </si>
  <si>
    <t>GSW1</t>
  </si>
  <si>
    <t>0xe0084060</t>
  </si>
  <si>
    <t>GSW2</t>
  </si>
  <si>
    <t>0xe0084064</t>
  </si>
  <si>
    <t>GSW3</t>
  </si>
  <si>
    <t>0xe0084068</t>
  </si>
  <si>
    <t>GSW4</t>
  </si>
  <si>
    <t>0xe008406c</t>
  </si>
  <si>
    <t>GSW5</t>
  </si>
  <si>
    <t>0xe0084070</t>
  </si>
  <si>
    <t>GSW6</t>
  </si>
  <si>
    <t>0xe0084074</t>
  </si>
  <si>
    <t>GSW7</t>
  </si>
  <si>
    <t>0xe0084078</t>
  </si>
  <si>
    <t>GSW8</t>
  </si>
  <si>
    <t>0xe008407c</t>
  </si>
  <si>
    <t>GSW9</t>
  </si>
  <si>
    <t>0xe0084080</t>
  </si>
  <si>
    <t>GSW10</t>
  </si>
  <si>
    <t>0xe0084084</t>
  </si>
  <si>
    <t>IOEXP1 proxy</t>
  </si>
  <si>
    <t>0xe0084088</t>
  </si>
  <si>
    <t>IOEXP2 proxy</t>
  </si>
  <si>
    <t>0xe008408c</t>
  </si>
  <si>
    <t>IOEXP3 proxy</t>
  </si>
  <si>
    <t>0xe0084090</t>
  </si>
  <si>
    <t>IOEXP4 proxy</t>
  </si>
  <si>
    <t>0xe0084094</t>
  </si>
  <si>
    <t>IOEXP5 proxy</t>
  </si>
  <si>
    <t>0xe0084098</t>
  </si>
  <si>
    <t>IOEXP6 proxy</t>
  </si>
  <si>
    <t>023F</t>
  </si>
  <si>
    <t>0240</t>
  </si>
  <si>
    <t>0241</t>
  </si>
  <si>
    <t>0242</t>
  </si>
  <si>
    <t>0243</t>
  </si>
  <si>
    <t>0244</t>
  </si>
  <si>
    <t>0245</t>
  </si>
  <si>
    <t>0246</t>
  </si>
  <si>
    <t>0247</t>
  </si>
  <si>
    <t>0248</t>
  </si>
  <si>
    <t>0249</t>
  </si>
  <si>
    <t>024A</t>
  </si>
  <si>
    <t>024B</t>
  </si>
  <si>
    <t>024C</t>
  </si>
  <si>
    <t>024D</t>
  </si>
  <si>
    <t>024E</t>
  </si>
  <si>
    <t>024F</t>
  </si>
  <si>
    <t>0250</t>
  </si>
  <si>
    <t>tag1_active</t>
  </si>
  <si>
    <t>0=inactive 1=active</t>
  </si>
  <si>
    <r>
      <t>season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=03 </t>
    </r>
    <r>
      <rPr>
        <sz val="11"/>
        <color rgb="FF5F5F5F"/>
        <rFont val="Calibri"/>
        <family val="2"/>
        <scheme val="minor"/>
      </rPr>
      <t>//auto</t>
    </r>
  </si>
  <si>
    <t>wait $sec=0.5</t>
  </si>
  <si>
    <t>if bit true #exit $bit=25</t>
  </si>
  <si>
    <t>math.div $dec=10</t>
  </si>
  <si>
    <t>8A</t>
  </si>
  <si>
    <t>load $hex=03</t>
  </si>
  <si>
    <t>send.modbus $type=tag $reg=23 $hex=e10</t>
  </si>
  <si>
    <t>tag1_offline</t>
  </si>
  <si>
    <t>math.mul $hex=100</t>
  </si>
  <si>
    <t>0251</t>
  </si>
  <si>
    <t>0252</t>
  </si>
  <si>
    <t>0253</t>
  </si>
  <si>
    <t>0254</t>
  </si>
  <si>
    <t>0255</t>
  </si>
  <si>
    <t>0256</t>
  </si>
  <si>
    <t>0257</t>
  </si>
  <si>
    <t>0258</t>
  </si>
  <si>
    <t>0259</t>
  </si>
  <si>
    <t>025A</t>
  </si>
  <si>
    <t>025B</t>
  </si>
  <si>
    <t>025C</t>
  </si>
  <si>
    <t>025D</t>
  </si>
  <si>
    <t>025E</t>
  </si>
  <si>
    <t>025F</t>
  </si>
  <si>
    <t>0260</t>
  </si>
  <si>
    <t>0261</t>
  </si>
  <si>
    <t>0262</t>
  </si>
  <si>
    <t>0263</t>
  </si>
  <si>
    <t>0264</t>
  </si>
  <si>
    <t>0265</t>
  </si>
  <si>
    <t>0266</t>
  </si>
  <si>
    <t>10 80 01 00 03 00 00 00;</t>
  </si>
  <si>
    <t>01 01 00 00 88 13 00 00;</t>
  </si>
  <si>
    <t>21 03 00 17 0E 10 00 00;</t>
  </si>
  <si>
    <t>10 09 01 00 0A 00 00 00;</t>
  </si>
  <si>
    <t>10 03 01 00 00 01 00 00;</t>
  </si>
  <si>
    <r>
      <t>room_empty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=8000 </t>
    </r>
    <r>
      <rPr>
        <sz val="11"/>
        <color rgb="FF5F5F5F"/>
        <rFont val="Calibri"/>
        <family val="2"/>
        <scheme val="minor"/>
      </rPr>
      <t>// delta zero</t>
    </r>
  </si>
  <si>
    <t>load $hex=8000</t>
  </si>
  <si>
    <t>10 80 01 00 00 80 00 00;</t>
  </si>
  <si>
    <t>8B</t>
  </si>
  <si>
    <t>8C</t>
  </si>
  <si>
    <t>wait $sec=0.1</t>
  </si>
  <si>
    <t>send.modbus $dev=tag1 $reg=3 $hex=2</t>
  </si>
  <si>
    <t>01 01 00 00 E8 03 00 00;</t>
  </si>
  <si>
    <t>20 03 00 03 00 02 00 00;</t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</si>
  <si>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presence</t>
    </r>
  </si>
  <si>
    <r>
      <t>user_direction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</si>
  <si>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t>long_press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</si>
  <si>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checkout_common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</si>
  <si>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checkout_common</t>
    </r>
  </si>
  <si>
    <t>goto #checkout_common</t>
  </si>
  <si>
    <t>wait $sec=13</t>
  </si>
  <si>
    <t>send.modbus $type=gsw $reg=13 $len=4</t>
  </si>
  <si>
    <t>01 01 00 00 D0 FB 01 00;</t>
  </si>
  <si>
    <t>23 06 00 0D 04 00 00 00;</t>
  </si>
  <si>
    <t>tag_temp_checkin</t>
  </si>
  <si>
    <t>load $var=tag_temp_checkin</t>
  </si>
  <si>
    <t>tag_inter_minmax</t>
  </si>
  <si>
    <t>turndown_scene</t>
  </si>
  <si>
    <t>0=deactive 1=active</t>
  </si>
  <si>
    <t>ok</t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</si>
  <si>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=turndown_scene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</si>
  <si>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=season</t>
    </r>
  </si>
  <si>
    <r>
      <t>room_empty_thermo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=auto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</si>
  <si>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tag_flash_common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</si>
  <si>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tag_show_setpoint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</si>
  <si>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=25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=temp1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</si>
  <si>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tag_show_setpoint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>=55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</si>
  <si>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tag_min_max</t>
    </r>
  </si>
  <si>
    <r>
      <t>math</t>
    </r>
    <r>
      <rPr>
        <sz val="11"/>
        <color rgb="FFFFCC66"/>
        <rFont val="Calibri"/>
        <family val="2"/>
        <scheme val="minor"/>
      </rPr>
      <t>.div.add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=4</t>
    </r>
  </si>
  <si>
    <r>
      <t>math</t>
    </r>
    <r>
      <rPr>
        <sz val="11"/>
        <color rgb="FFFFCC66"/>
        <rFont val="Calibri"/>
        <family val="2"/>
        <scheme val="minor"/>
      </rPr>
      <t>.div.sub.mul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</si>
  <si>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t>// tag1 functions</t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</si>
  <si>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</si>
  <si>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</si>
  <si>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</si>
  <si>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</si>
  <si>
    <r>
      <t>math</t>
    </r>
    <r>
      <rPr>
        <sz val="11"/>
        <color rgb="FFFFCC66"/>
        <rFont val="Calibri"/>
        <family val="2"/>
        <scheme val="minor"/>
      </rPr>
      <t>.or.or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=rcu_relay_backup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</t>
    </r>
  </si>
  <si>
    <t>if equal #exit $hex=1</t>
  </si>
  <si>
    <t>reuse #tag_show_setpoint $sec=2</t>
  </si>
  <si>
    <t>save $var=tag_inter_minmax</t>
  </si>
  <si>
    <t>math.or $var=tag_inter_minmax</t>
  </si>
  <si>
    <t>save $var=tag_minmax</t>
  </si>
  <si>
    <t>load $var=room_empty_thermo</t>
  </si>
  <si>
    <t>if equal #+3 $hex=1</t>
  </si>
  <si>
    <t>save $var=turndown_scene</t>
  </si>
  <si>
    <t>load $var=turndown_scene</t>
  </si>
  <si>
    <t>load $var=season</t>
  </si>
  <si>
    <t>if not equal #tag_flash_common $hex=0</t>
  </si>
  <si>
    <t>save $var=room_empty_thermo</t>
  </si>
  <si>
    <t>goto #tag_show_setpoint $min=55</t>
  </si>
  <si>
    <t>math.add $dec=4</t>
  </si>
  <si>
    <t>math.sub $dec=4</t>
  </si>
  <si>
    <t>load $hex=100</t>
  </si>
  <si>
    <t>load $hex=400</t>
  </si>
  <si>
    <t>load $hex=4</t>
  </si>
  <si>
    <t>reuse #tag1_clear_display</t>
  </si>
  <si>
    <t>math.or $relay=1</t>
  </si>
  <si>
    <t>10 01 01 00 04 00 00 00;</t>
  </si>
  <si>
    <t>10 02 01 00 04 00 00 00;</t>
  </si>
  <si>
    <t>10 80 01 00 00 01 00 00;</t>
  </si>
  <si>
    <t>10 80 01 00 00 04 00 00;</t>
  </si>
  <si>
    <t>10 80 01 00 04 00 00 00;</t>
  </si>
  <si>
    <t>rcu.set $relay=1-4,6,7</t>
  </si>
  <si>
    <t>rcu.unset $relay=1-4,6,7</t>
  </si>
  <si>
    <t>math.and $relay=5,8-32</t>
  </si>
  <si>
    <t>02 09 01 00 6F 00 00 00;</t>
  </si>
  <si>
    <t>02 0A 01 00 6F 00 00 00;</t>
  </si>
  <si>
    <t>10 06 01 00 6F 00 00 00;</t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</si>
  <si>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turn_down_welcome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</si>
  <si>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</si>
  <si>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t>if equal #exit_with_backup $hex=1</t>
  </si>
  <si>
    <t>if not equal #exit_without_backup $hex=1</t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</si>
  <si>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exit_with_backup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</si>
  <si>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exit_without_backup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</si>
  <si>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t>if equal #turn_down_welcome $hex=1</t>
  </si>
  <si>
    <t>if equal #exit $hex=0</t>
  </si>
  <si>
    <t>1=guest 0x10=staff</t>
  </si>
  <si>
    <t>//load $var=user</t>
  </si>
  <si>
    <t>tag1_setpoint_backup</t>
  </si>
  <si>
    <t>tag1_thermo_backup</t>
  </si>
  <si>
    <t>8D</t>
  </si>
  <si>
    <t>load $var=thermo1</t>
  </si>
  <si>
    <r>
      <t>run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=16</t>
    </r>
  </si>
  <si>
    <t>run #tag_flash $sec=16</t>
  </si>
  <si>
    <t>File</t>
  </si>
  <si>
    <t>Version</t>
  </si>
  <si>
    <t>User</t>
  </si>
  <si>
    <t>Date</t>
  </si>
  <si>
    <t>Change Log</t>
  </si>
  <si>
    <t xml:space="preserve">- logic aid for time sync for cbs gateway_x000D__x000D_
- guest override staff fix for last card type_x000D_
</t>
  </si>
  <si>
    <t>Historical Data</t>
  </si>
  <si>
    <t>RCU mem map.RFC-STD</t>
  </si>
  <si>
    <t>0F</t>
  </si>
  <si>
    <t>Mahesh Uddama</t>
  </si>
  <si>
    <t>15/3/2020</t>
  </si>
  <si>
    <t>10</t>
  </si>
  <si>
    <t>17/3/2020</t>
  </si>
  <si>
    <t>card_type</t>
  </si>
  <si>
    <t>save $var=card_type</t>
  </si>
  <si>
    <t>load $var=card_type</t>
  </si>
  <si>
    <t>first_entry</t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</si>
  <si>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</si>
  <si>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hafele_guest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=80 </t>
    </r>
    <r>
      <rPr>
        <sz val="11"/>
        <color rgb="FF5F5F5F"/>
        <rFont val="Calibri"/>
        <family val="2"/>
        <scheme val="minor"/>
      </rPr>
      <t>//first time guest access grant</t>
    </r>
  </si>
  <si>
    <t>load $var=first_entry</t>
  </si>
  <si>
    <t>if not equal #hafele_guest_sub $hex=1</t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</si>
  <si>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</si>
  <si>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user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guest staff to be same</t>
    </r>
  </si>
  <si>
    <t>8E</t>
  </si>
  <si>
    <t>8F</t>
  </si>
  <si>
    <t>commissioning_mode</t>
  </si>
  <si>
    <t>load $var=commissioning_mode</t>
  </si>
  <si>
    <t>save $var=commissioning_mode</t>
  </si>
  <si>
    <t>save $var=first_entry</t>
  </si>
  <si>
    <t>if equal goto #hafele_guest $hex=80</t>
  </si>
  <si>
    <t xml:space="preserve">- remove time sync, since R&amp;D confirmed CBS time sync managed by RCU FW on startup_x000D__x000D__x000D_
- CBS host device re-connect considered as negligible as if it happen RCU should restart recommended_x000D__x000D_
- manage first entry by logic_x000D__x000D_
- if last card type is user, then staff will not override_x000D_
</t>
  </si>
  <si>
    <t>rcu.set $relay=1,4</t>
  </si>
  <si>
    <t>02 09 01 00 09 00 00 00;</t>
  </si>
  <si>
    <t>2/4/2020</t>
  </si>
  <si>
    <t>Introduce Delay between WiFi packet request and response.  only when communication is over WiFi (IWT-F01), external wifi module bus 3 connected with RCU 1.0. Line 0xE4 = 06</t>
  </si>
  <si>
    <t xml:space="preserve">- change guest 2nd entry scene in non-turn down scenario._x000D__x000D_
- Introduce Delay between WiFi packet request and response. Line 0xE4 = 06_x000D__x000D_
</t>
  </si>
  <si>
    <t xml:space="preserve">- card accept welcome + trigger exit counter with 1 min delay_x000D_
</t>
  </si>
  <si>
    <t>12</t>
  </si>
  <si>
    <t>8/4/2020</t>
  </si>
  <si>
    <t>reuse #door_close $sec=5 $dev=tag1</t>
  </si>
  <si>
    <t>13</t>
  </si>
  <si>
    <t>15/4/2020</t>
  </si>
  <si>
    <t>if not equal #+3 $hex=10</t>
  </si>
  <si>
    <t xml:space="preserve">- fast door close exit counter check from door open welcome_x000D__x000D_
- staff to guest override fix_x000D__x000D_
</t>
  </si>
  <si>
    <t>14</t>
  </si>
  <si>
    <t>30/5/2020</t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</si>
  <si>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>=3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</si>
  <si>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master_off_check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$min</t>
    </r>
    <r>
      <rPr>
        <sz val="11"/>
        <color theme="0"/>
        <rFont val="Calibri"/>
        <family val="2"/>
        <scheme val="minor"/>
      </rPr>
      <t>=10</t>
    </r>
  </si>
  <si>
    <t xml:space="preserve">- change delayed egress from 1min to 10sec_x000D__x000D_
- reduced 1min added back to the main timer._x000D_
</t>
  </si>
  <si>
    <t>reuse #master_off_check $min=3</t>
  </si>
  <si>
    <t>reuse #master_off_check $min=10</t>
  </si>
  <si>
    <t>reuse #door_close $dev=tag1</t>
  </si>
  <si>
    <t xml:space="preserve">- reduce ingress delay from 5 sec to 0 sec, _x000D__x000D_
- reduce egress delay from 10 sec to 5 sec_x000D_
</t>
  </si>
  <si>
    <t>15</t>
  </si>
  <si>
    <t>9/6/2020</t>
  </si>
  <si>
    <t>// advance user presence management cause and interrupt model</t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</si>
  <si>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=ff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</si>
  <si>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</si>
  <si>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math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</si>
  <si>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</si>
  <si>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skip_notify_interrupt</t>
    </r>
  </si>
  <si>
    <t>send.modbus $dev=server $reg=17 $len=16</t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</si>
  <si>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//user presence by door card ok</t>
    </r>
  </si>
  <si>
    <r>
      <t>math</t>
    </r>
    <r>
      <rPr>
        <sz val="11"/>
        <color rgb="FFFFCC66"/>
        <rFont val="Calibri"/>
        <family val="2"/>
        <scheme val="minor"/>
      </rPr>
      <t>.mul.or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</si>
  <si>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=last_action</t>
    </r>
  </si>
  <si>
    <r>
      <t>last_action</t>
    </r>
    <r>
      <rPr>
        <sz val="11"/>
        <color rgb="FFFFCC66"/>
        <rFont val="Calibri"/>
        <family val="2"/>
        <scheme val="minor"/>
      </rPr>
      <t>.div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=100</t>
    </r>
  </si>
  <si>
    <t>send.modbus $dev=server $reg=3 $len=16</t>
  </si>
  <si>
    <t>math.or $var=last_action</t>
  </si>
  <si>
    <t>math.and $hex=ff</t>
  </si>
  <si>
    <t>if not equal #skip_notify_interrupt $hex=0</t>
  </si>
  <si>
    <t>math.div $hex=100</t>
  </si>
  <si>
    <t>if equal #skip_notify_interrupt $hex=0</t>
  </si>
  <si>
    <t>22 FF 00 03 10 00 00 00;</t>
  </si>
  <si>
    <t>10 06 01 00 FF 00 00 00;</t>
  </si>
  <si>
    <t>10 09 01 00 00 01 00 00;</t>
  </si>
  <si>
    <t>22 FF 00 11 10 00 00 00;</t>
  </si>
  <si>
    <t xml:space="preserve">- implement advance user presence management cause &amp; interrupt model_x000D_
</t>
  </si>
  <si>
    <t>16</t>
  </si>
  <si>
    <t>20/7/2020</t>
  </si>
  <si>
    <t xml:space="preserve">- finetune cause and interrupt model, to avoid sending interrupt on motion detection from inside and activate user._x000D_
</t>
  </si>
  <si>
    <t>17</t>
  </si>
  <si>
    <t>15/8/2020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</si>
  <si>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tag1_unpress</t>
    </r>
  </si>
  <si>
    <t>tag1_unpress</t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</si>
  <si>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</si>
  <si>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</si>
  <si>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=0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</si>
  <si>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motion_settings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</si>
  <si>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</si>
  <si>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</si>
  <si>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=80*10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</si>
  <si>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=30*10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</si>
  <si>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=80*10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</si>
  <si>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=30*10</t>
    </r>
  </si>
  <si>
    <r>
      <t>commissioning_mode</t>
    </r>
    <r>
      <rPr>
        <sz val="11"/>
        <color rgb="FFFFCC66"/>
        <rFont val="Calibri"/>
        <family val="2"/>
        <scheme val="minor"/>
      </rPr>
      <t>.unset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</si>
  <si>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=300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=63 </t>
    </r>
    <r>
      <rPr>
        <sz val="11"/>
        <color rgb="FF5F5F5F"/>
        <rFont val="Calibri"/>
        <family val="2"/>
        <scheme val="minor"/>
      </rPr>
      <t>//send GSW modbus [multi device]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</si>
  <si>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=301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=15E </t>
    </r>
    <r>
      <rPr>
        <sz val="11"/>
        <color rgb="FF5F5F5F"/>
        <rFont val="Calibri"/>
        <family val="2"/>
        <scheme val="minor"/>
      </rPr>
      <t>//send GSW modbus [multi device]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</si>
  <si>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=gsw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=302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=04 </t>
    </r>
    <r>
      <rPr>
        <sz val="11"/>
        <color rgb="FF5F5F5F"/>
        <rFont val="Calibri"/>
        <family val="2"/>
        <scheme val="minor"/>
      </rPr>
      <t>//send GSW modbus [multi device]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</si>
  <si>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=tag_temp_checkin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</si>
  <si>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advance user absence by checkout , cause and interrupt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</si>
  <si>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absence</t>
    </r>
  </si>
  <si>
    <r>
      <t>rcu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=1-4,6,7</t>
    </r>
  </si>
  <si>
    <r>
      <t>first_entry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</si>
  <si>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</si>
  <si>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advance user absence by checkin , cause and interrupt mode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</si>
  <si>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door_close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</si>
  <si>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door_close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</si>
  <si>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hafele_guest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</si>
  <si>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=card_type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</si>
  <si>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5F5F5F"/>
        <rFont val="Calibri"/>
        <family val="2"/>
        <scheme val="minor"/>
      </rPr>
      <t>// if staff then user set to 0 to welcome to trigger</t>
    </r>
  </si>
  <si>
    <r>
      <t>user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strickly no server send here, because it’s a changeover (MU)</t>
    </r>
  </si>
  <si>
    <r>
      <t>card_type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</si>
  <si>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//Card accept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</si>
  <si>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=first_entry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</si>
  <si>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hafele_guest_sub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</si>
  <si>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=1-4,6,7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</si>
  <si>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</si>
  <si>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=turndown_scene,first_entry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</si>
  <si>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tag_conditional_check_with_user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</si>
  <si>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door_close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</si>
  <si>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hafele_guest_sub</t>
    </r>
  </si>
  <si>
    <r>
      <t>rcu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=1,4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</si>
  <si>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turn_down_welcome</t>
    </r>
  </si>
  <si>
    <r>
      <t>turndown_scene</t>
    </r>
    <r>
      <rPr>
        <sz val="11"/>
        <color rgb="FFFFCC66"/>
        <rFont val="Calibri"/>
        <family val="2"/>
        <scheme val="minor"/>
      </rPr>
      <t>.unset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</si>
  <si>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hafele_staff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</si>
  <si>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5F5F5F"/>
        <rFont val="Calibri"/>
        <family val="2"/>
        <scheme val="minor"/>
      </rPr>
      <t>// just to send server it’s a staff card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</si>
  <si>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</si>
  <si>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card_type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</si>
  <si>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=0.5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</si>
  <si>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tag_flash_common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</si>
  <si>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</si>
  <si>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//TAGs disable top btns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</si>
  <si>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=23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=E10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</si>
  <si>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tag_show_setpoint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=2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</si>
  <si>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=tag_inter_minmax</t>
    </r>
  </si>
  <si>
    <r>
      <t>math</t>
    </r>
    <r>
      <rPr>
        <sz val="11"/>
        <color rgb="FFFFCC66"/>
        <rFont val="Calibri"/>
        <family val="2"/>
        <scheme val="minor"/>
      </rPr>
      <t>.or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=tag_inter_minmax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</si>
  <si>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=tag_minmax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</si>
  <si>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tag1_offline</t>
    </r>
  </si>
  <si>
    <r>
      <t>if bit true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=25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</si>
  <si>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=room_empty_thermo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</si>
  <si>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tag1_off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</si>
  <si>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</si>
  <si>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tag1_auto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</si>
  <si>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=auto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</si>
  <si>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</si>
  <si>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tag1_fan2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</si>
  <si>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</si>
  <si>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tag1_fan3</t>
    </r>
  </si>
  <si>
    <r>
      <t>thermo1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</si>
  <si>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read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>=25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</si>
  <si>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=[]</t>
    </r>
  </si>
  <si>
    <r>
      <t>wait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=0.1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</si>
  <si>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 cause &amp; interrupt pir1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</si>
  <si>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=commissioning_mode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</si>
  <si>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=card_type </t>
    </r>
    <r>
      <rPr>
        <sz val="11"/>
        <color rgb="FF5F5F5F"/>
        <rFont val="Calibri"/>
        <family val="2"/>
        <scheme val="minor"/>
      </rPr>
      <t>// since user is always 1, last card type tells which user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</si>
  <si>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exit_with_backup</t>
    </r>
  </si>
  <si>
    <r>
      <t>math</t>
    </r>
    <r>
      <rPr>
        <sz val="11"/>
        <color rgb="FFFFCC66"/>
        <rFont val="Calibri"/>
        <family val="2"/>
        <scheme val="minor"/>
      </rPr>
      <t>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$relay</t>
    </r>
    <r>
      <rPr>
        <sz val="11"/>
        <color theme="0"/>
        <rFont val="Calibri"/>
        <family val="2"/>
        <scheme val="minor"/>
      </rPr>
      <t>=5,8-32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</si>
  <si>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=rcu_relay_backup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</si>
  <si>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exit_without_backup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</si>
  <si>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//User absence from logic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</si>
  <si>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tag_conditional_check_without_user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</si>
  <si>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skip_notify_interrupt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 </t>
    </r>
    <r>
      <rPr>
        <sz val="11"/>
        <color rgb="FF5F5F5F"/>
        <rFont val="Calibri"/>
        <family val="2"/>
        <scheme val="minor"/>
      </rPr>
      <t>// if guest 0 this is not an interrupt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</si>
  <si>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5F5F5F"/>
        <rFont val="Calibri"/>
        <family val="2"/>
        <scheme val="minor"/>
      </rPr>
      <t>// interrupt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</si>
  <si>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 xml:space="preserve">=last_action </t>
    </r>
    <r>
      <rPr>
        <sz val="11"/>
        <color rgb="FF5F5F5F"/>
        <rFont val="Calibri"/>
        <family val="2"/>
        <scheme val="minor"/>
      </rPr>
      <t>// cause of user presence</t>
    </r>
  </si>
  <si>
    <t xml:space="preserve">- create new state for intervention based on user presence and pms status as requested in new cfs revision_x000D_
</t>
  </si>
  <si>
    <t>18</t>
  </si>
  <si>
    <t>21/6/2021</t>
  </si>
  <si>
    <t>E0</t>
  </si>
  <si>
    <t>load $display=[gst]</t>
  </si>
  <si>
    <t>03</t>
  </si>
  <si>
    <t>1E</t>
  </si>
  <si>
    <t>37 00</t>
  </si>
  <si>
    <t>;TAG1</t>
  </si>
  <si>
    <t>13;</t>
  </si>
  <si>
    <t>01 01</t>
  </si>
  <si>
    <t>Access Reject</t>
  </si>
  <si>
    <t>ajar_time</t>
  </si>
  <si>
    <t>05 01</t>
  </si>
  <si>
    <t>Door Ajar</t>
  </si>
  <si>
    <t>06 01</t>
  </si>
  <si>
    <t>Deadbolt</t>
  </si>
  <si>
    <t>08 01</t>
  </si>
  <si>
    <t>Low battery</t>
  </si>
  <si>
    <t>battery_perc</t>
  </si>
  <si>
    <t>10 80 01 00 00 00 4B 00;</t>
  </si>
  <si>
    <t>load $hex=4b0000</t>
  </si>
  <si>
    <t>10 80 01 00 01 00 4B 00;</t>
  </si>
  <si>
    <t>load $hex=4b0001</t>
  </si>
  <si>
    <t>10 80 01 00 00 00 4D 00;</t>
  </si>
  <si>
    <t>load $hex=4d0000</t>
  </si>
  <si>
    <t>10 80 01 00 01 00 4D 00;</t>
  </si>
  <si>
    <t>load $hex=4d0001</t>
  </si>
  <si>
    <t>70 08 05 00 01 f0 00 00;</t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</si>
  <si>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=thermo1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</si>
  <si>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=10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</si>
  <si>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=3f0519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</si>
  <si>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=3f0915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</si>
  <si>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=3f0615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</si>
  <si>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=3f0525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</si>
  <si>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=3f0516</t>
    </r>
  </si>
  <si>
    <r>
      <t>tag_c/f</t>
    </r>
    <r>
      <rPr>
        <sz val="11"/>
        <color rgb="FFFFCC66"/>
        <rFont val="Calibri"/>
        <family val="2"/>
        <scheme val="minor"/>
      </rPr>
      <t>.xor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</si>
  <si>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=1 </t>
    </r>
    <r>
      <rPr>
        <sz val="11"/>
        <color rgb="FF5F5F5F"/>
        <rFont val="Calibri"/>
        <family val="2"/>
        <scheme val="minor"/>
      </rPr>
      <t>// cause &amp; interrupt gs</t>
    </r>
  </si>
  <si>
    <t>GSW09</t>
  </si>
  <si>
    <t>7F 00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</si>
  <si>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</si>
  <si>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GSW09_btn_1_dnd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</si>
  <si>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GSW09_btn_3_mur</t>
    </r>
  </si>
  <si>
    <t>reserved for API</t>
  </si>
  <si>
    <t>reuse #tag1_refresh</t>
  </si>
  <si>
    <t>reuse #tag1_delayed_window_close $dev=tag1 $sec=3</t>
  </si>
  <si>
    <t>reuse #tag1_clear_display $dev=tag1</t>
  </si>
  <si>
    <t>reuse #tag1_delayed_window_open $dev=tag1 $sec=3</t>
  </si>
  <si>
    <t>if equal #+3 $hex=0</t>
  </si>
  <si>
    <t>if equal goto #+6 $fan=off</t>
  </si>
  <si>
    <t>if equal goto #+7 $fan=fan1</t>
  </si>
  <si>
    <t>if equal goto #+8 $fan=fan2</t>
  </si>
  <si>
    <t>if equal goto #+9 $fan=fan3</t>
  </si>
  <si>
    <t>goto #+8</t>
  </si>
  <si>
    <t>goto #+6</t>
  </si>
  <si>
    <t>load $hex=3f0519</t>
  </si>
  <si>
    <t>load $hex=3f0915</t>
  </si>
  <si>
    <t>load $hex=3f0615</t>
  </si>
  <si>
    <t>load $hex=3f0525</t>
  </si>
  <si>
    <t>load $hex=3f0516</t>
  </si>
  <si>
    <t>reuse #tag1_refresh $sec=15</t>
  </si>
  <si>
    <t>send.modbus $dev=server $reg=13 $hex=001</t>
  </si>
  <si>
    <t>send.modbus $dev=server $reg=13 $hex=002</t>
  </si>
  <si>
    <t>send.modbus $dev=server $reg=13 $hex=003</t>
  </si>
  <si>
    <t>send.modbus $dev=server $reg=13 $hex=006</t>
  </si>
  <si>
    <t>send.modbus $dev=server $reg=13 $hex=004</t>
  </si>
  <si>
    <t>if bit true goto #+3 $bit=1</t>
  </si>
  <si>
    <r>
      <t>tag_minmax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=18*256+28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</si>
  <si>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=16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non-interactive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</si>
  <si>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=18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=30*10 </t>
    </r>
    <r>
      <rPr>
        <sz val="11"/>
        <color rgb="FF5F5F5F"/>
        <rFont val="Calibri"/>
        <family val="2"/>
        <scheme val="minor"/>
      </rPr>
      <t>// non-interactive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</si>
  <si>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=15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interactive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</si>
  <si>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$type</t>
    </r>
    <r>
      <rPr>
        <sz val="11"/>
        <color theme="0"/>
        <rFont val="Calibri"/>
        <family val="2"/>
        <scheme val="minor"/>
      </rPr>
      <t xml:space="preserve">=tag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=17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 xml:space="preserve">=60*10 </t>
    </r>
    <r>
      <rPr>
        <sz val="11"/>
        <color rgb="FF5F5F5F"/>
        <rFont val="Calibri"/>
        <family val="2"/>
        <scheme val="minor"/>
      </rPr>
      <t>// interactive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</si>
  <si>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=2 </t>
    </r>
    <r>
      <rPr>
        <sz val="11"/>
        <color rgb="FF5F5F5F"/>
        <rFont val="Calibri"/>
        <family val="2"/>
        <scheme val="minor"/>
      </rPr>
      <t>//TAG1 disable top btns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</si>
  <si>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=84 </t>
    </r>
    <r>
      <rPr>
        <sz val="11"/>
        <color rgb="FF5F5F5F"/>
        <rFont val="Calibri"/>
        <family val="2"/>
        <scheme val="minor"/>
      </rPr>
      <t>//tag1 C, 1.0 steps, rounded, only setpoint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</si>
  <si>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=6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=2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=tag_minmax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</si>
  <si>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</si>
  <si>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tag1_window_close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</si>
  <si>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=000 </t>
    </r>
    <r>
      <rPr>
        <sz val="11"/>
        <color rgb="FF5F5F5F"/>
        <rFont val="Calibri"/>
        <family val="2"/>
        <scheme val="minor"/>
      </rPr>
      <t>//tag1 window close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</si>
  <si>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tag1_delayed_window_close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</si>
  <si>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tag1_delayed_window_close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</si>
  <si>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tag1_clear_display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=tag1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</si>
  <si>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tag1_window_open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</si>
  <si>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=12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=001 </t>
    </r>
    <r>
      <rPr>
        <sz val="11"/>
        <color rgb="FF5F5F5F"/>
        <rFont val="Calibri"/>
        <family val="2"/>
        <scheme val="minor"/>
      </rPr>
      <t>//tag1 window open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</si>
  <si>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tag1_delayed_window_open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=3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</si>
  <si>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tag1_delayed_window_open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</si>
  <si>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</si>
  <si>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+6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=off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</si>
  <si>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+7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=fan1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</si>
  <si>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+8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=fan2</t>
    </r>
  </si>
  <si>
    <r>
      <t>if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+9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$fan</t>
    </r>
    <r>
      <rPr>
        <sz val="11"/>
        <color theme="0"/>
        <rFont val="Calibri"/>
        <family val="2"/>
        <scheme val="minor"/>
      </rPr>
      <t>=fan3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</si>
  <si>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+8</t>
    </r>
  </si>
  <si>
    <r>
      <t>goto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+6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</si>
  <si>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tag1_wc_refresh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</si>
  <si>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=400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</si>
  <si>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=[balc]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</si>
  <si>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tag1_refresh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>=15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</si>
  <si>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</si>
  <si>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=002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</si>
  <si>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=003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</si>
  <si>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=006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</si>
  <si>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=server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=004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</si>
  <si>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tag1_c/f</t>
    </r>
  </si>
  <si>
    <r>
      <t>if bit true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+3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>=1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</si>
  <si>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=84 </t>
    </r>
    <r>
      <rPr>
        <sz val="11"/>
        <color rgb="FF5F5F5F"/>
        <rFont val="Calibri"/>
        <family val="2"/>
        <scheme val="minor"/>
      </rPr>
      <t>// c mode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</si>
  <si>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=8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 xml:space="preserve">=85 </t>
    </r>
    <r>
      <rPr>
        <sz val="11"/>
        <color rgb="FF5F5F5F"/>
        <rFont val="Calibri"/>
        <family val="2"/>
        <scheme val="minor"/>
      </rPr>
      <t>// f mode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</si>
  <si>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display_onity_text</t>
    </r>
  </si>
  <si>
    <r>
      <t>load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$display</t>
    </r>
    <r>
      <rPr>
        <sz val="11"/>
        <color theme="0"/>
        <rFont val="Calibri"/>
        <family val="2"/>
        <scheme val="minor"/>
      </rPr>
      <t>=[gst]</t>
    </r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</si>
  <si>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=tag1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=90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</si>
  <si>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save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=user,workflow,pir,commissioning_mode</t>
    </r>
  </si>
  <si>
    <r>
      <t>intervention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=65536*0.5*10+0.1*10</t>
    </r>
  </si>
  <si>
    <r>
      <t>gs1</t>
    </r>
    <r>
      <rPr>
        <sz val="11"/>
        <color rgb="FFFFCC66"/>
        <rFont val="Calibri"/>
        <family val="2"/>
        <scheme val="minor"/>
      </rPr>
      <t>.unset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5F5F5F"/>
        <rFont val="Calibri"/>
        <family val="2"/>
        <scheme val="minor"/>
      </rPr>
      <t>// gs1 var unset all colors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</si>
  <si>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GSW09_update_mur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</si>
  <si>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GSW09_update_egress</t>
    </r>
  </si>
  <si>
    <t>egress_status</t>
  </si>
  <si>
    <t>load $var=egress_status</t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</si>
  <si>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GSW09_update_mur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=7</t>
    </r>
  </si>
  <si>
    <r>
      <t>If not equal</t>
    </r>
    <r>
      <rPr>
        <sz val="11"/>
        <color theme="0"/>
        <rFont val="Calibri"/>
        <family val="2"/>
        <scheme val="minor"/>
      </rPr>
      <t xml:space="preserve"> goto #</t>
    </r>
    <r>
      <rPr>
        <b/>
        <sz val="11"/>
        <color theme="0"/>
        <rFont val="Calibri"/>
        <family val="2"/>
        <scheme val="minor"/>
      </rPr>
      <t>GSW09_update_egress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</si>
  <si>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=2 </t>
    </r>
    <r>
      <rPr>
        <b/>
        <sz val="11"/>
        <color rgb="FF5F5F5F"/>
        <rFont val="Calibri"/>
        <family val="2"/>
        <scheme val="minor"/>
      </rPr>
      <t>// btn1 red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</si>
  <si>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=6 </t>
    </r>
    <r>
      <rPr>
        <b/>
        <sz val="11"/>
        <color rgb="FF5F5F5F"/>
        <rFont val="Calibri"/>
        <family val="2"/>
        <scheme val="minor"/>
      </rPr>
      <t>// btn3 green</t>
    </r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</si>
  <si>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=egress_status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</si>
  <si>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GSW09_guest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</si>
  <si>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GSW09_guest</t>
    </r>
  </si>
  <si>
    <r>
      <t>load</t>
    </r>
    <r>
      <rPr>
        <b/>
        <sz val="11"/>
        <color rgb="FF00FF99"/>
        <rFont val="Calibri"/>
        <family val="2"/>
        <scheme val="minor"/>
      </rPr>
      <t xml:space="preserve"> $var</t>
    </r>
    <r>
      <rPr>
        <b/>
        <sz val="11"/>
        <color theme="0"/>
        <rFont val="Calibri"/>
        <family val="2"/>
        <scheme val="minor"/>
      </rPr>
      <t>=card_type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</si>
  <si>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GSW09_staff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</si>
  <si>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=11 </t>
    </r>
    <r>
      <rPr>
        <b/>
        <sz val="11"/>
        <color rgb="FF5F5F5F"/>
        <rFont val="Calibri"/>
        <family val="2"/>
        <scheme val="minor"/>
      </rPr>
      <t>// btn6 white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</si>
  <si>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GSW09_staff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</si>
  <si>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=7 </t>
    </r>
    <r>
      <rPr>
        <b/>
        <sz val="11"/>
        <color rgb="FF5F5F5F"/>
        <rFont val="Calibri"/>
        <family val="2"/>
        <scheme val="minor"/>
      </rPr>
      <t>// btn4 white</t>
    </r>
  </si>
  <si>
    <t>deadbolt_status</t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</si>
  <si>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GSW09_deadbolt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  <r>
      <rPr>
        <b/>
        <sz val="11"/>
        <color theme="0"/>
        <rFont val="Calibri"/>
        <family val="2"/>
        <scheme val="minor"/>
      </rPr>
      <t>0</t>
    </r>
  </si>
  <si>
    <t>load $var=deadbolt_status</t>
  </si>
  <si>
    <r>
      <t>load</t>
    </r>
    <r>
      <rPr>
        <sz val="11"/>
        <color rgb="FF00FF99"/>
        <rFont val="Calibri"/>
        <family val="2"/>
        <scheme val="minor"/>
      </rPr>
      <t xml:space="preserve"> $var</t>
    </r>
    <r>
      <rPr>
        <sz val="11"/>
        <color theme="0"/>
        <rFont val="Calibri"/>
        <family val="2"/>
        <scheme val="minor"/>
      </rPr>
      <t>=deadbolt_status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</si>
  <si>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GSW09_deadbolt</t>
    </r>
  </si>
  <si>
    <r>
      <t>if not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GSW09_send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$hex</t>
    </r>
    <r>
      <rPr>
        <sz val="11"/>
        <color theme="0"/>
        <rFont val="Calibri"/>
        <family val="2"/>
        <scheme val="minor"/>
      </rPr>
      <t>=1</t>
    </r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</si>
  <si>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=15 </t>
    </r>
    <r>
      <rPr>
        <b/>
        <sz val="11"/>
        <color rgb="FF5F5F5F"/>
        <rFont val="Calibri"/>
        <family val="2"/>
        <scheme val="minor"/>
      </rPr>
      <t>// btn8 white</t>
    </r>
  </si>
  <si>
    <t>06</t>
  </si>
  <si>
    <t>28</t>
  </si>
  <si>
    <t>49 00</t>
  </si>
  <si>
    <t>;GSW09</t>
  </si>
  <si>
    <r>
      <t>send</t>
    </r>
    <r>
      <rPr>
        <sz val="11"/>
        <color rgb="FFFFCC66"/>
        <rFont val="Calibri"/>
        <family val="2"/>
        <scheme val="minor"/>
      </rPr>
      <t>.modbus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 xml:space="preserve">=gs1 </t>
    </r>
    <r>
      <rPr>
        <sz val="11"/>
        <color rgb="FF00FF99"/>
        <rFont val="Calibri"/>
        <family val="2"/>
        <scheme val="minor"/>
      </rPr>
      <t>$reg</t>
    </r>
    <r>
      <rPr>
        <sz val="11"/>
        <color theme="0"/>
        <rFont val="Calibri"/>
        <family val="2"/>
        <scheme val="minor"/>
      </rPr>
      <t xml:space="preserve">=13 </t>
    </r>
    <r>
      <rPr>
        <sz val="11"/>
        <color rgb="FF00FF99"/>
        <rFont val="Calibri"/>
        <family val="2"/>
        <scheme val="minor"/>
      </rPr>
      <t>$len</t>
    </r>
    <r>
      <rPr>
        <sz val="11"/>
        <color theme="0"/>
        <rFont val="Calibri"/>
        <family val="2"/>
        <scheme val="minor"/>
      </rPr>
      <t>=4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</si>
  <si>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GSW09_send</t>
    </r>
  </si>
  <si>
    <r>
      <t>user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=1 </t>
    </r>
    <r>
      <rPr>
        <b/>
        <sz val="11"/>
        <color rgb="FF5F5F5F"/>
        <rFont val="Calibri"/>
        <family val="2"/>
        <scheme val="minor"/>
      </rPr>
      <t>// guest staff to be same</t>
    </r>
  </si>
  <si>
    <r>
      <t>card_type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=1 </t>
    </r>
    <r>
      <rPr>
        <b/>
        <sz val="11"/>
        <color rgb="FF5F5F5F"/>
        <rFont val="Calibri"/>
        <family val="2"/>
        <scheme val="minor"/>
      </rPr>
      <t>// set as guest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</si>
  <si>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GSW09_dnd_check</t>
    </r>
  </si>
  <si>
    <r>
      <t>if not equal</t>
    </r>
    <r>
      <rPr>
        <b/>
        <sz val="11"/>
        <color theme="0"/>
        <rFont val="Calibri"/>
        <family val="2"/>
        <scheme val="minor"/>
      </rPr>
      <t xml:space="preserve"> #GSW09_dnd_set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=7</t>
    </r>
  </si>
  <si>
    <r>
      <t>goto</t>
    </r>
    <r>
      <rPr>
        <b/>
        <sz val="11"/>
        <color theme="0"/>
        <rFont val="Calibri"/>
        <family val="2"/>
        <scheme val="minor"/>
      </rPr>
      <t xml:space="preserve"> #GSW09_btn_1_common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</si>
  <si>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GSW09_dnd_set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</si>
  <si>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GSW09_btn_1_common</t>
    </r>
  </si>
  <si>
    <t>reuse #gsw09_refresh $sec=0.01 $dev=gs1</t>
  </si>
  <si>
    <r>
      <t>reuse</t>
    </r>
    <r>
      <rPr>
        <b/>
        <sz val="11"/>
        <color theme="0"/>
        <rFont val="Calibri"/>
        <family val="2"/>
        <scheme val="minor"/>
      </rPr>
      <t xml:space="preserve"> #gsw09_refresh </t>
    </r>
    <r>
      <rPr>
        <b/>
        <sz val="11"/>
        <color rgb="FF00FF99"/>
        <rFont val="Calibri"/>
        <family val="2"/>
        <scheme val="minor"/>
      </rPr>
      <t>$sec</t>
    </r>
    <r>
      <rPr>
        <b/>
        <sz val="11"/>
        <color theme="0"/>
        <rFont val="Calibri"/>
        <family val="2"/>
        <scheme val="minor"/>
      </rPr>
      <t xml:space="preserve">=0.01 </t>
    </r>
    <r>
      <rPr>
        <b/>
        <sz val="11"/>
        <color rgb="FF00FF99"/>
        <rFont val="Calibri"/>
        <family val="2"/>
        <scheme val="minor"/>
      </rPr>
      <t>$dev</t>
    </r>
    <r>
      <rPr>
        <b/>
        <sz val="11"/>
        <color theme="0"/>
        <rFont val="Calibri"/>
        <family val="2"/>
        <scheme val="minor"/>
      </rPr>
      <t>=gs1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</si>
  <si>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GSW09_mur_check</t>
    </r>
  </si>
  <si>
    <r>
      <t>if not equal</t>
    </r>
    <r>
      <rPr>
        <b/>
        <sz val="11"/>
        <color theme="0"/>
        <rFont val="Calibri"/>
        <family val="2"/>
        <scheme val="minor"/>
      </rPr>
      <t xml:space="preserve"> #GSW09_mur_set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</si>
  <si>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goto</t>
    </r>
    <r>
      <rPr>
        <b/>
        <sz val="11"/>
        <color theme="0"/>
        <rFont val="Calibri"/>
        <family val="2"/>
        <scheme val="minor"/>
      </rPr>
      <t xml:space="preserve"> #GSW09_btn_3_common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</si>
  <si>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GSW09_mur_set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</si>
  <si>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GSW09_btn_3_common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</si>
  <si>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GSW09_btn_4_staff</t>
    </r>
  </si>
  <si>
    <r>
      <t>card_type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=10 </t>
    </r>
    <r>
      <rPr>
        <b/>
        <sz val="11"/>
        <color rgb="FF5F5F5F"/>
        <rFont val="Calibri"/>
        <family val="2"/>
        <scheme val="minor"/>
      </rPr>
      <t>// set as staff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</si>
  <si>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#GSW09_dnd_check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</si>
  <si>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#GSW09_mur_check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</si>
  <si>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if not equal</t>
    </r>
    <r>
      <rPr>
        <b/>
        <sz val="11"/>
        <color theme="0"/>
        <rFont val="Calibri"/>
        <family val="2"/>
        <scheme val="minor"/>
      </rPr>
      <t xml:space="preserve"> #GSW09_set_staff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=10</t>
    </r>
  </si>
  <si>
    <r>
      <t>user</t>
    </r>
    <r>
      <rPr>
        <b/>
        <sz val="11"/>
        <color rgb="FFFFCC66"/>
        <rFont val="Calibri"/>
        <family val="2"/>
        <scheme val="minor"/>
      </rPr>
      <t>.unset</t>
    </r>
  </si>
  <si>
    <r>
      <t>card_type</t>
    </r>
    <r>
      <rPr>
        <b/>
        <sz val="11"/>
        <color rgb="FFFFCC66"/>
        <rFont val="Calibri"/>
        <family val="2"/>
        <scheme val="minor"/>
      </rPr>
      <t>.unset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</si>
  <si>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GSW09_set_staff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</si>
  <si>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GSW09_btn_4_5_6_common</t>
    </r>
  </si>
  <si>
    <t>goto #gsw09_btn_4_5_6_common</t>
  </si>
  <si>
    <r>
      <t>goto</t>
    </r>
    <r>
      <rPr>
        <b/>
        <sz val="11"/>
        <color theme="0"/>
        <rFont val="Calibri"/>
        <family val="2"/>
        <scheme val="minor"/>
      </rPr>
      <t xml:space="preserve"> #gsw09_btn_4_5_6_common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</si>
  <si>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GSW09_btn_5_reset_occupancy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</si>
  <si>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GSW09_btn_6_guest</t>
    </r>
  </si>
  <si>
    <r>
      <t>math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 xml:space="preserve">=9 </t>
    </r>
    <r>
      <rPr>
        <sz val="11"/>
        <color rgb="FF5F5F5F"/>
        <rFont val="Calibri"/>
        <family val="2"/>
        <scheme val="minor"/>
      </rPr>
      <t>// btn5 white</t>
    </r>
  </si>
  <si>
    <r>
      <t>if not equal</t>
    </r>
    <r>
      <rPr>
        <b/>
        <sz val="11"/>
        <color theme="0"/>
        <rFont val="Calibri"/>
        <family val="2"/>
        <scheme val="minor"/>
      </rPr>
      <t xml:space="preserve"> #GSW09_set_guest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</si>
  <si>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GSW09_set_guest</t>
    </r>
  </si>
  <si>
    <t>reserved for api</t>
  </si>
  <si>
    <t>load $dec=18*256+28</t>
  </si>
  <si>
    <t>load $dec=65536*0.5*10+0.1*10</t>
  </si>
  <si>
    <t>send.modbus $type=tag $reg=15 $dec=60*10</t>
  </si>
  <si>
    <t>send.modbus $type=tag $reg=17 $dec=60*10</t>
  </si>
  <si>
    <t>send.modbus $dev=tag1 $reg=8 $hex=84</t>
  </si>
  <si>
    <t>load $var=tag_minmax</t>
  </si>
  <si>
    <t>send.modbus $dev=tag1 $reg=6 $len=2</t>
  </si>
  <si>
    <t>load $display=[balc]</t>
  </si>
  <si>
    <t>send.modbus $dev=tag1 $reg=8 $hex=85</t>
  </si>
  <si>
    <t>if not equal goto #gsw09_update_mur $dec=7</t>
  </si>
  <si>
    <t>if not equal goto #gsw09_update_egress $dec=1</t>
  </si>
  <si>
    <t>math.or $bit=6</t>
  </si>
  <si>
    <t>if not equal #gsw09_guest $hex=1</t>
  </si>
  <si>
    <t>if not equal #gsw09_staff $hex=1</t>
  </si>
  <si>
    <t>math.or $bit=11</t>
  </si>
  <si>
    <t>if not equal #gsw09_deadbolt $hex=10</t>
  </si>
  <si>
    <t>math.or $bit=7</t>
  </si>
  <si>
    <t>if not equal #gsw09_send $hex=1</t>
  </si>
  <si>
    <t>math.or $bit=15</t>
  </si>
  <si>
    <t>send.modbus $dev=gs1 $reg=13 $len=4</t>
  </si>
  <si>
    <t>gsw09_btn_1_dnd</t>
  </si>
  <si>
    <t>if equal #gsw09_dnd_check $hex=1</t>
  </si>
  <si>
    <t>if not equal #gsw09_dnd_set $hex=7</t>
  </si>
  <si>
    <t>goto #gsw09_btn_1_common</t>
  </si>
  <si>
    <t>gsw09_btn_3_mur</t>
  </si>
  <si>
    <t>if equal #gsw09_mur_check $hex=1</t>
  </si>
  <si>
    <t>if not equal #gsw09_mur_set $hex=1</t>
  </si>
  <si>
    <t>goto #gsw09_btn_3_common</t>
  </si>
  <si>
    <t>gsw09_btn_4_staff</t>
  </si>
  <si>
    <t>if not equal #gsw09_set_staff $hex=10</t>
  </si>
  <si>
    <t>gsw09_btn_5_reset_occupancy</t>
  </si>
  <si>
    <t>math.or $bit=9</t>
  </si>
  <si>
    <t>gsw09_btn_6_guest</t>
  </si>
  <si>
    <t>if not equal #gsw09_set_guest $hex=1</t>
  </si>
  <si>
    <t>10 81 0A 00 90 00 00 00;</t>
  </si>
  <si>
    <t>10 80 0A 00 15 00 00 00;</t>
  </si>
  <si>
    <t>10 80 0A 00 16 00 00 00;</t>
  </si>
  <si>
    <t>10 81 0A 00 15 00 00 00;</t>
  </si>
  <si>
    <t>10 81 0A 00 16 00 00 00;</t>
  </si>
  <si>
    <t>10 81 0A 00 82 00 00 00;</t>
  </si>
  <si>
    <t>10 81 0A 00 8F 00 00 00;</t>
  </si>
  <si>
    <t>08 01 87 00 01 00 00 00;</t>
  </si>
  <si>
    <t>10 81 0A 00 84 00 00 00;</t>
  </si>
  <si>
    <t>10 80 0A 00 84 00 00 00;</t>
  </si>
  <si>
    <t>10 81 0A 00 80 00 00 00;</t>
  </si>
  <si>
    <t>10 80 0A 00 81 00 00 00;</t>
  </si>
  <si>
    <t>10 81 0A 00 81 00 00 00;</t>
  </si>
  <si>
    <t>10 80 0A 00 8F 00 00 00;</t>
  </si>
  <si>
    <t>10 81 0A 00 8E 00 00 00;</t>
  </si>
  <si>
    <t>10 81 0A 00 0C 00 00 00;</t>
  </si>
  <si>
    <t>10 81 0A 00 06 00 00 00;</t>
  </si>
  <si>
    <t>10 80 0A 00 0C 00 00 00;</t>
  </si>
  <si>
    <t>10 80 0A 00 8E 00 00 00;</t>
  </si>
  <si>
    <t>10 80 01 00 1C 12 00 00;</t>
  </si>
  <si>
    <t>10 81 0A 00 27 00 00 00;</t>
  </si>
  <si>
    <t>10 80 0A 00 12 00 00 00;</t>
  </si>
  <si>
    <t>10 81 0A 00 12 00 00 00;</t>
  </si>
  <si>
    <t>10 81 0A 00 14 00 00 00;</t>
  </si>
  <si>
    <t>10 81 0A 00 04 00 00 00;</t>
  </si>
  <si>
    <t>10 81 0A 00 33 00 00 00;</t>
  </si>
  <si>
    <t>10 80 01 00 01 00 05 00;</t>
  </si>
  <si>
    <t>10 81 0A 00 13 00 00 00;</t>
  </si>
  <si>
    <t>10 80 0A 00 89 00 00 00;</t>
  </si>
  <si>
    <t>10 81 0A 00 88 00 00 00;</t>
  </si>
  <si>
    <t>10 04 0A 00 88 00 00 00;</t>
  </si>
  <si>
    <t>21 03 00 0F 02 58 00 00;</t>
  </si>
  <si>
    <t>21 03 00 11 02 58 00 00;</t>
  </si>
  <si>
    <t>20 03 00 08 00 84 00 00;</t>
  </si>
  <si>
    <t>10 80 0A 00 27 00 00 00;</t>
  </si>
  <si>
    <t>22 03 00 06 02 00 00 00;</t>
  </si>
  <si>
    <t>10 80 0A 00 06 00 00 00;</t>
  </si>
  <si>
    <t>10 80 0A 00 33 00 00 00;</t>
  </si>
  <si>
    <t>10 80 01 00 4D 0D 77 1F;</t>
  </si>
  <si>
    <t>10 80 01 00 19 05 3F 00;</t>
  </si>
  <si>
    <t>10 80 01 00 15 09 3F 00;</t>
  </si>
  <si>
    <t>10 80 01 00 15 06 3F 00;</t>
  </si>
  <si>
    <t>10 80 01 00 25 05 3F 00;</t>
  </si>
  <si>
    <t>10 80 01 00 16 05 3F 00;</t>
  </si>
  <si>
    <t>20 03 00 08 00 85 00 00;</t>
  </si>
  <si>
    <t>10 81 0A 00 17 00 00 00;</t>
  </si>
  <si>
    <t>10 80 0A 00 17 00 00 00;</t>
  </si>
  <si>
    <t>10 04 01 00 20 00 00 00;</t>
  </si>
  <si>
    <t>10 80 0A 00 86 00 00 00;</t>
  </si>
  <si>
    <t>10 04 01 00 00 04 00 00;</t>
  </si>
  <si>
    <t>10 04 01 00 40 00 00 00;</t>
  </si>
  <si>
    <t>10 80 0A 00 87 00 00 00;</t>
  </si>
  <si>
    <t>10 04 01 00 00 40 00 00;</t>
  </si>
  <si>
    <t>10 04 01 00 00 01 00 00;</t>
  </si>
  <si>
    <t>10 80 0A 00 82 00 00 00;</t>
  </si>
  <si>
    <t>10 80 0A 00 80 00 00 00;</t>
  </si>
  <si>
    <t>10 80 0A 00 90 00 00 00;</t>
  </si>
  <si>
    <t>10 81 0A 00 85 00 00 00;</t>
  </si>
  <si>
    <t>10 80 0A 00 14 00 00 00;</t>
  </si>
  <si>
    <t>10 01 0A 00 0C 00 00 00;</t>
  </si>
  <si>
    <t>10 04 0A 00 80 00 00 00;</t>
  </si>
  <si>
    <t>10 04 0A 00 85 00 00 00;</t>
  </si>
  <si>
    <t>10 80 01 00 0F 5B 5D 00;</t>
  </si>
  <si>
    <t xml:space="preserve">- serene v2 test kit script_x000D_
</t>
  </si>
  <si>
    <t>RCU mem map.Serene-V2-AllEvents</t>
  </si>
  <si>
    <t>18/5/2023</t>
  </si>
  <si>
    <t>//send.modbus $type=idpg $reg=6 $dec=70*10 //green</t>
  </si>
  <si>
    <t>//send.modbus $type=idpg $reg=83 $dec=100*10 //red</t>
  </si>
  <si>
    <t>//function refresh_idpg</t>
  </si>
  <si>
    <t>//if equal #refresh_idpg_without_user $hex=0</t>
  </si>
  <si>
    <t>//load $var=workflow</t>
  </si>
  <si>
    <t>//0x10 80 0c 00 04 06 0a 00//Array table colors/blink</t>
  </si>
  <si>
    <t>//send.modbus $dev=idpg $reg=4 $len=4</t>
  </si>
  <si>
    <t>//0x10 80 0c 00 01 08 0a 00//Array table blink time</t>
  </si>
  <si>
    <t>//send.modbus $dev=idpg $reg=7 $len=2</t>
  </si>
  <si>
    <t>//exit</t>
  </si>
  <si>
    <t>//0x00 54 00 00 55 54 00 00 // Data1 ColorBlink</t>
  </si>
  <si>
    <t>//0x14 54 0f 00 14 54 00 00 // Data2 ColorBlink</t>
  </si>
  <si>
    <t>//0x55 54 00 00 41 54 00 00 // Data3 ColorBlink</t>
  </si>
  <si>
    <t>//0xeb 54 00 00 aa a0 00 00 // Data4 ColorBlink</t>
  </si>
  <si>
    <t>//0xaa a2 0f 00 ff 54 0f 00 // Data5 ColorBlink</t>
  </si>
  <si>
    <t>//0x00 18 18 00 00 00 00 00 // Data1 Blink time (ex 0 18)</t>
  </si>
  <si>
    <t>//0x05 0a 00 00 00 00 00 00 // Data2 Blink time (ex 0 18)</t>
  </si>
  <si>
    <t>//function refresh_idpg_without_user</t>
  </si>
  <si>
    <t>//0x00 50 00 00 55 50 00 00 // Data1 ColorBlink without bell</t>
  </si>
  <si>
    <t>//0x14 50 0f 00 14 50 00 00 // Data2 ColorBlink without bell</t>
  </si>
  <si>
    <t>//0x55 50 00 00 41 50 00 00 // Data3 ColorBlink without bell</t>
  </si>
  <si>
    <t>//0xeb 50 00 00 aa a0 00 00 // Data4 ColorBlink without bell</t>
  </si>
  <si>
    <t>//0xaa a2 0f 00 ff 50 0f 00 // Data5 ColorBlink without bell</t>
  </si>
  <si>
    <t>//function bell_idpg</t>
  </si>
  <si>
    <t>//if equal goto #+3 $dec=1</t>
  </si>
  <si>
    <t>//load $dec=0</t>
  </si>
  <si>
    <t>//goto #+2</t>
  </si>
  <si>
    <t>//load $hex=5055</t>
  </si>
  <si>
    <t>//send.modbus $type=tag $reg=70 $dec=2 // bell send</t>
  </si>
  <si>
    <t>//reuse #refresh_idpg $sec=1</t>
  </si>
  <si>
    <t>//function cardOK_idpg</t>
  </si>
  <si>
    <t>//send.modbus $dev=idpg $reg=4 $hex=5555</t>
  </si>
  <si>
    <t>//function cardNOK_idpg</t>
  </si>
  <si>
    <t>//send.modbus $dev=server $reg=5 $len=16</t>
  </si>
  <si>
    <t>//send.modbus $dev=idpg $reg=4 $hex=aaaa</t>
  </si>
  <si>
    <t>//reuse #cardnok_idpg</t>
  </si>
  <si>
    <t>//reuse #cardok_idpg</t>
  </si>
  <si>
    <t>//reuse #refresh_idpg</t>
  </si>
  <si>
    <t>tag_C/F</t>
  </si>
  <si>
    <t>load $var=tag_c/f</t>
  </si>
  <si>
    <t>math.xor $bit=1</t>
  </si>
  <si>
    <t>save $var=tag_c/f</t>
  </si>
  <si>
    <t>08 01 91 00 01 00 00 00;</t>
  </si>
  <si>
    <t>10 80 0A 00 83 00 00 00;</t>
  </si>
  <si>
    <t>10 81 0A 00 83 00 00 00;</t>
  </si>
  <si>
    <t xml:space="preserve">- implement custom gs9 workflows according to cfs_x000D_
</t>
  </si>
  <si>
    <t>// cbs reverse paths</t>
  </si>
  <si>
    <r>
      <t>function</t>
    </r>
    <r>
      <rPr>
        <b/>
        <sz val="11"/>
        <color theme="0"/>
        <rFont val="Calibri"/>
        <family val="2"/>
        <scheme val="minor"/>
      </rPr>
      <t xml:space="preserve"> send_cbs_occupancy</t>
    </r>
  </si>
  <si>
    <r>
      <t>load</t>
    </r>
    <r>
      <rPr>
        <b/>
        <sz val="11"/>
        <color rgb="FF00FF99"/>
        <rFont val="Calibri"/>
        <family val="2"/>
        <scheme val="minor"/>
      </rPr>
      <t xml:space="preserve"> $var</t>
    </r>
    <r>
      <rPr>
        <b/>
        <sz val="11"/>
        <color theme="0"/>
        <rFont val="Calibri"/>
        <family val="2"/>
        <scheme val="minor"/>
      </rPr>
      <t>=user</t>
    </r>
  </si>
  <si>
    <r>
      <t>load</t>
    </r>
    <r>
      <rPr>
        <b/>
        <sz val="11"/>
        <color theme="0"/>
        <rFont val="Calibri"/>
        <family val="2"/>
        <scheme val="minor"/>
      </rPr>
      <t xml:space="preserve"> shift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=0</t>
    </r>
  </si>
  <si>
    <r>
      <t>0x</t>
    </r>
    <r>
      <rPr>
        <b/>
        <sz val="11"/>
        <color theme="0"/>
        <rFont val="Calibri"/>
        <family val="2"/>
        <scheme val="minor"/>
      </rPr>
      <t>70 08 05 00 01 f0 00 00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</si>
  <si>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send_to_cbs</t>
    </r>
  </si>
  <si>
    <t>goto #send_to_cbs</t>
  </si>
  <si>
    <t>if not equal #send_cbs_unoccupied $hex=1</t>
  </si>
  <si>
    <r>
      <t>if not equal</t>
    </r>
    <r>
      <rPr>
        <b/>
        <sz val="11"/>
        <color theme="0"/>
        <rFont val="Calibri"/>
        <family val="2"/>
        <scheme val="minor"/>
      </rPr>
      <t xml:space="preserve"> #send_cbs_unoccupied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</si>
  <si>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goto</t>
    </r>
    <r>
      <rPr>
        <b/>
        <sz val="11"/>
        <color theme="0"/>
        <rFont val="Calibri"/>
        <family val="2"/>
        <scheme val="minor"/>
      </rPr>
      <t xml:space="preserve"> #send_to_cbs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</si>
  <si>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=4b0001 </t>
    </r>
    <r>
      <rPr>
        <b/>
        <sz val="11"/>
        <color rgb="FF5F5F5F"/>
        <rFont val="Calibri"/>
        <family val="2"/>
        <scheme val="minor"/>
      </rPr>
      <t>// cbs element + value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</si>
  <si>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=4b0000 </t>
    </r>
    <r>
      <rPr>
        <b/>
        <sz val="11"/>
        <color rgb="FF5F5F5F"/>
        <rFont val="Calibri"/>
        <family val="2"/>
        <scheme val="minor"/>
      </rPr>
      <t>// cbs element + value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</si>
  <si>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send_cbs_unoccupied</t>
    </r>
  </si>
  <si>
    <t>run #send_cbs_occupancy</t>
  </si>
  <si>
    <r>
      <t>run</t>
    </r>
    <r>
      <rPr>
        <b/>
        <sz val="11"/>
        <color theme="0"/>
        <rFont val="Calibri"/>
        <family val="2"/>
        <scheme val="minor"/>
      </rPr>
      <t xml:space="preserve"> #send_cbs_occupancy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</si>
  <si>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send_cbs_workflow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</si>
  <si>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=4a0001 </t>
    </r>
    <r>
      <rPr>
        <b/>
        <sz val="11"/>
        <color rgb="FF5F5F5F"/>
        <rFont val="Calibri"/>
        <family val="2"/>
        <scheme val="minor"/>
      </rPr>
      <t>// cbs element + value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</si>
  <si>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=4a0000 </t>
    </r>
    <r>
      <rPr>
        <b/>
        <sz val="11"/>
        <color rgb="FF5F5F5F"/>
        <rFont val="Calibri"/>
        <family val="2"/>
        <scheme val="minor"/>
      </rPr>
      <t>// cbs element + value</t>
    </r>
  </si>
  <si>
    <t>reuse #send_to_cbs</t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</si>
  <si>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=4d0000 </t>
    </r>
    <r>
      <rPr>
        <b/>
        <sz val="11"/>
        <color rgb="FF5F5F5F"/>
        <rFont val="Calibri"/>
        <family val="2"/>
        <scheme val="minor"/>
      </rPr>
      <t>// cbs element + value</t>
    </r>
  </si>
  <si>
    <t>if equal #send_cbs_workflow_dnd $hex=7</t>
  </si>
  <si>
    <r>
      <t>if equal</t>
    </r>
    <r>
      <rPr>
        <b/>
        <sz val="11"/>
        <color theme="0"/>
        <rFont val="Calibri"/>
        <family val="2"/>
        <scheme val="minor"/>
      </rPr>
      <t xml:space="preserve"> #send_cbs_workflow_dnd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=7</t>
    </r>
  </si>
  <si>
    <r>
      <t>reuse</t>
    </r>
    <r>
      <rPr>
        <b/>
        <sz val="11"/>
        <color theme="0"/>
        <rFont val="Calibri"/>
        <family val="2"/>
        <scheme val="minor"/>
      </rPr>
      <t xml:space="preserve"> #send_to_cbs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</si>
  <si>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#send_cbs_workflow_mur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</si>
  <si>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=4d0001 </t>
    </r>
    <r>
      <rPr>
        <b/>
        <sz val="11"/>
        <color rgb="FF5F5F5F"/>
        <rFont val="Calibri"/>
        <family val="2"/>
        <scheme val="minor"/>
      </rPr>
      <t>// cbs element + value</t>
    </r>
  </si>
  <si>
    <t>if equal #send_cbs_workflow_mur $hex=1</t>
  </si>
  <si>
    <r>
      <t>function</t>
    </r>
    <r>
      <rPr>
        <b/>
        <sz val="11"/>
        <color theme="0"/>
        <rFont val="Calibri"/>
        <family val="2"/>
        <scheme val="minor"/>
      </rPr>
      <t xml:space="preserve"> send_cbs_workflow_dnd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</si>
  <si>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send_cbs_workflow_mur</t>
    </r>
  </si>
  <si>
    <t>// cbs forward paths</t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</si>
  <si>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GSW09_btn_5_access_reject</t>
    </r>
  </si>
  <si>
    <r>
      <t>math</t>
    </r>
    <r>
      <rPr>
        <sz val="11"/>
        <color rgb="FFFFCC66"/>
        <rFont val="Calibri"/>
        <family val="2"/>
        <scheme val="minor"/>
      </rPr>
      <t>.or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 xml:space="preserve">=10 </t>
    </r>
    <r>
      <rPr>
        <sz val="11"/>
        <color rgb="FF5F5F5F"/>
        <rFont val="Calibri"/>
        <family val="2"/>
        <scheme val="minor"/>
      </rPr>
      <t>// btn5 red</t>
    </r>
  </si>
  <si>
    <r>
      <t>wait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$sec</t>
    </r>
    <r>
      <rPr>
        <b/>
        <sz val="11"/>
        <color theme="0"/>
        <rFont val="Calibri"/>
        <family val="2"/>
        <scheme val="minor"/>
      </rPr>
      <t>=1</t>
    </r>
  </si>
  <si>
    <t>wait $sec=1</t>
  </si>
  <si>
    <r>
      <t>function</t>
    </r>
    <r>
      <rPr>
        <b/>
        <sz val="11"/>
        <color theme="0"/>
        <rFont val="Calibri"/>
        <family val="2"/>
        <scheme val="minor"/>
      </rPr>
      <t xml:space="preserve"> cbs_access_reject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</si>
  <si>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>=4E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</si>
  <si>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#GSW09_btn_5_access_reject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</si>
  <si>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t>if equal goto #cbs_guest_access $hex=0</t>
  </si>
  <si>
    <t>if equal goto #cbs_guest_access $hex=80</t>
  </si>
  <si>
    <t>if equal goto #cbs_staff_access $hex=1</t>
  </si>
  <si>
    <t>if equal goto #cbs_staff_access $hex=81</t>
  </si>
  <si>
    <r>
      <t>function</t>
    </r>
    <r>
      <rPr>
        <b/>
        <sz val="11"/>
        <color theme="0"/>
        <rFont val="Calibri"/>
        <family val="2"/>
        <scheme val="minor"/>
      </rPr>
      <t xml:space="preserve"> cbs_access_grant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</si>
  <si>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>=41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</si>
  <si>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goto #cbs_guest_access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=0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</si>
  <si>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goto #cbs_guest_access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=80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</si>
  <si>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goto #cbs_staff_access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</si>
  <si>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goto #cbs_staff_access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=81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</si>
  <si>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cbs_guest_access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</si>
  <si>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cbs_staff_access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</si>
  <si>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>=43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</si>
  <si>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</si>
  <si>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cbs_door_open</t>
    </r>
  </si>
  <si>
    <t>if equal #exit $dec=2</t>
  </si>
  <si>
    <t>if equal #exit $dec=4</t>
  </si>
  <si>
    <r>
      <t>if equal</t>
    </r>
    <r>
      <rPr>
        <b/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=2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</si>
  <si>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</t>
    </r>
    <r>
      <rPr>
        <b/>
        <sz val="11"/>
        <color rgb="FF33CCFF"/>
        <rFont val="Calibri"/>
        <family val="2"/>
        <scheme val="minor"/>
      </rPr>
      <t>exit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=4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</si>
  <si>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#cbs_door_egress_open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=3</t>
    </r>
  </si>
  <si>
    <t>if equal #cbs_door_egress_open $dec=3</t>
  </si>
  <si>
    <r>
      <t>function</t>
    </r>
    <r>
      <rPr>
        <b/>
        <sz val="11"/>
        <color theme="0"/>
        <rFont val="Calibri"/>
        <family val="2"/>
        <scheme val="minor"/>
      </rPr>
      <t xml:space="preserve"> cbs_door_egress_open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</si>
  <si>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cbs_door_close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</si>
  <si>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GSW09_icon_2_close</t>
    </r>
  </si>
  <si>
    <r>
      <t>if equal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 xml:space="preserve">GSW09_icon_2_close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</si>
  <si>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t>cbs_access_reject</t>
  </si>
  <si>
    <t>cbs_access_grant</t>
  </si>
  <si>
    <t>cbs_door_open</t>
  </si>
  <si>
    <t>cbs_door_close</t>
  </si>
  <si>
    <t>if equal #cbs_deadbolt_off $dec=0</t>
  </si>
  <si>
    <t>if equal #cbs_deadbolt_on $dec=1</t>
  </si>
  <si>
    <r>
      <t>function</t>
    </r>
    <r>
      <rPr>
        <b/>
        <sz val="11"/>
        <color theme="0"/>
        <rFont val="Calibri"/>
        <family val="2"/>
        <scheme val="minor"/>
      </rPr>
      <t xml:space="preserve"> cbs_deadbolt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</si>
  <si>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>=46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</si>
  <si>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#cbs_deadbolt_off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=0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</si>
  <si>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#cbs_deadbolt_on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</si>
  <si>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r>
      <t>load</t>
    </r>
    <r>
      <rPr>
        <b/>
        <sz val="11"/>
        <color theme="0"/>
        <rFont val="Calibri"/>
        <family val="2"/>
        <scheme val="minor"/>
      </rPr>
      <t xml:space="preserve"> cbs </t>
    </r>
    <r>
      <rPr>
        <b/>
        <sz val="11"/>
        <color rgb="FF00FF99"/>
        <rFont val="Calibri"/>
        <family val="2"/>
        <scheme val="minor"/>
      </rPr>
      <t>$element</t>
    </r>
    <r>
      <rPr>
        <b/>
        <sz val="11"/>
        <color theme="0"/>
        <rFont val="Calibri"/>
        <family val="2"/>
        <scheme val="minor"/>
      </rPr>
      <t xml:space="preserve">=44 </t>
    </r>
    <r>
      <rPr>
        <b/>
        <sz val="11"/>
        <color rgb="FF5F5F5F"/>
        <rFont val="Calibri"/>
        <family val="2"/>
        <scheme val="minor"/>
      </rPr>
      <t>//door close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</si>
  <si>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cbs_deadbolt_off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</si>
  <si>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cbs_deadbolt_on</t>
    </r>
  </si>
  <si>
    <r>
      <t>deadbolt_status</t>
    </r>
    <r>
      <rPr>
        <b/>
        <sz val="11"/>
        <color rgb="FFFFCC66"/>
        <rFont val="Calibri"/>
        <family val="2"/>
        <scheme val="minor"/>
      </rPr>
      <t>.unset</t>
    </r>
  </si>
  <si>
    <r>
      <t>workflow</t>
    </r>
    <r>
      <rPr>
        <b/>
        <sz val="11"/>
        <color rgb="FFFFCC66"/>
        <rFont val="Calibri"/>
        <family val="2"/>
        <scheme val="minor"/>
      </rPr>
      <t>.unset</t>
    </r>
  </si>
  <si>
    <r>
      <t>deadbolt_status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$dec</t>
    </r>
    <r>
      <rPr>
        <b/>
        <sz val="11"/>
        <color theme="0"/>
        <rFont val="Calibri"/>
        <family val="2"/>
        <scheme val="minor"/>
      </rPr>
      <t>=1</t>
    </r>
  </si>
  <si>
    <r>
      <t>workflow</t>
    </r>
    <r>
      <rPr>
        <b/>
        <sz val="11"/>
        <color rgb="FFFFCC66"/>
        <rFont val="Calibri"/>
        <family val="2"/>
        <scheme val="minor"/>
      </rPr>
      <t>.set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=7</t>
    </r>
  </si>
  <si>
    <r>
      <t>egress_status</t>
    </r>
    <r>
      <rPr>
        <sz val="11"/>
        <color rgb="FFFFCC66"/>
        <rFont val="Calibri"/>
        <family val="2"/>
        <scheme val="minor"/>
      </rPr>
      <t>.set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$dec</t>
    </r>
    <r>
      <rPr>
        <sz val="11"/>
        <color theme="0"/>
        <rFont val="Calibri"/>
        <family val="2"/>
        <scheme val="minor"/>
      </rPr>
      <t>=1</t>
    </r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</si>
  <si>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gs_clear_egress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$sec</t>
    </r>
    <r>
      <rPr>
        <sz val="11"/>
        <color theme="0"/>
        <rFont val="Calibri"/>
        <family val="2"/>
        <scheme val="minor"/>
      </rPr>
      <t xml:space="preserve">=5 </t>
    </r>
    <r>
      <rPr>
        <sz val="11"/>
        <color rgb="FF00FF99"/>
        <rFont val="Calibri"/>
        <family val="2"/>
        <scheme val="minor"/>
      </rPr>
      <t>$dev</t>
    </r>
    <r>
      <rPr>
        <sz val="11"/>
        <color theme="0"/>
        <rFont val="Calibri"/>
        <family val="2"/>
        <scheme val="minor"/>
      </rPr>
      <t>=gs1</t>
    </r>
  </si>
  <si>
    <r>
      <t>egress_status</t>
    </r>
    <r>
      <rPr>
        <sz val="11"/>
        <color rgb="FFFFCC66"/>
        <rFont val="Calibri"/>
        <family val="2"/>
        <scheme val="minor"/>
      </rPr>
      <t>.unset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</si>
  <si>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gs_clear_egress</t>
    </r>
  </si>
  <si>
    <t>cbs_deadbolt</t>
  </si>
  <si>
    <t>save $var=egress_status</t>
  </si>
  <si>
    <t>math.or $bit=30</t>
  </si>
  <si>
    <t>math.or $bit=10</t>
  </si>
  <si>
    <t>load cbs $element=4e</t>
  </si>
  <si>
    <t>if equal #gsw09_btn_5_access_reject $dec=1</t>
  </si>
  <si>
    <t>reuse #gs_clear_egress $sec=5 $dev=gs1</t>
  </si>
  <si>
    <t>if equal #gsw09_icon_2_close $dec=1</t>
  </si>
  <si>
    <t>save $var=deadbolt_status</t>
  </si>
  <si>
    <t>10 81 0A 00 86 00 00 00;</t>
  </si>
  <si>
    <t>10 04 01 00 00 00 00 20;</t>
  </si>
  <si>
    <t>01 01 00 00 10 27 00 00;</t>
  </si>
  <si>
    <t>10 04 01 00 00 02 00 00;</t>
  </si>
  <si>
    <t>10 85 01 00 4e 00 00 00;</t>
  </si>
  <si>
    <t>10 81 0A 00 87 00 00 00;</t>
  </si>
  <si>
    <t>Direct hex</t>
  </si>
  <si>
    <t xml:space="preserve">- implement forward and reverse paths for cbs_x000D_
</t>
  </si>
  <si>
    <t>02</t>
  </si>
  <si>
    <t>//Function hf_deadbolt</t>
  </si>
  <si>
    <t>//load cbs $element=46 //0x10 85 01 00 46 00 00 00 //loading deadbolt 46</t>
  </si>
  <si>
    <t>//if equal goto #dnd_on $hex=1</t>
  </si>
  <si>
    <t>//if equal goto #dnd_off $hex=0</t>
  </si>
  <si>
    <t>08 01 51 00 01 00 00 00;</t>
  </si>
  <si>
    <t>08 01 62 00 02 00 00 00;</t>
  </si>
  <si>
    <t>05 01 6B 00 10 00 00 00;</t>
  </si>
  <si>
    <t>08 01 9B 00 01 00 00 00;</t>
  </si>
  <si>
    <t>09 01 B8 00 FF 00 00 00;</t>
  </si>
  <si>
    <t>09 01 DA 00 00 00 00 01;</t>
  </si>
  <si>
    <t>09 01 E3 00 80 00 00 00;</t>
  </si>
  <si>
    <t>09 01 EA 00 80 00 00 00;</t>
  </si>
  <si>
    <r>
      <t>wait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$sec</t>
    </r>
    <r>
      <rPr>
        <b/>
        <sz val="11"/>
        <color theme="0"/>
        <rFont val="Calibri"/>
        <family val="2"/>
        <scheme val="minor"/>
      </rPr>
      <t>=0.35</t>
    </r>
  </si>
  <si>
    <t>wait $sec=0.35</t>
  </si>
  <si>
    <t>01 01 00 00 AC 0D 00 00;</t>
  </si>
  <si>
    <t>08 01 EF 00 00 00 00 00;</t>
  </si>
  <si>
    <t>01 01 F0 00 00 00 00 00;</t>
  </si>
  <si>
    <t>08 01 F6 00 59 05 3F 00;</t>
  </si>
  <si>
    <t>08 01 F8 00 55 06 3F 00;</t>
  </si>
  <si>
    <t>08 01 FA 00 65 05 3F 00;</t>
  </si>
  <si>
    <t>08 01 FC 00 56 05 3F 00;</t>
  </si>
  <si>
    <t>01 01 FD 00 00 00 00 00;</t>
  </si>
  <si>
    <t>08 01 0C 01 59 05 3F 00;</t>
  </si>
  <si>
    <t>08 01 0E 01 55 06 3F 00;</t>
  </si>
  <si>
    <t>08 01 10 01 65 05 3F 00;</t>
  </si>
  <si>
    <t>08 01 12 01 56 05 3F 00;</t>
  </si>
  <si>
    <t>01 01 13 01 00 00 00 00;</t>
  </si>
  <si>
    <t>09 01 44 01 01 00 00 00;</t>
  </si>
  <si>
    <r>
      <t>gs1</t>
    </r>
    <r>
      <rPr>
        <b/>
        <sz val="11"/>
        <color rgb="FFFFCC66"/>
        <rFont val="Calibri"/>
        <family val="2"/>
        <scheme val="minor"/>
      </rPr>
      <t>.or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$bit</t>
    </r>
    <r>
      <rPr>
        <b/>
        <sz val="11"/>
        <color theme="0"/>
        <rFont val="Calibri"/>
        <family val="2"/>
        <scheme val="minor"/>
      </rPr>
      <t xml:space="preserve">=4 </t>
    </r>
    <r>
      <rPr>
        <b/>
        <sz val="11"/>
        <color rgb="FF5F5F5F"/>
        <rFont val="Calibri"/>
        <family val="2"/>
        <scheme val="minor"/>
      </rPr>
      <t>// btn2 red</t>
    </r>
  </si>
  <si>
    <t>math.or $bit=4</t>
  </si>
  <si>
    <t>10 04 01 00 08 00 00 00;</t>
  </si>
  <si>
    <r>
      <t>math</t>
    </r>
    <r>
      <rPr>
        <sz val="11"/>
        <color rgb="FFFFCC66"/>
        <rFont val="Calibri"/>
        <family val="2"/>
        <scheme val="minor"/>
      </rPr>
      <t>.or.and</t>
    </r>
    <r>
      <rPr>
        <sz val="11"/>
        <color theme="0"/>
        <rFont val="Calibri"/>
        <family val="2"/>
        <scheme val="minor"/>
      </rPr>
      <t xml:space="preserve">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 xml:space="preserve">=30 </t>
    </r>
    <r>
      <rPr>
        <sz val="11"/>
        <color rgb="FF00FF99"/>
        <rFont val="Calibri"/>
        <family val="2"/>
        <scheme val="minor"/>
      </rPr>
      <t>$bit</t>
    </r>
    <r>
      <rPr>
        <sz val="11"/>
        <color theme="0"/>
        <rFont val="Calibri"/>
        <family val="2"/>
        <scheme val="minor"/>
      </rPr>
      <t xml:space="preserve">=4 </t>
    </r>
    <r>
      <rPr>
        <sz val="11"/>
        <color rgb="FF5F5F5F"/>
        <rFont val="Calibri"/>
        <family val="2"/>
        <scheme val="minor"/>
      </rPr>
      <t>// btn2 green, btn2 red remove</t>
    </r>
  </si>
  <si>
    <t>math.and $bit=4</t>
  </si>
  <si>
    <t>10 06 01 00 F7 FF FF FF;</t>
  </si>
  <si>
    <r>
      <t>if equal</t>
    </r>
    <r>
      <rPr>
        <b/>
        <sz val="11"/>
        <color theme="0"/>
        <rFont val="Calibri"/>
        <family val="2"/>
        <scheme val="minor"/>
      </rPr>
      <t xml:space="preserve"> #GSW09_dnd_check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=10</t>
    </r>
  </si>
  <si>
    <r>
      <t>if equal</t>
    </r>
    <r>
      <rPr>
        <b/>
        <sz val="11"/>
        <color theme="0"/>
        <rFont val="Calibri"/>
        <family val="2"/>
        <scheme val="minor"/>
      </rPr>
      <t xml:space="preserve"> #GSW09_mur_check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>=10</t>
    </r>
  </si>
  <si>
    <t>reuse #send_cbs_workflow</t>
  </si>
  <si>
    <r>
      <t>reuse</t>
    </r>
    <r>
      <rPr>
        <sz val="11"/>
        <color theme="0"/>
        <rFont val="Calibri"/>
        <family val="2"/>
        <scheme val="minor"/>
      </rPr>
      <t xml:space="preserve"> #</t>
    </r>
    <r>
      <rPr>
        <b/>
        <sz val="11"/>
        <color theme="0"/>
        <rFont val="Calibri"/>
        <family val="2"/>
        <scheme val="minor"/>
      </rPr>
      <t>send_cbs_workflow</t>
    </r>
  </si>
  <si>
    <r>
      <t>load</t>
    </r>
    <r>
      <rPr>
        <b/>
        <sz val="11"/>
        <color theme="0"/>
        <rFont val="Calibri"/>
        <family val="2"/>
        <scheme val="minor"/>
      </rPr>
      <t xml:space="preserve"> </t>
    </r>
    <r>
      <rPr>
        <b/>
        <sz val="11"/>
        <color rgb="FF00FF99"/>
        <rFont val="Calibri"/>
        <family val="2"/>
        <scheme val="minor"/>
      </rPr>
      <t>$hex</t>
    </r>
    <r>
      <rPr>
        <b/>
        <sz val="11"/>
        <color theme="0"/>
        <rFont val="Calibri"/>
        <family val="2"/>
        <scheme val="minor"/>
      </rPr>
      <t xml:space="preserve">=4f0000 </t>
    </r>
    <r>
      <rPr>
        <b/>
        <sz val="11"/>
        <color rgb="FF5F5F5F"/>
        <rFont val="Calibri"/>
        <family val="2"/>
        <scheme val="minor"/>
      </rPr>
      <t>// cbs element + value</t>
    </r>
  </si>
  <si>
    <r>
      <t>function</t>
    </r>
    <r>
      <rPr>
        <b/>
        <sz val="11"/>
        <color theme="0"/>
        <rFont val="Calibri"/>
        <family val="2"/>
        <scheme val="minor"/>
      </rPr>
      <t xml:space="preserve"> ping_lock</t>
    </r>
  </si>
  <si>
    <r>
      <t>function</t>
    </r>
    <r>
      <rPr>
        <sz val="11"/>
        <color theme="0"/>
        <rFont val="Calibri"/>
        <family val="2"/>
        <scheme val="minor"/>
      </rPr>
      <t xml:space="preserve"> </t>
    </r>
    <r>
      <rPr>
        <b/>
        <sz val="11"/>
        <color theme="0"/>
        <rFont val="Calibri"/>
        <family val="2"/>
        <scheme val="minor"/>
      </rPr>
      <t>send_cbs_lock_ping</t>
    </r>
  </si>
  <si>
    <t>ping_lock</t>
  </si>
  <si>
    <t>goto #send_cbs_lock_ping</t>
  </si>
  <si>
    <r>
      <t>goto</t>
    </r>
    <r>
      <rPr>
        <b/>
        <sz val="11"/>
        <color theme="0"/>
        <rFont val="Calibri"/>
        <family val="2"/>
        <scheme val="minor"/>
      </rPr>
      <t xml:space="preserve"> #send_cbs_lock_ping</t>
    </r>
  </si>
  <si>
    <t>if equal #gsw09_dnd_check $hex=10</t>
  </si>
  <si>
    <t>if equal #gsw09_mur_check $hex=10</t>
  </si>
  <si>
    <t>load $hex=4f0000</t>
  </si>
  <si>
    <t>0267</t>
  </si>
  <si>
    <t>0268</t>
  </si>
  <si>
    <t>0269</t>
  </si>
  <si>
    <t>026A</t>
  </si>
  <si>
    <t>026B</t>
  </si>
  <si>
    <t>026C</t>
  </si>
  <si>
    <t>026D</t>
  </si>
  <si>
    <t>026E</t>
  </si>
  <si>
    <t>026F</t>
  </si>
  <si>
    <t>08 01 E0 01 01 00 00 00;</t>
  </si>
  <si>
    <t>08 01 E0 01 02 00 00 00;</t>
  </si>
  <si>
    <t>08 01 E0 01 04 00 00 00;</t>
  </si>
  <si>
    <t>10 80 01 00 00 00 4F 00;</t>
  </si>
  <si>
    <t>09 01 36 02 FF 00 00 00;</t>
  </si>
  <si>
    <t>09 01 36 02 1F 00 00 00;</t>
  </si>
  <si>
    <t>08 01 35 02 01 00 00 00;</t>
  </si>
  <si>
    <t>08 01 37 02 01 00 00 00;</t>
  </si>
  <si>
    <t>09 01 50 02 1F 00 00 00;</t>
  </si>
  <si>
    <t>09 01 50 02 FF 00 00 00;</t>
  </si>
  <si>
    <t>08 01 50 02 00 00 00 00;</t>
  </si>
  <si>
    <t>07 01 4F 02 00 80 00 00;</t>
  </si>
  <si>
    <t>09 01 62 02 FF 00 00 00;</t>
  </si>
  <si>
    <t>XCODE [0.9,2]</t>
  </si>
  <si>
    <t>RCU mem map.Serene-V2.xlsx</t>
  </si>
  <si>
    <t>11/7/2023</t>
  </si>
  <si>
    <t>- Compiled using XC Ver-0.9.0</t>
  </si>
  <si>
    <t>19 00 00 00 00 00 00 00;</t>
  </si>
  <si>
    <t>01 01 29 00 00 00 00 00;</t>
  </si>
  <si>
    <t>01 01 36 00 00 00 00 00;</t>
  </si>
  <si>
    <t>01 01 42 00 00 00 00 00;</t>
  </si>
  <si>
    <t>03 02 2B 00 F0 49 02 00;</t>
  </si>
  <si>
    <t>03 01 9C 00 00 71 02 00;</t>
  </si>
  <si>
    <t>01 01 4A 02 00 00 00 00;</t>
  </si>
  <si>
    <t>01 01 38 00 00 00 00 00;</t>
  </si>
  <si>
    <t>08 01 67 00 00 00 00 00;</t>
  </si>
  <si>
    <t>08 01 67 00 80 00 00 00;</t>
  </si>
  <si>
    <t>08 01 8B 00 01 00 00 00;</t>
  </si>
  <si>
    <t>08 01 8B 00 81 00 00 00;</t>
  </si>
  <si>
    <t>08 01 55 00 02 00 00 00;</t>
  </si>
  <si>
    <t>08 01 59 00 03 00 00 00;</t>
  </si>
  <si>
    <t>08 01 5E 00 01 00 00 00;</t>
  </si>
  <si>
    <t>03 03 63 00 50 C3 00 03;</t>
  </si>
  <si>
    <t>03 03 2D 02 40 0D 03 03;</t>
  </si>
  <si>
    <t>05 01 7D 00 01 00 00 00;</t>
  </si>
  <si>
    <t>03 03 63 00 00 00 00 03;</t>
  </si>
  <si>
    <t>03 03 EB 00 00 00 00 03;</t>
  </si>
  <si>
    <t>08 01 88 00 01 00 00 00;</t>
  </si>
  <si>
    <t>01 01 78 00 00 00 00 00;</t>
  </si>
  <si>
    <t>01 01 63 02 00 00 00 00;</t>
  </si>
  <si>
    <t>05 01 B0 00 00 00 00 00;</t>
  </si>
  <si>
    <t>03 02 BA 00 20 4E 00 00;</t>
  </si>
  <si>
    <t>03 02 4A 02 00 00 00 00;</t>
  </si>
  <si>
    <t>03 02 78 00 00 00 00 00;</t>
  </si>
  <si>
    <t>01 01 BA 00 40 8A F7 01;</t>
  </si>
  <si>
    <t>03 02 EB 00 00 00 00 00;</t>
  </si>
  <si>
    <t>03 03 DE 00 30 75 00 03;</t>
  </si>
  <si>
    <t>03 03 39 01 00 00 00 03;</t>
  </si>
  <si>
    <t>03 03 E7 00 30 75 00 03;</t>
  </si>
  <si>
    <t>03 02 39 01 00 00 00 00;</t>
  </si>
  <si>
    <t>03 02 EB 00 F0 49 02 00;</t>
  </si>
  <si>
    <t>01 01 1A 01 00 00 00 00;</t>
  </si>
  <si>
    <t>03 02 05 01 00 00 00 00;</t>
  </si>
  <si>
    <t>01 01 51 02 00 00 00 00;</t>
  </si>
  <si>
    <t>05 01 4F 01 07 00 00 00;</t>
  </si>
  <si>
    <t>05 01 54 01 01 00 00 00;</t>
  </si>
  <si>
    <t>05 01 59 01 01 00 00 00;</t>
  </si>
  <si>
    <t>05 01 5E 01 01 00 00 00;</t>
  </si>
  <si>
    <t>05 01 63 01 10 00 00 00;</t>
  </si>
  <si>
    <t>05 01 68 01 01 00 00 00;</t>
  </si>
  <si>
    <t>08 01 73 01 01 00 00 00;</t>
  </si>
  <si>
    <t>08 01 73 01 10 00 00 00;</t>
  </si>
  <si>
    <t>03 01 FF 01 00 00 00 00;</t>
  </si>
  <si>
    <t>05 01 78 01 07 00 00 00;</t>
  </si>
  <si>
    <t>01 01 7A 01 00 00 00 00;</t>
  </si>
  <si>
    <t>03 02 07 02 00 00 00 00;</t>
  </si>
  <si>
    <t>03 03 48 01 64 00 00 04;</t>
  </si>
  <si>
    <t>08 01 8F 01 01 00 00 00;</t>
  </si>
  <si>
    <t>08 01 8F 01 10 00 00 00;</t>
  </si>
  <si>
    <t>05 01 94 01 01 00 00 00;</t>
  </si>
  <si>
    <t>01 01 96 01 00 00 00 00;</t>
  </si>
  <si>
    <t>05 01 A0 01 10 00 00 00;</t>
  </si>
  <si>
    <t>01 01 A4 01 00 00 00 00;</t>
  </si>
  <si>
    <t>05 01 C0 01 01 00 00 00;</t>
  </si>
  <si>
    <t>01 01 1F 02 00 00 00 00;</t>
  </si>
  <si>
    <t>08 01 B3 01 01 00 00 00;</t>
  </si>
  <si>
    <t>08 01 CF 01 00 00 00 00;</t>
  </si>
  <si>
    <t>08 01 CF 01 80 00 00 00;</t>
  </si>
  <si>
    <t>08 01 D5 01 01 00 00 00;</t>
  </si>
  <si>
    <t>08 01 D5 01 81 00 00 00;</t>
  </si>
  <si>
    <t>08 01 E1 01 03 00 00 00;</t>
  </si>
  <si>
    <t>03 03 E6 01 50 C3 00 04;</t>
  </si>
  <si>
    <t>08 01 7D 01 01 00 00 00;</t>
  </si>
  <si>
    <t>08 01 F1 01 00 00 00 00;</t>
  </si>
  <si>
    <t>08 01 F7 01 01 00 00 00;</t>
  </si>
  <si>
    <t>05 01 04 02 01 00 00 00;</t>
  </si>
  <si>
    <t>01 01 FD 01 00 00 00 00;</t>
  </si>
  <si>
    <t>08 01 11 02 07 00 00 00;</t>
  </si>
  <si>
    <t>08 01 18 02 01 00 00 00;</t>
  </si>
  <si>
    <t>03 02 FD 01 00 00 00 00;</t>
  </si>
  <si>
    <t>03 02 28 02 F0 49 02 00;</t>
  </si>
  <si>
    <t>03 02 39 02 40 77 1B 00;</t>
  </si>
  <si>
    <t>03 02 39 02 80 8D 5B 00;</t>
  </si>
  <si>
    <t>08 01 43 02 01 00 00 00;</t>
  </si>
  <si>
    <t>05 01 46 02 01 00 00 00;</t>
  </si>
  <si>
    <t>05 01 5C 02 00 00 00 00;</t>
  </si>
  <si>
    <t>08 01 5C 02 00 00 00 00;</t>
  </si>
  <si>
    <t>32 80;</t>
  </si>
  <si>
    <t>C9 00;</t>
  </si>
  <si>
    <t>3C c1;</t>
  </si>
  <si>
    <t>31 41;</t>
  </si>
  <si>
    <t>16 41;</t>
  </si>
  <si>
    <t>1D 01;</t>
  </si>
  <si>
    <t>22 41;</t>
  </si>
  <si>
    <t>27 41;</t>
  </si>
  <si>
    <t>2C 41;</t>
  </si>
  <si>
    <t>46 01;</t>
  </si>
  <si>
    <t>34 00;</t>
  </si>
  <si>
    <t>6B 01;</t>
  </si>
  <si>
    <t>87 01;</t>
  </si>
  <si>
    <t>99 01;</t>
  </si>
  <si>
    <t>A7 01;</t>
  </si>
  <si>
    <t>B9 01;</t>
  </si>
  <si>
    <t>C5 01;</t>
  </si>
  <si>
    <t>C6 01;</t>
  </si>
  <si>
    <t>C9 01;</t>
  </si>
  <si>
    <t>DB 01;</t>
  </si>
  <si>
    <t>EA 01;</t>
  </si>
  <si>
    <t>ED 01;</t>
  </si>
  <si>
    <t>04</t>
  </si>
  <si>
    <t>05</t>
  </si>
  <si>
    <t>07</t>
  </si>
  <si>
    <t>08</t>
  </si>
  <si>
    <t>09</t>
  </si>
  <si>
    <t>0A</t>
  </si>
  <si>
    <t>0B</t>
  </si>
  <si>
    <t>0C</t>
  </si>
  <si>
    <t>0D</t>
  </si>
  <si>
    <t>12/7/2023</t>
  </si>
  <si>
    <t>19</t>
  </si>
  <si>
    <t>13/7/2023</t>
  </si>
  <si>
    <t>1A</t>
  </si>
  <si>
    <t>version [527083707970145519,26]</t>
  </si>
  <si>
    <t>00 00 00 00 09 2E ED 1A;</t>
  </si>
  <si>
    <r>
      <t>version</t>
    </r>
    <r>
      <rPr>
        <sz val="11"/>
        <color rgb="FF000000"/>
        <rFont val="Calibri"/>
        <family val="2"/>
        <scheme val="minor"/>
      </rPr>
      <t xml:space="preserve"> [527083707970145519,26]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</si>
</sst>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x0000"/>
  </numFmts>
  <fonts count="3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Verdana"/>
      <family val="2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FF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70C0"/>
      <name val="Calibri"/>
      <family val="2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69696"/>
      <name val="Calibri"/>
      <family val="2"/>
      <scheme val="minor"/>
    </font>
    <font>
      <sz val="11"/>
      <color rgb="FF33CCFF"/>
      <name val="Calibri"/>
      <family val="2"/>
      <scheme val="minor"/>
    </font>
    <font>
      <sz val="11"/>
      <color rgb="FF00FF99"/>
      <name val="Calibri"/>
      <family val="2"/>
      <scheme val="minor"/>
    </font>
    <font>
      <sz val="11"/>
      <color rgb="FFFFCC66"/>
      <name val="Calibri"/>
      <family val="2"/>
      <scheme val="minor"/>
    </font>
    <font>
      <b/>
      <sz val="11"/>
      <color rgb="FFFFCC66"/>
      <name val="Calibri"/>
      <family val="2"/>
      <scheme val="minor"/>
    </font>
    <font>
      <sz val="11"/>
      <color rgb="FF5F5F5F"/>
      <name val="Calibri"/>
      <family val="2"/>
      <scheme val="minor"/>
    </font>
    <font>
      <b/>
      <sz val="11"/>
      <color rgb="FF33CCFF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99FF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rgb="FF00FF99"/>
      <name val="Calibri"/>
      <family val="2"/>
      <scheme val="minor"/>
    </font>
    <font>
      <b/>
      <sz val="11"/>
      <color rgb="FF5F5F5F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499984740745262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9">
    <xf numFmtId="0" fontId="0" fillId="0" borderId="0" xfId="0"/>
    <xf numFmtId="0" fontId="0" fillId="0" borderId="0" xfId="0" applyAlignment="1">
      <alignment horizontal="right"/>
    </xf>
    <xf numFmtId="1" fontId="0" fillId="0" borderId="0" xfId="0" applyNumberFormat="1" applyAlignment="1">
      <alignment horizontal="left"/>
    </xf>
    <xf numFmtId="1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1" applyFill="1"/>
    <xf numFmtId="0" fontId="3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2" fillId="4" borderId="0" xfId="0" applyFont="1" applyFill="1"/>
    <xf numFmtId="0" fontId="2" fillId="4" borderId="5" xfId="0" applyFont="1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quotePrefix="1" applyFill="1"/>
    <xf numFmtId="0" fontId="6" fillId="0" borderId="0" xfId="0" applyFont="1" applyAlignment="1">
      <alignment horizontal="right"/>
    </xf>
    <xf numFmtId="0" fontId="6" fillId="0" borderId="0" xfId="0" applyFont="1"/>
    <xf numFmtId="0" fontId="3" fillId="0" borderId="0" xfId="0" applyFont="1" applyAlignment="1">
      <alignment horizontal="center"/>
    </xf>
    <xf numFmtId="0" fontId="3" fillId="0" borderId="11" xfId="0" applyFont="1" applyBorder="1"/>
    <xf numFmtId="17" fontId="0" fillId="2" borderId="0" xfId="0" quotePrefix="1" applyNumberFormat="1" applyFill="1"/>
    <xf numFmtId="0" fontId="0" fillId="0" borderId="14" xfId="0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19" xfId="0" applyBorder="1"/>
    <xf numFmtId="0" fontId="0" fillId="0" borderId="0" xfId="0" quotePrefix="1"/>
    <xf numFmtId="0" fontId="0" fillId="10" borderId="14" xfId="0" applyFill="1" applyBorder="1"/>
    <xf numFmtId="3" fontId="0" fillId="0" borderId="0" xfId="0" applyNumberFormat="1"/>
    <xf numFmtId="0" fontId="9" fillId="0" borderId="0" xfId="0" applyFont="1" applyAlignment="1">
      <alignment horizontal="left" vertical="center" indent="1"/>
    </xf>
    <xf numFmtId="0" fontId="0" fillId="11" borderId="0" xfId="0" applyFill="1"/>
    <xf numFmtId="0" fontId="0" fillId="11" borderId="0" xfId="0" applyFill="1" applyAlignment="1">
      <alignment horizontal="right"/>
    </xf>
    <xf numFmtId="0" fontId="5" fillId="3" borderId="0" xfId="0" applyFont="1" applyFill="1"/>
    <xf numFmtId="0" fontId="1" fillId="0" borderId="0" xfId="1"/>
    <xf numFmtId="0" fontId="0" fillId="0" borderId="4" xfId="0" applyBorder="1"/>
    <xf numFmtId="0" fontId="0" fillId="0" borderId="29" xfId="0" applyBorder="1"/>
    <xf numFmtId="0" fontId="0" fillId="0" borderId="32" xfId="0" applyBorder="1"/>
    <xf numFmtId="0" fontId="0" fillId="0" borderId="33" xfId="0" applyBorder="1"/>
    <xf numFmtId="0" fontId="0" fillId="0" borderId="35" xfId="0" applyBorder="1"/>
    <xf numFmtId="0" fontId="0" fillId="0" borderId="36" xfId="0" applyBorder="1"/>
    <xf numFmtId="0" fontId="0" fillId="0" borderId="31" xfId="0" applyBorder="1"/>
    <xf numFmtId="0" fontId="0" fillId="0" borderId="15" xfId="0" applyBorder="1"/>
    <xf numFmtId="0" fontId="0" fillId="10" borderId="16" xfId="0" applyFill="1" applyBorder="1"/>
    <xf numFmtId="0" fontId="0" fillId="10" borderId="18" xfId="0" applyFill="1" applyBorder="1"/>
    <xf numFmtId="0" fontId="0" fillId="13" borderId="20" xfId="0" applyFill="1" applyBorder="1"/>
    <xf numFmtId="0" fontId="0" fillId="13" borderId="18" xfId="0" applyFill="1" applyBorder="1"/>
    <xf numFmtId="11" fontId="0" fillId="2" borderId="0" xfId="0" applyNumberFormat="1" applyFill="1"/>
    <xf numFmtId="0" fontId="0" fillId="9" borderId="4" xfId="0" applyFill="1" applyBorder="1"/>
    <xf numFmtId="0" fontId="0" fillId="0" borderId="37" xfId="0" applyBorder="1"/>
    <xf numFmtId="0" fontId="0" fillId="10" borderId="23" xfId="0" applyFill="1" applyBorder="1"/>
    <xf numFmtId="0" fontId="0" fillId="0" borderId="24" xfId="0" applyBorder="1"/>
    <xf numFmtId="0" fontId="0" fillId="10" borderId="24" xfId="0" applyFill="1" applyBorder="1"/>
    <xf numFmtId="0" fontId="0" fillId="0" borderId="25" xfId="0" applyBorder="1"/>
    <xf numFmtId="0" fontId="0" fillId="0" borderId="34" xfId="0" applyBorder="1" applyAlignment="1">
      <alignment horizontal="right"/>
    </xf>
    <xf numFmtId="0" fontId="0" fillId="13" borderId="17" xfId="0" applyFill="1" applyBorder="1" applyAlignment="1">
      <alignment horizontal="right"/>
    </xf>
    <xf numFmtId="0" fontId="0" fillId="13" borderId="19" xfId="0" applyFill="1" applyBorder="1" applyAlignment="1">
      <alignment horizontal="right"/>
    </xf>
    <xf numFmtId="0" fontId="0" fillId="0" borderId="19" xfId="0" applyBorder="1" applyAlignment="1">
      <alignment horizontal="right"/>
    </xf>
    <xf numFmtId="0" fontId="0" fillId="10" borderId="22" xfId="0" applyFill="1" applyBorder="1" applyAlignment="1">
      <alignment horizontal="right"/>
    </xf>
    <xf numFmtId="0" fontId="0" fillId="0" borderId="26" xfId="0" applyBorder="1"/>
    <xf numFmtId="0" fontId="0" fillId="10" borderId="27" xfId="0" applyFill="1" applyBorder="1"/>
    <xf numFmtId="0" fontId="0" fillId="13" borderId="27" xfId="0" applyFill="1" applyBorder="1"/>
    <xf numFmtId="0" fontId="0" fillId="13" borderId="28" xfId="0" applyFill="1" applyBorder="1"/>
    <xf numFmtId="0" fontId="0" fillId="0" borderId="2" xfId="0" quotePrefix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0" xfId="0" quotePrefix="1" applyAlignment="1">
      <alignment horizontal="right"/>
    </xf>
    <xf numFmtId="0" fontId="0" fillId="0" borderId="7" xfId="0" quotePrefix="1" applyBorder="1" applyAlignment="1">
      <alignment horizontal="right"/>
    </xf>
    <xf numFmtId="0" fontId="0" fillId="0" borderId="7" xfId="0" applyBorder="1" applyAlignment="1">
      <alignment horizontal="right"/>
    </xf>
    <xf numFmtId="0" fontId="3" fillId="0" borderId="12" xfId="0" applyFont="1" applyBorder="1"/>
    <xf numFmtId="0" fontId="3" fillId="0" borderId="12" xfId="0" applyFont="1" applyBorder="1" applyAlignment="1">
      <alignment horizontal="right"/>
    </xf>
    <xf numFmtId="0" fontId="3" fillId="0" borderId="12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/>
    <xf numFmtId="0" fontId="11" fillId="0" borderId="7" xfId="0" applyFont="1" applyBorder="1"/>
    <xf numFmtId="0" fontId="11" fillId="0" borderId="2" xfId="0" applyFont="1" applyBorder="1"/>
    <xf numFmtId="0" fontId="10" fillId="0" borderId="14" xfId="0" applyFont="1" applyBorder="1"/>
    <xf numFmtId="0" fontId="12" fillId="0" borderId="14" xfId="0" applyFont="1" applyBorder="1"/>
    <xf numFmtId="0" fontId="11" fillId="0" borderId="14" xfId="0" applyFont="1" applyBorder="1"/>
    <xf numFmtId="0" fontId="10" fillId="0" borderId="19" xfId="0" applyFont="1" applyBorder="1"/>
    <xf numFmtId="0" fontId="12" fillId="0" borderId="19" xfId="0" applyFont="1" applyBorder="1"/>
    <xf numFmtId="0" fontId="11" fillId="0" borderId="19" xfId="0" applyFont="1" applyBorder="1"/>
    <xf numFmtId="0" fontId="11" fillId="0" borderId="18" xfId="0" applyFont="1" applyBorder="1"/>
    <xf numFmtId="0" fontId="10" fillId="0" borderId="18" xfId="0" applyFont="1" applyBorder="1"/>
    <xf numFmtId="0" fontId="12" fillId="0" borderId="18" xfId="0" applyFont="1" applyBorder="1"/>
    <xf numFmtId="0" fontId="11" fillId="0" borderId="21" xfId="0" applyFont="1" applyBorder="1"/>
    <xf numFmtId="0" fontId="11" fillId="0" borderId="22" xfId="0" applyFont="1" applyBorder="1"/>
    <xf numFmtId="0" fontId="0" fillId="0" borderId="38" xfId="0" applyBorder="1"/>
    <xf numFmtId="0" fontId="0" fillId="0" borderId="30" xfId="0" applyBorder="1"/>
    <xf numFmtId="0" fontId="13" fillId="0" borderId="30" xfId="0" applyFont="1" applyBorder="1"/>
    <xf numFmtId="0" fontId="13" fillId="0" borderId="39" xfId="0" applyFont="1" applyBorder="1"/>
    <xf numFmtId="0" fontId="3" fillId="0" borderId="40" xfId="0" applyFont="1" applyBorder="1"/>
    <xf numFmtId="0" fontId="3" fillId="0" borderId="41" xfId="0" applyFont="1" applyBorder="1"/>
    <xf numFmtId="0" fontId="3" fillId="0" borderId="42" xfId="0" applyFont="1" applyBorder="1"/>
    <xf numFmtId="0" fontId="0" fillId="9" borderId="4" xfId="0" quotePrefix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0" fillId="9" borderId="0" xfId="0" applyFill="1" applyAlignment="1">
      <alignment horizontal="left"/>
    </xf>
    <xf numFmtId="0" fontId="4" fillId="0" borderId="0" xfId="0" applyFont="1" applyAlignment="1">
      <alignment horizontal="right"/>
    </xf>
    <xf numFmtId="0" fontId="4" fillId="0" borderId="0" xfId="0" applyFont="1"/>
    <xf numFmtId="49" fontId="0" fillId="2" borderId="0" xfId="0" applyNumberFormat="1" applyFill="1"/>
    <xf numFmtId="49" fontId="0" fillId="9" borderId="0" xfId="0" applyNumberFormat="1" applyFill="1"/>
    <xf numFmtId="1" fontId="0" fillId="8" borderId="0" xfId="0" applyNumberFormat="1" applyFill="1" applyAlignment="1">
      <alignment horizontal="right"/>
    </xf>
    <xf numFmtId="0" fontId="0" fillId="8" borderId="0" xfId="0" applyFill="1"/>
    <xf numFmtId="0" fontId="0" fillId="8" borderId="0" xfId="0" applyFill="1" applyAlignment="1">
      <alignment horizontal="right"/>
    </xf>
    <xf numFmtId="1" fontId="0" fillId="14" borderId="0" xfId="0" applyNumberFormat="1" applyFill="1" applyAlignment="1">
      <alignment horizontal="right"/>
    </xf>
    <xf numFmtId="0" fontId="0" fillId="14" borderId="0" xfId="0" applyFill="1"/>
    <xf numFmtId="0" fontId="0" fillId="14" borderId="0" xfId="0" applyFill="1" applyAlignment="1">
      <alignment horizontal="right"/>
    </xf>
    <xf numFmtId="1" fontId="0" fillId="15" borderId="0" xfId="0" applyNumberFormat="1" applyFill="1" applyAlignment="1">
      <alignment horizontal="right"/>
    </xf>
    <xf numFmtId="0" fontId="0" fillId="15" borderId="0" xfId="0" applyFill="1"/>
    <xf numFmtId="0" fontId="0" fillId="15" borderId="0" xfId="0" applyFill="1" applyAlignment="1">
      <alignment horizontal="right"/>
    </xf>
    <xf numFmtId="0" fontId="8" fillId="12" borderId="4" xfId="0" applyFont="1" applyFill="1" applyBorder="1"/>
    <xf numFmtId="1" fontId="0" fillId="9" borderId="0" xfId="0" applyNumberFormat="1" applyFill="1" applyAlignment="1">
      <alignment horizontal="right"/>
    </xf>
    <xf numFmtId="1" fontId="0" fillId="7" borderId="0" xfId="0" applyNumberFormat="1" applyFill="1" applyAlignment="1">
      <alignment horizontal="right"/>
    </xf>
    <xf numFmtId="0" fontId="0" fillId="7" borderId="0" xfId="0" applyFill="1"/>
    <xf numFmtId="0" fontId="0" fillId="7" borderId="0" xfId="0" applyFill="1" applyAlignment="1">
      <alignment horizontal="right"/>
    </xf>
    <xf numFmtId="0" fontId="15" fillId="5" borderId="5" xfId="0" applyFont="1" applyFill="1" applyBorder="1" applyAlignment="1">
      <alignment vertical="center"/>
    </xf>
    <xf numFmtId="0" fontId="0" fillId="9" borderId="31" xfId="0" applyFill="1" applyBorder="1"/>
    <xf numFmtId="1" fontId="0" fillId="17" borderId="0" xfId="0" applyNumberFormat="1" applyFill="1" applyAlignment="1">
      <alignment horizontal="right"/>
    </xf>
    <xf numFmtId="0" fontId="0" fillId="17" borderId="0" xfId="0" applyFill="1"/>
    <xf numFmtId="0" fontId="0" fillId="17" borderId="0" xfId="0" applyFill="1" applyAlignment="1">
      <alignment horizontal="right"/>
    </xf>
    <xf numFmtId="0" fontId="8" fillId="9" borderId="31" xfId="0" applyFont="1" applyFill="1" applyBorder="1"/>
    <xf numFmtId="0" fontId="17" fillId="5" borderId="0" xfId="0" applyFont="1" applyFill="1"/>
    <xf numFmtId="49" fontId="14" fillId="5" borderId="0" xfId="0" applyNumberFormat="1" applyFont="1" applyFill="1"/>
    <xf numFmtId="0" fontId="10" fillId="5" borderId="0" xfId="0" applyFont="1" applyFill="1" applyAlignment="1">
      <alignment horizontal="right"/>
    </xf>
    <xf numFmtId="9" fontId="5" fillId="5" borderId="0" xfId="0" applyNumberFormat="1" applyFont="1" applyFill="1"/>
    <xf numFmtId="0" fontId="0" fillId="5" borderId="0" xfId="0" applyFill="1" applyAlignment="1">
      <alignment horizontal="left"/>
    </xf>
    <xf numFmtId="0" fontId="10" fillId="5" borderId="0" xfId="0" applyFont="1" applyFill="1" applyAlignment="1">
      <alignment horizontal="left"/>
    </xf>
    <xf numFmtId="0" fontId="5" fillId="5" borderId="0" xfId="0" applyFont="1" applyFill="1" applyAlignment="1">
      <alignment horizontal="right"/>
    </xf>
    <xf numFmtId="1" fontId="0" fillId="6" borderId="0" xfId="0" applyNumberFormat="1" applyFill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3" fillId="5" borderId="5" xfId="0" applyFont="1" applyFill="1" applyBorder="1"/>
    <xf numFmtId="0" fontId="0" fillId="12" borderId="4" xfId="0" applyFill="1" applyBorder="1"/>
    <xf numFmtId="49" fontId="0" fillId="5" borderId="0" xfId="0" applyNumberFormat="1" applyFill="1"/>
    <xf numFmtId="0" fontId="5" fillId="5" borderId="0" xfId="0" applyFont="1" applyFill="1" applyAlignment="1">
      <alignment horizontal="left"/>
    </xf>
    <xf numFmtId="9" fontId="10" fillId="5" borderId="5" xfId="0" applyNumberFormat="1" applyFont="1" applyFill="1" applyBorder="1" applyAlignment="1">
      <alignment horizontal="left"/>
    </xf>
    <xf numFmtId="0" fontId="0" fillId="5" borderId="0" xfId="0" applyFill="1" applyAlignment="1">
      <alignment horizontal="right"/>
    </xf>
    <xf numFmtId="9" fontId="5" fillId="5" borderId="0" xfId="0" applyNumberFormat="1" applyFont="1" applyFill="1" applyAlignment="1">
      <alignment horizontal="left"/>
    </xf>
    <xf numFmtId="49" fontId="3" fillId="0" borderId="0" xfId="0" applyNumberFormat="1" applyFont="1" applyAlignment="1">
      <alignment horizontal="left"/>
    </xf>
    <xf numFmtId="49" fontId="2" fillId="4" borderId="4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right"/>
    </xf>
    <xf numFmtId="49" fontId="7" fillId="0" borderId="4" xfId="0" applyNumberFormat="1" applyFont="1" applyBorder="1" applyAlignment="1">
      <alignment horizontal="right"/>
    </xf>
    <xf numFmtId="0" fontId="0" fillId="18" borderId="0" xfId="0" applyFill="1"/>
    <xf numFmtId="1" fontId="0" fillId="19" borderId="0" xfId="0" applyNumberFormat="1" applyFill="1" applyAlignment="1">
      <alignment horizontal="right"/>
    </xf>
    <xf numFmtId="0" fontId="0" fillId="19" borderId="0" xfId="0" applyFill="1"/>
    <xf numFmtId="0" fontId="0" fillId="19" borderId="0" xfId="0" applyFill="1" applyAlignment="1">
      <alignment horizontal="right"/>
    </xf>
    <xf numFmtId="0" fontId="0" fillId="9" borderId="9" xfId="0" applyFill="1" applyBorder="1"/>
    <xf numFmtId="164" fontId="0" fillId="19" borderId="0" xfId="0" applyNumberFormat="1" applyFill="1" applyAlignment="1">
      <alignment horizontal="right"/>
    </xf>
    <xf numFmtId="0" fontId="0" fillId="20" borderId="31" xfId="0" applyFill="1" applyBorder="1"/>
    <xf numFmtId="0" fontId="0" fillId="18" borderId="0" xfId="0" quotePrefix="1" applyFill="1"/>
    <xf numFmtId="0" fontId="0" fillId="21" borderId="0" xfId="0" applyFill="1"/>
    <xf numFmtId="0" fontId="18" fillId="21" borderId="0" xfId="0" applyFont="1" applyFill="1"/>
    <xf numFmtId="0" fontId="2" fillId="21" borderId="0" xfId="0" applyFont="1" applyFill="1"/>
    <xf numFmtId="0" fontId="19" fillId="21" borderId="43" xfId="0" applyFont="1" applyFill="1" applyBorder="1"/>
    <xf numFmtId="0" fontId="20" fillId="21" borderId="0" xfId="0" applyFont="1" applyFill="1"/>
    <xf numFmtId="0" fontId="23" fillId="21" borderId="0" xfId="0" applyFont="1" applyFill="1"/>
    <xf numFmtId="0" fontId="24" fillId="21" borderId="0" xfId="0" applyFont="1" applyFill="1"/>
    <xf numFmtId="0" fontId="24" fillId="21" borderId="0" xfId="0" applyFont="1" applyFill="1" applyAlignment="1">
      <alignment horizontal="center"/>
    </xf>
    <xf numFmtId="1" fontId="0" fillId="0" borderId="0" xfId="0" applyNumberFormat="1" applyAlignment="1">
      <alignment horizontal="right"/>
    </xf>
    <xf numFmtId="49" fontId="0" fillId="0" borderId="0" xfId="0" applyNumberFormat="1"/>
    <xf numFmtId="0" fontId="0" fillId="2" borderId="0" xfId="0" applyFill="1"/>
    <xf numFmtId="0" fontId="0" fillId="5" borderId="3" xfId="0" applyFill="1" applyBorder="1"/>
    <xf numFmtId="0" fontId="3" fillId="5" borderId="0" xfId="0" applyFont="1" applyFill="1"/>
    <xf numFmtId="0" fontId="0" fillId="5" borderId="5" xfId="0" applyFill="1" applyBorder="1"/>
    <xf numFmtId="0" fontId="0" fillId="5" borderId="2" xfId="0" applyFill="1" applyBorder="1"/>
    <xf numFmtId="0" fontId="0" fillId="9" borderId="0" xfId="0" applyFill="1"/>
    <xf numFmtId="0" fontId="0" fillId="5" borderId="0" xfId="0" applyFill="1"/>
    <xf numFmtId="0" fontId="0" fillId="12" borderId="1" xfId="0" applyFill="1" applyBorder="1"/>
    <xf numFmtId="0" fontId="14" fillId="5" borderId="0" xfId="0" applyFont="1" applyFill="1" applyAlignment="1">
      <alignment horizontal="left"/>
    </xf>
    <xf numFmtId="49" fontId="14" fillId="5" borderId="0" xfId="0" applyNumberFormat="1" applyFont="1" applyFill="1" applyAlignment="1">
      <alignment horizontal="right"/>
    </xf>
    <xf numFmtId="49" fontId="14" fillId="5" borderId="0" xfId="0" applyNumberFormat="1" applyFont="1" applyFill="1" applyAlignment="1">
      <alignment horizontal="left"/>
    </xf>
    <xf numFmtId="0" fontId="26" fillId="2" borderId="0" xfId="0" applyFont="1" applyFill="1"/>
    <xf numFmtId="0" fontId="0" fillId="12" borderId="6" xfId="0" applyFill="1" applyBorder="1"/>
    <xf numFmtId="0" fontId="0" fillId="5" borderId="7" xfId="0" applyFill="1" applyBorder="1"/>
    <xf numFmtId="0" fontId="3" fillId="5" borderId="7" xfId="0" applyFont="1" applyFill="1" applyBorder="1"/>
    <xf numFmtId="0" fontId="0" fillId="5" borderId="8" xfId="0" applyFill="1" applyBorder="1"/>
    <xf numFmtId="0" fontId="0" fillId="12" borderId="11" xfId="0" applyFill="1" applyBorder="1"/>
    <xf numFmtId="0" fontId="0" fillId="5" borderId="12" xfId="0" applyFill="1" applyBorder="1"/>
    <xf numFmtId="0" fontId="0" fillId="5" borderId="13" xfId="0" applyFill="1" applyBorder="1"/>
    <xf numFmtId="49" fontId="0" fillId="5" borderId="7" xfId="0" applyNumberFormat="1" applyFill="1" applyBorder="1"/>
    <xf numFmtId="0" fontId="14" fillId="5" borderId="7" xfId="0" applyFont="1" applyFill="1" applyBorder="1" applyAlignment="1">
      <alignment horizontal="left"/>
    </xf>
    <xf numFmtId="0" fontId="8" fillId="12" borderId="6" xfId="0" applyFont="1" applyFill="1" applyBorder="1"/>
    <xf numFmtId="0" fontId="17" fillId="5" borderId="7" xfId="0" applyFont="1" applyFill="1" applyBorder="1"/>
    <xf numFmtId="0" fontId="23" fillId="21" borderId="5" xfId="0" applyFont="1" applyFill="1" applyBorder="1"/>
    <xf numFmtId="0" fontId="23" fillId="21" borderId="5" xfId="0" applyFont="1" applyFill="1" applyBorder="1" applyAlignment="1">
      <alignment vertical="center"/>
    </xf>
    <xf numFmtId="1" fontId="0" fillId="10" borderId="0" xfId="0" applyNumberFormat="1" applyFill="1" applyAlignment="1">
      <alignment horizontal="right"/>
    </xf>
    <xf numFmtId="0" fontId="27" fillId="21" borderId="0" xfId="0" applyFont="1" applyFill="1"/>
    <xf numFmtId="0" fontId="20" fillId="21" borderId="2" xfId="0" applyFont="1" applyFill="1" applyBorder="1"/>
    <xf numFmtId="0" fontId="20" fillId="21" borderId="7" xfId="0" applyFont="1" applyFill="1" applyBorder="1"/>
    <xf numFmtId="0" fontId="3" fillId="5" borderId="12" xfId="0" applyFont="1" applyFill="1" applyBorder="1"/>
    <xf numFmtId="0" fontId="0" fillId="0" borderId="0" xfId="0" applyAlignment="1">
      <alignment wrapText="1"/>
    </xf>
    <xf numFmtId="0" fontId="28" fillId="0" borderId="0" xfId="0" applyFont="1"/>
    <xf numFmtId="0" fontId="28" fillId="0" borderId="0" xfId="0" applyFont="1" applyAlignment="1">
      <alignment horizontal="center"/>
    </xf>
    <xf numFmtId="49" fontId="3" fillId="0" borderId="0" xfId="0" applyNumberFormat="1" applyFont="1"/>
    <xf numFmtId="49" fontId="28" fillId="0" borderId="0" xfId="0" applyNumberFormat="1" applyFont="1"/>
    <xf numFmtId="0" fontId="10" fillId="5" borderId="7" xfId="0" applyFont="1" applyFill="1" applyBorder="1"/>
    <xf numFmtId="49" fontId="14" fillId="5" borderId="7" xfId="0" applyNumberFormat="1" applyFont="1" applyFill="1" applyBorder="1" applyAlignment="1">
      <alignment horizontal="right"/>
    </xf>
    <xf numFmtId="49" fontId="14" fillId="5" borderId="7" xfId="0" applyNumberFormat="1" applyFont="1" applyFill="1" applyBorder="1" applyAlignment="1">
      <alignment horizontal="left"/>
    </xf>
    <xf numFmtId="49" fontId="8" fillId="9" borderId="0" xfId="0" applyNumberFormat="1" applyFont="1" applyFill="1"/>
    <xf numFmtId="0" fontId="8" fillId="9" borderId="0" xfId="0" applyFont="1" applyFill="1"/>
    <xf numFmtId="0" fontId="18" fillId="21" borderId="2" xfId="0" applyFont="1" applyFill="1" applyBorder="1"/>
    <xf numFmtId="0" fontId="18" fillId="21" borderId="7" xfId="0" applyFont="1" applyFill="1" applyBorder="1"/>
    <xf numFmtId="0" fontId="20" fillId="21" borderId="0" xfId="0" applyFont="1" applyFill="1" applyBorder="1"/>
    <xf numFmtId="0" fontId="18" fillId="21" borderId="0" xfId="0" applyFont="1" applyFill="1" applyBorder="1"/>
    <xf numFmtId="0" fontId="23" fillId="21" borderId="0" xfId="0" applyFont="1" applyFill="1" applyBorder="1"/>
    <xf numFmtId="0" fontId="27" fillId="21" borderId="0" xfId="0" applyFont="1" applyFill="1" applyBorder="1"/>
    <xf numFmtId="0" fontId="23" fillId="21" borderId="2" xfId="0" applyFont="1" applyFill="1" applyBorder="1"/>
    <xf numFmtId="0" fontId="30" fillId="21" borderId="0" xfId="0" applyFont="1" applyFill="1"/>
    <xf numFmtId="0" fontId="0" fillId="5" borderId="0" xfId="0" applyFill="1" applyBorder="1"/>
    <xf numFmtId="0" fontId="3" fillId="5" borderId="0" xfId="0" applyFont="1" applyFill="1" applyBorder="1"/>
    <xf numFmtId="0" fontId="10" fillId="5" borderId="0" xfId="0" applyFont="1" applyFill="1" applyBorder="1"/>
    <xf numFmtId="49" fontId="0" fillId="5" borderId="0" xfId="0" applyNumberFormat="1" applyFill="1" applyBorder="1"/>
    <xf numFmtId="0" fontId="10" fillId="5" borderId="0" xfId="0" applyFont="1" applyFill="1" applyBorder="1" applyAlignment="1">
      <alignment horizontal="right"/>
    </xf>
    <xf numFmtId="0" fontId="14" fillId="5" borderId="0" xfId="0" applyFont="1" applyFill="1" applyBorder="1" applyAlignment="1">
      <alignment horizontal="left"/>
    </xf>
    <xf numFmtId="49" fontId="10" fillId="5" borderId="0" xfId="0" applyNumberFormat="1" applyFont="1" applyFill="1" applyBorder="1" applyAlignment="1">
      <alignment horizontal="right"/>
    </xf>
    <xf numFmtId="9" fontId="10" fillId="5" borderId="0" xfId="0" applyNumberFormat="1" applyFont="1" applyFill="1" applyBorder="1"/>
    <xf numFmtId="49" fontId="14" fillId="5" borderId="0" xfId="0" applyNumberFormat="1" applyFont="1" applyFill="1" applyBorder="1" applyAlignment="1">
      <alignment horizontal="right"/>
    </xf>
    <xf numFmtId="49" fontId="14" fillId="5" borderId="0" xfId="0" applyNumberFormat="1" applyFont="1" applyFill="1" applyBorder="1" applyAlignment="1">
      <alignment horizontal="left"/>
    </xf>
    <xf numFmtId="0" fontId="14" fillId="16" borderId="0" xfId="0" applyFont="1" applyFill="1" applyBorder="1" applyAlignment="1">
      <alignment vertical="center"/>
    </xf>
    <xf numFmtId="49" fontId="14" fillId="5" borderId="0" xfId="0" applyNumberFormat="1" applyFont="1" applyFill="1" applyBorder="1"/>
    <xf numFmtId="0" fontId="17" fillId="5" borderId="0" xfId="0" applyFont="1" applyFill="1" applyBorder="1"/>
    <xf numFmtId="0" fontId="15" fillId="5" borderId="0" xfId="0" applyFont="1" applyFill="1" applyBorder="1" applyAlignment="1">
      <alignment vertical="center"/>
    </xf>
    <xf numFmtId="0" fontId="16" fillId="5" borderId="0" xfId="0" applyFont="1" applyFill="1" applyBorder="1" applyAlignment="1">
      <alignment vertical="center"/>
    </xf>
    <xf numFmtId="0" fontId="0" fillId="0" borderId="0" xfId="0" applyFill="1"/>
    <xf numFmtId="0" fontId="31" fillId="0" borderId="0" xfId="0" applyFont="1"/>
    <xf numFmtId="0" fontId="31" fillId="0" borderId="0" xfId="0" applyFont="1" applyAlignment="1">
      <alignment horizontal="center"/>
    </xf>
    <xf numFmtId="49" fontId="31" fillId="0" borderId="0" xfId="0" applyNumberFormat="1" applyFont="1"/>
    <xf numFmtId="0" fontId="28" fillId="0" borderId="0" xfId="0" applyFont="1" applyAlignment="1">
      <alignment vertical="top"/>
    </xf>
    <xf numFmtId="0" fontId="28" fillId="0" borderId="0" xfId="0" quotePrefix="1" applyFont="1" applyAlignment="1">
      <alignment horizontal="center" vertical="top"/>
    </xf>
    <xf numFmtId="0" fontId="28" fillId="0" borderId="0" xfId="0" quotePrefix="1" applyFont="1" applyAlignment="1">
      <alignment vertical="top"/>
    </xf>
    <xf numFmtId="49" fontId="28" fillId="0" borderId="0" xfId="0" applyNumberFormat="1" applyFont="1" applyAlignment="1">
      <alignment vertical="top" wrapText="1"/>
    </xf>
    <xf numFmtId="0" fontId="0" fillId="0" borderId="0" xfId="0" applyFont="1" applyAlignment="1">
      <alignment vertical="top"/>
    </xf>
    <xf numFmtId="0" fontId="0" fillId="0" borderId="0" xfId="0" quotePrefix="1" applyFont="1" applyAlignment="1">
      <alignment horizontal="center" vertical="top"/>
    </xf>
    <xf numFmtId="0" fontId="0" fillId="0" borderId="0" xfId="0" quotePrefix="1" applyFont="1" applyAlignment="1">
      <alignment vertical="top"/>
    </xf>
    <xf numFmtId="49" fontId="0" fillId="0" borderId="0" xfId="0" applyNumberFormat="1" applyFont="1" applyAlignment="1">
      <alignment vertical="top" wrapText="1"/>
    </xf>
    <xf numFmtId="0" fontId="10" fillId="5" borderId="7" xfId="0" applyFont="1" applyFill="1" applyBorder="1" applyAlignment="1">
      <alignment horizontal="right"/>
    </xf>
    <xf numFmtId="49" fontId="0" fillId="5" borderId="12" xfId="0" applyNumberFormat="1" applyFill="1" applyBorder="1"/>
    <xf numFmtId="49" fontId="0" fillId="2" borderId="0" xfId="0" quotePrefix="1" applyNumberFormat="1" applyFill="1"/>
    <xf numFmtId="49" fontId="0" fillId="0" borderId="0" xfId="0" applyNumberFormat="1" applyFont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425823</xdr:colOff>
      <xdr:row>56</xdr:row>
      <xdr:rowOff>145676</xdr:rowOff>
    </xdr:from>
    <xdr:to>
      <xdr:col>20</xdr:col>
      <xdr:colOff>18243</xdr:colOff>
      <xdr:row>72</xdr:row>
      <xdr:rowOff>33617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440F16F-A4DE-46F6-98E2-06854E7A6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24882" y="10813676"/>
          <a:ext cx="3111067" cy="2935941"/>
        </a:xfrm>
        <a:prstGeom prst="rect">
          <a:avLst/>
        </a:prstGeom>
      </xdr:spPr>
    </xdr:pic>
    <xdr:clientData/>
  </xdr:twoCellAnchor>
  <xdr:twoCellAnchor editAs="oneCell">
    <xdr:from>
      <xdr:col>15</xdr:col>
      <xdr:colOff>493059</xdr:colOff>
      <xdr:row>79</xdr:row>
      <xdr:rowOff>56030</xdr:rowOff>
    </xdr:from>
    <xdr:to>
      <xdr:col>20</xdr:col>
      <xdr:colOff>449622</xdr:colOff>
      <xdr:row>97</xdr:row>
      <xdr:rowOff>89648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6BB9436-AD23-4BB5-A4AC-93061E853F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892118" y="15105530"/>
          <a:ext cx="3475210" cy="3462618"/>
        </a:xfrm>
        <a:prstGeom prst="rect">
          <a:avLst/>
        </a:prstGeom>
      </xdr:spPr>
    </xdr:pic>
    <xdr:clientData/>
  </xdr:twoCellAnchor>
  <xdr:twoCellAnchor>
    <xdr:from>
      <xdr:col>2</xdr:col>
      <xdr:colOff>33618</xdr:colOff>
      <xdr:row>127</xdr:row>
      <xdr:rowOff>78441</xdr:rowOff>
    </xdr:from>
    <xdr:to>
      <xdr:col>4</xdr:col>
      <xdr:colOff>134470</xdr:colOff>
      <xdr:row>131</xdr:row>
      <xdr:rowOff>100853</xdr:rowOff>
    </xdr:to>
    <xdr:sp macro="" textlink="">
      <xdr:nvSpPr>
        <xdr:cNvPr id="2" name="Callout: Bent Line 1">
          <a:extLst>
            <a:ext uri="{FF2B5EF4-FFF2-40B4-BE49-F238E27FC236}">
              <a16:creationId xmlns:a16="http://schemas.microsoft.com/office/drawing/2014/main" id="{0985477B-58FF-49B5-AAFD-2A1BCF1915FB}"/>
            </a:ext>
          </a:extLst>
        </xdr:cNvPr>
        <xdr:cNvSpPr/>
      </xdr:nvSpPr>
      <xdr:spPr>
        <a:xfrm flipH="1">
          <a:off x="1243853" y="24271941"/>
          <a:ext cx="1311088" cy="784412"/>
        </a:xfrm>
        <a:prstGeom prst="borderCallout2">
          <a:avLst>
            <a:gd name="adj1" fmla="val 18750"/>
            <a:gd name="adj2" fmla="val -8333"/>
            <a:gd name="adj3" fmla="val 18750"/>
            <a:gd name="adj4" fmla="val -16667"/>
            <a:gd name="adj5" fmla="val 96627"/>
            <a:gd name="adj6" fmla="val -64616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Lock should be commissioned to this ID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ACC1E-43D2-453B-BAE4-B024CF8DF502}">
  <sheetPr codeName="Sheet1"/>
  <dimension ref="B2:K1048"/>
  <sheetViews>
    <sheetView topLeftCell="A3" workbookViewId="0">
      <selection activeCell="B3" sqref="B3"/>
    </sheetView>
  </sheetViews>
  <sheetFormatPr defaultRowHeight="15" x14ac:dyDescent="0.25"/>
  <cols>
    <col min="2" max="2" width="33.42578125" bestFit="1" customWidth="1"/>
    <col min="3" max="3" width="7.85546875" style="17" bestFit="1" customWidth="1"/>
    <col min="4" max="4" width="15.85546875" bestFit="1" customWidth="1"/>
    <col min="5" max="5" width="9.7109375" bestFit="1" customWidth="1"/>
    <col min="6" max="6" width="64.7109375" style="169" customWidth="1"/>
  </cols>
  <sheetData>
    <row r="2" spans="2:6" x14ac:dyDescent="0.25">
      <c r="B2" s="6" t="s">
        <v>1484</v>
      </c>
      <c r="C2" s="24" t="s">
        <v>1485</v>
      </c>
      <c r="D2" s="6" t="s">
        <v>1486</v>
      </c>
      <c r="E2" s="6" t="s">
        <v>1487</v>
      </c>
      <c r="F2" s="203" t="s">
        <v>1488</v>
      </c>
    </row>
    <row r="3" spans="2:6" x14ac:dyDescent="0.25">
      <c r="B3" s="241" t="s">
        <v>2135</v>
      </c>
      <c r="C3" s="242" t="s">
        <v>2252</v>
      </c>
      <c r="D3" s="243" t="s">
        <v>1493</v>
      </c>
      <c r="E3" s="243" t="s">
        <v>2251</v>
      </c>
      <c r="F3" s="248" t="s">
        <v>2137</v>
      </c>
    </row>
    <row r="4" spans="2:6" x14ac:dyDescent="0.25">
      <c r="B4" s="241"/>
      <c r="C4" s="242" t="s">
        <v>2250</v>
      </c>
      <c r="D4" s="243" t="s">
        <v>1493</v>
      </c>
      <c r="E4" s="243" t="s">
        <v>2251</v>
      </c>
      <c r="F4" s="248" t="s">
        <v>2137</v>
      </c>
    </row>
    <row r="5" spans="2:6" x14ac:dyDescent="0.25">
      <c r="B5" s="241"/>
      <c r="C5" s="242" t="s">
        <v>1649</v>
      </c>
      <c r="D5" s="243" t="s">
        <v>1493</v>
      </c>
      <c r="E5" s="243" t="s">
        <v>2249</v>
      </c>
      <c r="F5" s="248" t="s">
        <v>2137</v>
      </c>
    </row>
    <row r="6" spans="2:6" x14ac:dyDescent="0.25">
      <c r="B6" s="241"/>
      <c r="C6" s="242" t="s">
        <v>1564</v>
      </c>
      <c r="D6" s="243" t="s">
        <v>1493</v>
      </c>
      <c r="E6" s="243" t="s">
        <v>2249</v>
      </c>
      <c r="F6" s="248" t="s">
        <v>2137</v>
      </c>
    </row>
    <row r="7" spans="2:6" x14ac:dyDescent="0.25">
      <c r="B7" s="241"/>
      <c r="C7" s="242" t="s">
        <v>1561</v>
      </c>
      <c r="D7" s="243" t="s">
        <v>1493</v>
      </c>
      <c r="E7" s="243" t="s">
        <v>2249</v>
      </c>
      <c r="F7" s="248" t="s">
        <v>2137</v>
      </c>
    </row>
    <row r="8" spans="2:6" x14ac:dyDescent="0.25">
      <c r="B8" s="241"/>
      <c r="C8" s="242" t="s">
        <v>1537</v>
      </c>
      <c r="D8" s="243" t="s">
        <v>1493</v>
      </c>
      <c r="E8" s="243" t="s">
        <v>2249</v>
      </c>
      <c r="F8" s="248" t="s">
        <v>2137</v>
      </c>
    </row>
    <row r="9" spans="2:6" x14ac:dyDescent="0.25">
      <c r="B9" s="241"/>
      <c r="C9" s="242" t="s">
        <v>1528</v>
      </c>
      <c r="D9" s="243" t="s">
        <v>1493</v>
      </c>
      <c r="E9" s="243" t="s">
        <v>2249</v>
      </c>
      <c r="F9" s="248" t="s">
        <v>2137</v>
      </c>
    </row>
    <row r="10" spans="2:6" x14ac:dyDescent="0.25">
      <c r="B10" s="241"/>
      <c r="C10" s="242" t="s">
        <v>1524</v>
      </c>
      <c r="D10" s="243" t="s">
        <v>1493</v>
      </c>
      <c r="E10" s="243" t="s">
        <v>2249</v>
      </c>
      <c r="F10" s="248" t="s">
        <v>2137</v>
      </c>
    </row>
    <row r="11" spans="2:6" x14ac:dyDescent="0.25">
      <c r="B11" s="241"/>
      <c r="C11" s="242" t="s">
        <v>1521</v>
      </c>
      <c r="D11" s="243" t="s">
        <v>1493</v>
      </c>
      <c r="E11" s="243" t="s">
        <v>2249</v>
      </c>
      <c r="F11" s="248" t="s">
        <v>2137</v>
      </c>
    </row>
    <row r="12" spans="2:6" x14ac:dyDescent="0.25">
      <c r="B12" s="241"/>
      <c r="C12" s="242" t="s">
        <v>34</v>
      </c>
      <c r="D12" s="243" t="s">
        <v>1493</v>
      </c>
      <c r="E12" s="243" t="s">
        <v>2249</v>
      </c>
      <c r="F12" s="248" t="s">
        <v>2137</v>
      </c>
    </row>
    <row r="13" spans="2:6" x14ac:dyDescent="0.25">
      <c r="B13" s="241"/>
      <c r="C13" s="242" t="s">
        <v>1495</v>
      </c>
      <c r="D13" s="243" t="s">
        <v>1493</v>
      </c>
      <c r="E13" s="243" t="s">
        <v>2249</v>
      </c>
      <c r="F13" s="248" t="s">
        <v>2137</v>
      </c>
    </row>
    <row r="14" spans="2:6" x14ac:dyDescent="0.25">
      <c r="B14" s="241"/>
      <c r="C14" s="242" t="s">
        <v>1492</v>
      </c>
      <c r="D14" s="243" t="s">
        <v>1493</v>
      </c>
      <c r="E14" s="243" t="s">
        <v>2136</v>
      </c>
      <c r="F14" s="248" t="s">
        <v>2137</v>
      </c>
    </row>
    <row r="15" spans="2:6" x14ac:dyDescent="0.25">
      <c r="B15" s="241"/>
      <c r="C15" s="242" t="s">
        <v>42</v>
      </c>
      <c r="D15" s="243" t="s">
        <v>1493</v>
      </c>
      <c r="E15" s="243" t="s">
        <v>2136</v>
      </c>
      <c r="F15" s="248" t="s">
        <v>2137</v>
      </c>
    </row>
    <row r="16" spans="2:6" x14ac:dyDescent="0.25">
      <c r="B16" s="241"/>
      <c r="C16" s="242" t="s">
        <v>2248</v>
      </c>
      <c r="D16" s="243" t="s">
        <v>1493</v>
      </c>
      <c r="E16" s="243" t="s">
        <v>2136</v>
      </c>
      <c r="F16" s="248" t="s">
        <v>2137</v>
      </c>
    </row>
    <row r="17" spans="2:11" x14ac:dyDescent="0.25">
      <c r="B17" s="241"/>
      <c r="C17" s="242" t="s">
        <v>2247</v>
      </c>
      <c r="D17" s="243" t="s">
        <v>1493</v>
      </c>
      <c r="E17" s="243" t="s">
        <v>2136</v>
      </c>
      <c r="F17" s="248" t="s">
        <v>2137</v>
      </c>
    </row>
    <row r="18" spans="2:11" x14ac:dyDescent="0.25">
      <c r="B18" s="241"/>
      <c r="C18" s="242" t="s">
        <v>2246</v>
      </c>
      <c r="D18" s="243" t="s">
        <v>1493</v>
      </c>
      <c r="E18" s="243" t="s">
        <v>2136</v>
      </c>
      <c r="F18" s="248" t="s">
        <v>2137</v>
      </c>
    </row>
    <row r="19" spans="2:11" x14ac:dyDescent="0.25">
      <c r="B19" s="241"/>
      <c r="C19" s="242" t="s">
        <v>2245</v>
      </c>
      <c r="D19" s="243" t="s">
        <v>1493</v>
      </c>
      <c r="E19" s="243" t="s">
        <v>2136</v>
      </c>
      <c r="F19" s="248" t="s">
        <v>2137</v>
      </c>
    </row>
    <row r="20" spans="2:11" x14ac:dyDescent="0.25">
      <c r="B20" s="241"/>
      <c r="C20" s="242" t="s">
        <v>2244</v>
      </c>
      <c r="D20" s="243" t="s">
        <v>1493</v>
      </c>
      <c r="E20" s="243" t="s">
        <v>2136</v>
      </c>
      <c r="F20" s="248" t="s">
        <v>2137</v>
      </c>
    </row>
    <row r="21" spans="2:11" x14ac:dyDescent="0.25">
      <c r="B21" s="241"/>
      <c r="C21" s="242" t="s">
        <v>2243</v>
      </c>
      <c r="D21" s="243" t="s">
        <v>1493</v>
      </c>
      <c r="E21" s="243" t="s">
        <v>2136</v>
      </c>
      <c r="F21" s="248" t="s">
        <v>2137</v>
      </c>
    </row>
    <row r="22" spans="2:11" x14ac:dyDescent="0.25">
      <c r="B22" s="241"/>
      <c r="C22" s="242" t="s">
        <v>2242</v>
      </c>
      <c r="D22" s="243" t="s">
        <v>1493</v>
      </c>
      <c r="E22" s="243" t="s">
        <v>2136</v>
      </c>
      <c r="F22" s="248" t="s">
        <v>2137</v>
      </c>
    </row>
    <row r="23" spans="2:11" x14ac:dyDescent="0.25">
      <c r="B23" s="241"/>
      <c r="C23" s="242" t="s">
        <v>1782</v>
      </c>
      <c r="D23" s="243" t="s">
        <v>1493</v>
      </c>
      <c r="E23" s="243" t="s">
        <v>2136</v>
      </c>
      <c r="F23" s="248" t="s">
        <v>2137</v>
      </c>
    </row>
    <row r="24" spans="2:11" x14ac:dyDescent="0.25">
      <c r="B24" s="241"/>
      <c r="C24" s="242" t="s">
        <v>2241</v>
      </c>
      <c r="D24" s="243" t="s">
        <v>1493</v>
      </c>
      <c r="E24" s="243" t="s">
        <v>2136</v>
      </c>
      <c r="F24" s="248" t="s">
        <v>2137</v>
      </c>
    </row>
    <row r="25" spans="2:11" x14ac:dyDescent="0.25">
      <c r="B25" s="241"/>
      <c r="C25" s="242" t="s">
        <v>2240</v>
      </c>
      <c r="D25" s="243" t="s">
        <v>1493</v>
      </c>
      <c r="E25" s="243" t="s">
        <v>2136</v>
      </c>
      <c r="F25" s="248" t="s">
        <v>2137</v>
      </c>
    </row>
    <row r="26" spans="2:11" x14ac:dyDescent="0.25">
      <c r="B26" s="241"/>
      <c r="C26" s="242" t="s">
        <v>1653</v>
      </c>
      <c r="D26" s="243" t="s">
        <v>1493</v>
      </c>
      <c r="E26" s="243" t="s">
        <v>2136</v>
      </c>
      <c r="F26" s="244" t="s">
        <v>2137</v>
      </c>
    </row>
    <row r="27" spans="2:11" ht="30" x14ac:dyDescent="0.25">
      <c r="B27" s="241"/>
      <c r="C27" s="242" t="s">
        <v>2064</v>
      </c>
      <c r="D27" s="243" t="s">
        <v>1493</v>
      </c>
      <c r="E27" s="243" t="s">
        <v>1918</v>
      </c>
      <c r="F27" s="244" t="s">
        <v>2063</v>
      </c>
      <c r="K27" s="200"/>
    </row>
    <row r="28" spans="2:11" ht="30" x14ac:dyDescent="0.25">
      <c r="B28" s="241"/>
      <c r="C28" s="242" t="s">
        <v>20</v>
      </c>
      <c r="D28" s="243" t="s">
        <v>1493</v>
      </c>
      <c r="E28" s="243" t="s">
        <v>1918</v>
      </c>
      <c r="F28" s="244" t="s">
        <v>1964</v>
      </c>
      <c r="K28" s="200"/>
    </row>
    <row r="29" spans="2:11" ht="30" x14ac:dyDescent="0.25">
      <c r="B29" s="241"/>
      <c r="C29" s="242" t="s">
        <v>25</v>
      </c>
      <c r="D29" s="243" t="s">
        <v>1493</v>
      </c>
      <c r="E29" s="243" t="s">
        <v>1918</v>
      </c>
      <c r="F29" s="244" t="s">
        <v>1916</v>
      </c>
      <c r="K29" s="200"/>
    </row>
    <row r="30" spans="2:11" x14ac:dyDescent="0.25">
      <c r="B30" s="6"/>
      <c r="C30" s="235"/>
      <c r="D30" s="234"/>
      <c r="E30" s="234"/>
      <c r="F30" s="236"/>
    </row>
    <row r="31" spans="2:11" x14ac:dyDescent="0.25">
      <c r="B31" s="6"/>
      <c r="C31" s="235"/>
      <c r="D31" s="234"/>
      <c r="E31" s="234"/>
      <c r="F31" s="236"/>
    </row>
    <row r="32" spans="2:11" x14ac:dyDescent="0.25">
      <c r="B32" s="6"/>
      <c r="C32" s="235"/>
      <c r="D32" s="234"/>
      <c r="E32" s="234"/>
      <c r="F32" s="236"/>
    </row>
    <row r="33" spans="2:11" x14ac:dyDescent="0.25">
      <c r="B33" s="234" t="s">
        <v>1490</v>
      </c>
      <c r="C33" s="235"/>
      <c r="D33" s="234"/>
      <c r="E33" s="234"/>
      <c r="F33" s="236"/>
    </row>
    <row r="34" spans="2:11" ht="45" x14ac:dyDescent="0.25">
      <c r="B34" s="237" t="s">
        <v>1917</v>
      </c>
      <c r="C34" s="238" t="s">
        <v>1649</v>
      </c>
      <c r="D34" s="239" t="s">
        <v>1493</v>
      </c>
      <c r="E34" s="239" t="s">
        <v>1650</v>
      </c>
      <c r="F34" s="240" t="s">
        <v>1648</v>
      </c>
      <c r="K34" s="200"/>
    </row>
    <row r="35" spans="2:11" ht="45" x14ac:dyDescent="0.25">
      <c r="B35" s="237"/>
      <c r="C35" s="238" t="s">
        <v>1564</v>
      </c>
      <c r="D35" s="239" t="s">
        <v>1493</v>
      </c>
      <c r="E35" s="239" t="s">
        <v>1565</v>
      </c>
      <c r="F35" s="240" t="s">
        <v>1563</v>
      </c>
      <c r="K35" s="200"/>
    </row>
    <row r="36" spans="2:11" ht="45" x14ac:dyDescent="0.25">
      <c r="B36" s="237"/>
      <c r="C36" s="238" t="s">
        <v>1561</v>
      </c>
      <c r="D36" s="239" t="s">
        <v>1493</v>
      </c>
      <c r="E36" s="239" t="s">
        <v>1562</v>
      </c>
      <c r="F36" s="240" t="s">
        <v>1560</v>
      </c>
      <c r="K36" s="200"/>
    </row>
    <row r="37" spans="2:11" ht="45" x14ac:dyDescent="0.25">
      <c r="B37" s="237"/>
      <c r="C37" s="238" t="s">
        <v>1537</v>
      </c>
      <c r="D37" s="239" t="s">
        <v>1493</v>
      </c>
      <c r="E37" s="239" t="s">
        <v>1538</v>
      </c>
      <c r="F37" s="240" t="s">
        <v>1536</v>
      </c>
      <c r="K37" s="200"/>
    </row>
    <row r="38" spans="2:11" ht="45" x14ac:dyDescent="0.25">
      <c r="B38" s="234"/>
      <c r="C38" s="238" t="s">
        <v>1528</v>
      </c>
      <c r="D38" s="239" t="s">
        <v>1493</v>
      </c>
      <c r="E38" s="239" t="s">
        <v>1529</v>
      </c>
      <c r="F38" s="240" t="s">
        <v>1532</v>
      </c>
      <c r="K38" s="200"/>
    </row>
    <row r="39" spans="2:11" ht="45" x14ac:dyDescent="0.25">
      <c r="B39" s="234"/>
      <c r="C39" s="238" t="s">
        <v>1524</v>
      </c>
      <c r="D39" s="239" t="s">
        <v>1493</v>
      </c>
      <c r="E39" s="239" t="s">
        <v>1525</v>
      </c>
      <c r="F39" s="240" t="s">
        <v>1527</v>
      </c>
      <c r="K39" s="200"/>
    </row>
    <row r="40" spans="2:11" ht="30" x14ac:dyDescent="0.25">
      <c r="B40" s="234"/>
      <c r="C40" s="238" t="s">
        <v>1521</v>
      </c>
      <c r="D40" s="239" t="s">
        <v>1493</v>
      </c>
      <c r="E40" s="239" t="s">
        <v>1522</v>
      </c>
      <c r="F40" s="240" t="s">
        <v>1520</v>
      </c>
      <c r="K40" s="200"/>
    </row>
    <row r="41" spans="2:11" ht="60" x14ac:dyDescent="0.25">
      <c r="B41" s="234" t="s">
        <v>1490</v>
      </c>
      <c r="C41" s="238" t="s">
        <v>34</v>
      </c>
      <c r="D41" s="239" t="s">
        <v>1493</v>
      </c>
      <c r="E41" s="239" t="s">
        <v>1517</v>
      </c>
      <c r="F41" s="240" t="s">
        <v>1519</v>
      </c>
      <c r="K41" s="200"/>
    </row>
    <row r="42" spans="2:11" ht="105" x14ac:dyDescent="0.25">
      <c r="B42" s="237" t="s">
        <v>1491</v>
      </c>
      <c r="C42" s="238" t="s">
        <v>1495</v>
      </c>
      <c r="D42" s="239" t="s">
        <v>1493</v>
      </c>
      <c r="E42" s="239" t="s">
        <v>1496</v>
      </c>
      <c r="F42" s="240" t="s">
        <v>1514</v>
      </c>
      <c r="K42" s="200"/>
    </row>
    <row r="43" spans="2:11" ht="45" x14ac:dyDescent="0.25">
      <c r="B43" s="237"/>
      <c r="C43" s="238" t="s">
        <v>1492</v>
      </c>
      <c r="D43" s="239" t="s">
        <v>1493</v>
      </c>
      <c r="E43" s="239" t="s">
        <v>1494</v>
      </c>
      <c r="F43" s="240" t="s">
        <v>1489</v>
      </c>
      <c r="K43" s="200"/>
    </row>
    <row r="44" spans="2:11" x14ac:dyDescent="0.25">
      <c r="B44" s="237"/>
      <c r="C44" s="202"/>
      <c r="D44" s="201"/>
      <c r="E44" s="201"/>
      <c r="F44" s="204"/>
    </row>
    <row r="45" spans="2:11" x14ac:dyDescent="0.25">
      <c r="B45" s="237"/>
      <c r="C45" s="202"/>
      <c r="D45" s="201"/>
      <c r="E45" s="201"/>
      <c r="F45" s="204"/>
    </row>
    <row r="46" spans="2:11" x14ac:dyDescent="0.25">
      <c r="B46" s="237"/>
      <c r="C46" s="202"/>
      <c r="D46" s="201"/>
      <c r="E46" s="201"/>
      <c r="F46" s="204"/>
    </row>
    <row r="47" spans="2:11" x14ac:dyDescent="0.25">
      <c r="B47" s="237"/>
      <c r="C47" s="202"/>
      <c r="D47" s="201"/>
      <c r="E47" s="201"/>
      <c r="F47" s="204"/>
    </row>
    <row r="48" spans="2:11" x14ac:dyDescent="0.25">
      <c r="B48" s="237"/>
      <c r="C48" s="202"/>
      <c r="D48" s="201"/>
      <c r="E48" s="201"/>
      <c r="F48" s="204"/>
      <c r="K48" s="200"/>
    </row>
    <row r="49" spans="2:6" x14ac:dyDescent="0.25">
      <c r="B49" s="237"/>
      <c r="C49" s="202"/>
      <c r="D49" s="201"/>
      <c r="E49" s="201"/>
      <c r="F49" s="204"/>
    </row>
    <row r="50" spans="2:6" x14ac:dyDescent="0.25">
      <c r="B50" s="237"/>
      <c r="C50" s="202"/>
      <c r="D50" s="201"/>
      <c r="E50" s="201"/>
      <c r="F50" s="204"/>
    </row>
    <row r="51" spans="2:6" x14ac:dyDescent="0.25">
      <c r="B51" s="237"/>
      <c r="C51" s="202"/>
      <c r="D51" s="201"/>
      <c r="E51" s="201"/>
      <c r="F51" s="204"/>
    </row>
    <row r="52" spans="2:6" x14ac:dyDescent="0.25">
      <c r="B52" s="201"/>
      <c r="C52" s="202"/>
      <c r="D52" s="201"/>
      <c r="E52" s="201"/>
      <c r="F52" s="204"/>
    </row>
    <row r="53" spans="2:6" x14ac:dyDescent="0.25">
      <c r="B53" s="201"/>
      <c r="C53" s="202"/>
      <c r="D53" s="201"/>
      <c r="E53" s="201"/>
      <c r="F53" s="204"/>
    </row>
    <row r="54" spans="2:6" x14ac:dyDescent="0.25">
      <c r="B54" s="201"/>
      <c r="C54" s="202"/>
      <c r="D54" s="201"/>
      <c r="E54" s="201"/>
      <c r="F54" s="204"/>
    </row>
    <row r="55" spans="2:6" x14ac:dyDescent="0.25">
      <c r="B55" s="201" t="s">
        <v>1490</v>
      </c>
      <c r="C55" s="202"/>
      <c r="D55" s="201"/>
      <c r="E55" s="201"/>
      <c r="F55" s="204"/>
    </row>
    <row r="56" spans="2:6" x14ac:dyDescent="0.25">
      <c r="B56" s="201"/>
      <c r="C56" s="202"/>
      <c r="D56" s="201"/>
      <c r="E56" s="201"/>
      <c r="F56" s="204"/>
    </row>
    <row r="57" spans="2:6" x14ac:dyDescent="0.25">
      <c r="B57" s="201"/>
      <c r="C57" s="202"/>
      <c r="D57" s="201"/>
      <c r="E57" s="201"/>
      <c r="F57" s="204"/>
    </row>
    <row r="58" spans="2:6" x14ac:dyDescent="0.25">
      <c r="B58" s="201"/>
      <c r="C58" s="202"/>
      <c r="D58" s="201"/>
      <c r="E58" s="201"/>
      <c r="F58" s="204"/>
    </row>
    <row r="59" spans="2:6" x14ac:dyDescent="0.25">
      <c r="B59" s="201"/>
      <c r="C59" s="202"/>
      <c r="D59" s="201"/>
      <c r="E59" s="201"/>
      <c r="F59" s="204"/>
    </row>
    <row r="60" spans="2:6" x14ac:dyDescent="0.25">
      <c r="B60" s="201"/>
      <c r="C60" s="202"/>
      <c r="D60" s="201"/>
      <c r="E60" s="201"/>
      <c r="F60" s="204"/>
    </row>
    <row r="61" spans="2:6" x14ac:dyDescent="0.25">
      <c r="B61" s="201"/>
      <c r="C61" s="202"/>
      <c r="D61" s="201"/>
      <c r="E61" s="201"/>
      <c r="F61" s="204"/>
    </row>
    <row r="62" spans="2:6" x14ac:dyDescent="0.25">
      <c r="B62" s="201"/>
      <c r="C62" s="202"/>
      <c r="D62" s="201"/>
      <c r="E62" s="201"/>
      <c r="F62" s="204"/>
    </row>
    <row r="63" spans="2:6" x14ac:dyDescent="0.25">
      <c r="B63" s="201"/>
      <c r="C63" s="202"/>
      <c r="D63" s="201"/>
      <c r="E63" s="201"/>
      <c r="F63" s="204"/>
    </row>
    <row r="64" spans="2:6" x14ac:dyDescent="0.25">
      <c r="B64" s="201"/>
      <c r="C64" s="202"/>
      <c r="D64" s="201"/>
      <c r="E64" s="201"/>
      <c r="F64" s="204"/>
    </row>
    <row r="65" spans="2:6" x14ac:dyDescent="0.25">
      <c r="B65" s="201"/>
      <c r="C65" s="202"/>
      <c r="D65" s="201"/>
      <c r="E65" s="201"/>
      <c r="F65" s="204"/>
    </row>
    <row r="66" spans="2:6" x14ac:dyDescent="0.25">
      <c r="B66" s="201"/>
      <c r="C66" s="202"/>
      <c r="D66" s="201"/>
      <c r="E66" s="201"/>
      <c r="F66" s="204"/>
    </row>
    <row r="67" spans="2:6" x14ac:dyDescent="0.25">
      <c r="B67" s="201"/>
      <c r="C67" s="202"/>
      <c r="D67" s="201"/>
      <c r="E67" s="201"/>
      <c r="F67" s="204"/>
    </row>
    <row r="68" spans="2:6" x14ac:dyDescent="0.25">
      <c r="B68" s="201"/>
      <c r="C68" s="202"/>
      <c r="D68" s="201"/>
      <c r="E68" s="201"/>
      <c r="F68" s="204"/>
    </row>
    <row r="69" spans="2:6" x14ac:dyDescent="0.25">
      <c r="B69" s="201"/>
      <c r="C69" s="202"/>
      <c r="D69" s="201"/>
      <c r="E69" s="201"/>
      <c r="F69" s="204"/>
    </row>
    <row r="70" spans="2:6" x14ac:dyDescent="0.25">
      <c r="B70" s="201"/>
      <c r="C70" s="202"/>
      <c r="D70" s="201"/>
      <c r="E70" s="201"/>
      <c r="F70" s="204"/>
    </row>
    <row r="71" spans="2:6" x14ac:dyDescent="0.25">
      <c r="B71" s="201"/>
      <c r="C71" s="202"/>
      <c r="D71" s="201"/>
      <c r="E71" s="201"/>
      <c r="F71" s="204"/>
    </row>
    <row r="72" spans="2:6" x14ac:dyDescent="0.25">
      <c r="B72" s="201"/>
      <c r="C72" s="202"/>
      <c r="D72" s="201"/>
      <c r="E72" s="201"/>
      <c r="F72" s="204"/>
    </row>
    <row r="73" spans="2:6" x14ac:dyDescent="0.25">
      <c r="B73" s="201"/>
      <c r="C73" s="202"/>
      <c r="D73" s="201"/>
      <c r="E73" s="201"/>
      <c r="F73" s="204"/>
    </row>
    <row r="74" spans="2:6" x14ac:dyDescent="0.25">
      <c r="B74" s="201"/>
      <c r="C74" s="202"/>
      <c r="D74" s="201"/>
      <c r="E74" s="201"/>
      <c r="F74" s="204"/>
    </row>
    <row r="75" spans="2:6" x14ac:dyDescent="0.25">
      <c r="B75" s="201"/>
      <c r="C75" s="202"/>
      <c r="D75" s="201"/>
      <c r="E75" s="201"/>
      <c r="F75" s="204"/>
    </row>
    <row r="76" spans="2:6" x14ac:dyDescent="0.25">
      <c r="B76" s="201"/>
      <c r="C76" s="202"/>
      <c r="D76" s="201"/>
      <c r="E76" s="201"/>
      <c r="F76" s="204"/>
    </row>
    <row r="77" spans="2:6" x14ac:dyDescent="0.25">
      <c r="B77" s="201"/>
      <c r="C77" s="202"/>
      <c r="D77" s="201"/>
      <c r="E77" s="201"/>
      <c r="F77" s="204"/>
    </row>
    <row r="78" spans="2:6" x14ac:dyDescent="0.25">
      <c r="B78" s="201"/>
      <c r="C78" s="202"/>
      <c r="D78" s="201"/>
      <c r="E78" s="201"/>
      <c r="F78" s="204"/>
    </row>
    <row r="79" spans="2:6" x14ac:dyDescent="0.25">
      <c r="B79" s="201"/>
      <c r="C79" s="202"/>
      <c r="D79" s="201"/>
      <c r="E79" s="201"/>
      <c r="F79" s="204"/>
    </row>
    <row r="80" spans="2:6" x14ac:dyDescent="0.25">
      <c r="B80" s="201"/>
      <c r="C80" s="202"/>
      <c r="D80" s="201"/>
      <c r="E80" s="201"/>
      <c r="F80" s="204"/>
    </row>
    <row r="81" spans="2:6" x14ac:dyDescent="0.25">
      <c r="B81" s="201"/>
      <c r="C81" s="202"/>
      <c r="D81" s="201"/>
      <c r="E81" s="201"/>
      <c r="F81" s="204"/>
    </row>
    <row r="82" spans="2:6" x14ac:dyDescent="0.25">
      <c r="B82" s="201"/>
      <c r="C82" s="202"/>
      <c r="D82" s="201"/>
      <c r="E82" s="201"/>
      <c r="F82" s="204"/>
    </row>
    <row r="83" spans="2:6" x14ac:dyDescent="0.25">
      <c r="B83" s="201"/>
      <c r="C83" s="202"/>
      <c r="D83" s="201"/>
      <c r="E83" s="201"/>
      <c r="F83" s="204"/>
    </row>
    <row r="84" spans="2:6" x14ac:dyDescent="0.25">
      <c r="B84" s="201"/>
      <c r="C84" s="202"/>
      <c r="D84" s="201"/>
      <c r="E84" s="201"/>
      <c r="F84" s="204"/>
    </row>
    <row r="85" spans="2:6" x14ac:dyDescent="0.25">
      <c r="B85" s="201"/>
      <c r="C85" s="202"/>
      <c r="D85" s="201"/>
      <c r="E85" s="201"/>
      <c r="F85" s="204"/>
    </row>
    <row r="86" spans="2:6" x14ac:dyDescent="0.25">
      <c r="B86" s="201"/>
      <c r="C86" s="202"/>
      <c r="D86" s="201"/>
      <c r="E86" s="201"/>
      <c r="F86" s="204"/>
    </row>
    <row r="87" spans="2:6" x14ac:dyDescent="0.25">
      <c r="B87" s="201"/>
      <c r="C87" s="202"/>
      <c r="D87" s="201"/>
      <c r="E87" s="201"/>
      <c r="F87" s="204"/>
    </row>
    <row r="88" spans="2:6" x14ac:dyDescent="0.25">
      <c r="B88" s="201"/>
      <c r="C88" s="202"/>
      <c r="D88" s="201"/>
      <c r="E88" s="201"/>
      <c r="F88" s="204"/>
    </row>
    <row r="89" spans="2:6" x14ac:dyDescent="0.25">
      <c r="B89" s="201"/>
      <c r="C89" s="202"/>
      <c r="D89" s="201"/>
      <c r="E89" s="201"/>
      <c r="F89" s="204"/>
    </row>
    <row r="90" spans="2:6" x14ac:dyDescent="0.25">
      <c r="B90" s="201"/>
      <c r="C90" s="202"/>
      <c r="D90" s="201"/>
      <c r="E90" s="201"/>
      <c r="F90" s="204"/>
    </row>
    <row r="91" spans="2:6" x14ac:dyDescent="0.25">
      <c r="B91" s="201"/>
      <c r="C91" s="202"/>
      <c r="D91" s="201"/>
      <c r="E91" s="201"/>
      <c r="F91" s="204"/>
    </row>
    <row r="92" spans="2:6" x14ac:dyDescent="0.25">
      <c r="B92" s="201"/>
      <c r="C92" s="202"/>
      <c r="D92" s="201"/>
      <c r="E92" s="201"/>
      <c r="F92" s="204"/>
    </row>
    <row r="93" spans="2:6" x14ac:dyDescent="0.25">
      <c r="B93" s="201"/>
      <c r="C93" s="202"/>
      <c r="D93" s="201"/>
      <c r="E93" s="201"/>
      <c r="F93" s="204"/>
    </row>
    <row r="94" spans="2:6" x14ac:dyDescent="0.25">
      <c r="B94" s="201"/>
      <c r="C94" s="202"/>
      <c r="D94" s="201"/>
      <c r="E94" s="201"/>
      <c r="F94" s="204"/>
    </row>
    <row r="95" spans="2:6" x14ac:dyDescent="0.25">
      <c r="B95" s="201"/>
      <c r="C95" s="202"/>
      <c r="D95" s="201"/>
      <c r="E95" s="201"/>
      <c r="F95" s="204"/>
    </row>
    <row r="96" spans="2:6" x14ac:dyDescent="0.25">
      <c r="B96" s="201"/>
      <c r="C96" s="202"/>
      <c r="D96" s="201"/>
      <c r="E96" s="201"/>
      <c r="F96" s="204"/>
    </row>
    <row r="97" spans="2:6" x14ac:dyDescent="0.25">
      <c r="B97" s="201"/>
      <c r="C97" s="202"/>
      <c r="D97" s="201"/>
      <c r="E97" s="201"/>
      <c r="F97" s="204"/>
    </row>
    <row r="98" spans="2:6" x14ac:dyDescent="0.25">
      <c r="B98" s="201"/>
      <c r="C98" s="202"/>
      <c r="D98" s="201"/>
      <c r="E98" s="201"/>
      <c r="F98" s="204"/>
    </row>
    <row r="99" spans="2:6" x14ac:dyDescent="0.25">
      <c r="B99" s="201"/>
      <c r="C99" s="202"/>
      <c r="D99" s="201"/>
      <c r="E99" s="201"/>
      <c r="F99" s="204"/>
    </row>
    <row r="100" spans="2:6" x14ac:dyDescent="0.25">
      <c r="B100" s="201"/>
      <c r="C100" s="202"/>
      <c r="D100" s="201"/>
      <c r="E100" s="201"/>
      <c r="F100" s="204"/>
    </row>
    <row r="101" spans="2:6" x14ac:dyDescent="0.25">
      <c r="B101" s="201"/>
      <c r="C101" s="202"/>
      <c r="D101" s="201"/>
      <c r="E101" s="201"/>
      <c r="F101" s="204"/>
    </row>
    <row r="102" spans="2:6" x14ac:dyDescent="0.25">
      <c r="B102" s="201"/>
      <c r="C102" s="202"/>
      <c r="D102" s="201"/>
      <c r="E102" s="201"/>
      <c r="F102" s="204"/>
    </row>
    <row r="103" spans="2:6" x14ac:dyDescent="0.25">
      <c r="B103" s="201"/>
      <c r="C103" s="202"/>
      <c r="D103" s="201"/>
      <c r="E103" s="201"/>
      <c r="F103" s="204"/>
    </row>
    <row r="104" spans="2:6" x14ac:dyDescent="0.25">
      <c r="B104" s="201"/>
      <c r="C104" s="202"/>
      <c r="D104" s="201"/>
      <c r="E104" s="201"/>
      <c r="F104" s="204"/>
    </row>
    <row r="105" spans="2:6" x14ac:dyDescent="0.25">
      <c r="B105" s="201"/>
      <c r="C105" s="202"/>
      <c r="D105" s="201"/>
      <c r="E105" s="201"/>
      <c r="F105" s="204"/>
    </row>
    <row r="106" spans="2:6" x14ac:dyDescent="0.25">
      <c r="B106" s="201"/>
      <c r="C106" s="202"/>
      <c r="D106" s="201"/>
      <c r="E106" s="201"/>
      <c r="F106" s="204"/>
    </row>
    <row r="107" spans="2:6" x14ac:dyDescent="0.25">
      <c r="B107" s="201"/>
      <c r="C107" s="202"/>
      <c r="D107" s="201"/>
      <c r="E107" s="201"/>
      <c r="F107" s="204"/>
    </row>
    <row r="108" spans="2:6" x14ac:dyDescent="0.25">
      <c r="B108" s="201"/>
      <c r="C108" s="202"/>
      <c r="D108" s="201"/>
      <c r="E108" s="201"/>
      <c r="F108" s="204"/>
    </row>
    <row r="109" spans="2:6" x14ac:dyDescent="0.25">
      <c r="B109" s="201"/>
      <c r="C109" s="202"/>
      <c r="D109" s="201"/>
      <c r="E109" s="201"/>
      <c r="F109" s="204"/>
    </row>
    <row r="110" spans="2:6" x14ac:dyDescent="0.25">
      <c r="B110" s="201"/>
      <c r="C110" s="202"/>
      <c r="D110" s="201"/>
      <c r="E110" s="201"/>
      <c r="F110" s="204"/>
    </row>
    <row r="111" spans="2:6" x14ac:dyDescent="0.25">
      <c r="B111" s="201"/>
      <c r="C111" s="202"/>
      <c r="D111" s="201"/>
      <c r="E111" s="201"/>
      <c r="F111" s="204"/>
    </row>
    <row r="112" spans="2:6" x14ac:dyDescent="0.25">
      <c r="B112" s="201"/>
      <c r="C112" s="202"/>
      <c r="D112" s="201"/>
      <c r="E112" s="201"/>
      <c r="F112" s="204"/>
    </row>
    <row r="113" spans="2:6" x14ac:dyDescent="0.25">
      <c r="B113" s="201"/>
      <c r="C113" s="202"/>
      <c r="D113" s="201"/>
      <c r="E113" s="201"/>
      <c r="F113" s="204"/>
    </row>
    <row r="114" spans="2:6" x14ac:dyDescent="0.25">
      <c r="B114" s="201"/>
      <c r="C114" s="202"/>
      <c r="D114" s="201"/>
      <c r="E114" s="201"/>
      <c r="F114" s="204"/>
    </row>
    <row r="115" spans="2:6" x14ac:dyDescent="0.25">
      <c r="B115" s="201"/>
      <c r="C115" s="202"/>
      <c r="D115" s="201"/>
      <c r="E115" s="201"/>
      <c r="F115" s="204"/>
    </row>
    <row r="116" spans="2:6" x14ac:dyDescent="0.25">
      <c r="B116" s="201"/>
      <c r="C116" s="202"/>
      <c r="D116" s="201"/>
      <c r="E116" s="201"/>
      <c r="F116" s="204"/>
    </row>
    <row r="117" spans="2:6" x14ac:dyDescent="0.25">
      <c r="B117" s="201"/>
      <c r="C117" s="202"/>
      <c r="D117" s="201"/>
      <c r="E117" s="201"/>
      <c r="F117" s="204"/>
    </row>
    <row r="118" spans="2:6" x14ac:dyDescent="0.25">
      <c r="B118" s="201"/>
      <c r="C118" s="202"/>
      <c r="D118" s="201"/>
      <c r="E118" s="201"/>
      <c r="F118" s="204"/>
    </row>
    <row r="119" spans="2:6" x14ac:dyDescent="0.25">
      <c r="B119" s="201"/>
      <c r="C119" s="202"/>
      <c r="D119" s="201"/>
      <c r="E119" s="201"/>
      <c r="F119" s="204"/>
    </row>
    <row r="120" spans="2:6" x14ac:dyDescent="0.25">
      <c r="B120" s="201"/>
      <c r="C120" s="202"/>
      <c r="D120" s="201"/>
      <c r="E120" s="201"/>
      <c r="F120" s="204"/>
    </row>
    <row r="121" spans="2:6" x14ac:dyDescent="0.25">
      <c r="B121" s="201"/>
      <c r="C121" s="202"/>
      <c r="D121" s="201"/>
      <c r="E121" s="201"/>
      <c r="F121" s="204"/>
    </row>
    <row r="122" spans="2:6" x14ac:dyDescent="0.25">
      <c r="B122" s="201"/>
      <c r="C122" s="202"/>
      <c r="D122" s="201"/>
      <c r="E122" s="201"/>
      <c r="F122" s="204"/>
    </row>
    <row r="123" spans="2:6" x14ac:dyDescent="0.25">
      <c r="B123" s="201"/>
      <c r="C123" s="202"/>
      <c r="D123" s="201"/>
      <c r="E123" s="201"/>
      <c r="F123" s="204"/>
    </row>
    <row r="124" spans="2:6" x14ac:dyDescent="0.25">
      <c r="B124" s="201"/>
      <c r="C124" s="202"/>
      <c r="D124" s="201"/>
      <c r="E124" s="201"/>
      <c r="F124" s="204"/>
    </row>
    <row r="125" spans="2:6" x14ac:dyDescent="0.25">
      <c r="B125" s="201"/>
      <c r="C125" s="202"/>
      <c r="D125" s="201"/>
      <c r="E125" s="201"/>
      <c r="F125" s="204"/>
    </row>
    <row r="126" spans="2:6" x14ac:dyDescent="0.25">
      <c r="B126" s="201"/>
      <c r="C126" s="202"/>
      <c r="D126" s="201"/>
      <c r="E126" s="201"/>
      <c r="F126" s="204"/>
    </row>
    <row r="127" spans="2:6" x14ac:dyDescent="0.25">
      <c r="B127" s="201"/>
      <c r="C127" s="202"/>
      <c r="D127" s="201"/>
      <c r="E127" s="201"/>
      <c r="F127" s="204"/>
    </row>
    <row r="128" spans="2:6" x14ac:dyDescent="0.25">
      <c r="B128" s="201"/>
      <c r="C128" s="202"/>
      <c r="D128" s="201"/>
      <c r="E128" s="201"/>
      <c r="F128" s="204"/>
    </row>
    <row r="129" spans="2:6" x14ac:dyDescent="0.25">
      <c r="B129" s="201"/>
      <c r="C129" s="202"/>
      <c r="D129" s="201"/>
      <c r="E129" s="201"/>
      <c r="F129" s="204"/>
    </row>
    <row r="130" spans="2:6" x14ac:dyDescent="0.25">
      <c r="B130" s="201"/>
      <c r="C130" s="202"/>
      <c r="D130" s="201"/>
      <c r="E130" s="201"/>
      <c r="F130" s="204"/>
    </row>
    <row r="131" spans="2:6" x14ac:dyDescent="0.25">
      <c r="B131" s="201"/>
      <c r="C131" s="202"/>
      <c r="D131" s="201"/>
      <c r="E131" s="201"/>
      <c r="F131" s="204"/>
    </row>
    <row r="132" spans="2:6" x14ac:dyDescent="0.25">
      <c r="B132" s="201"/>
      <c r="C132" s="202"/>
      <c r="D132" s="201"/>
      <c r="E132" s="201"/>
      <c r="F132" s="204"/>
    </row>
    <row r="133" spans="2:6" x14ac:dyDescent="0.25">
      <c r="B133" s="201"/>
      <c r="C133" s="202"/>
      <c r="D133" s="201"/>
      <c r="E133" s="201"/>
      <c r="F133" s="204"/>
    </row>
    <row r="134" spans="2:6" x14ac:dyDescent="0.25">
      <c r="B134" s="201"/>
      <c r="C134" s="202"/>
      <c r="D134" s="201"/>
      <c r="E134" s="201"/>
      <c r="F134" s="204"/>
    </row>
    <row r="135" spans="2:6" x14ac:dyDescent="0.25">
      <c r="B135" s="201"/>
      <c r="C135" s="202"/>
      <c r="D135" s="201"/>
      <c r="E135" s="201"/>
      <c r="F135" s="204"/>
    </row>
    <row r="136" spans="2:6" x14ac:dyDescent="0.25">
      <c r="B136" s="201"/>
      <c r="C136" s="202"/>
      <c r="D136" s="201"/>
      <c r="E136" s="201"/>
      <c r="F136" s="204"/>
    </row>
    <row r="137" spans="2:6" x14ac:dyDescent="0.25">
      <c r="B137" s="201"/>
      <c r="C137" s="202"/>
      <c r="D137" s="201"/>
      <c r="E137" s="201"/>
      <c r="F137" s="204"/>
    </row>
    <row r="138" spans="2:6" x14ac:dyDescent="0.25">
      <c r="B138" s="201"/>
      <c r="C138" s="202"/>
      <c r="D138" s="201"/>
      <c r="E138" s="201"/>
      <c r="F138" s="204"/>
    </row>
    <row r="139" spans="2:6" x14ac:dyDescent="0.25">
      <c r="B139" s="201"/>
      <c r="C139" s="202"/>
      <c r="D139" s="201"/>
      <c r="E139" s="201"/>
      <c r="F139" s="204"/>
    </row>
    <row r="140" spans="2:6" x14ac:dyDescent="0.25">
      <c r="B140" s="201"/>
      <c r="C140" s="202"/>
      <c r="D140" s="201"/>
      <c r="E140" s="201"/>
      <c r="F140" s="204"/>
    </row>
    <row r="141" spans="2:6" x14ac:dyDescent="0.25">
      <c r="B141" s="201"/>
      <c r="C141" s="202"/>
      <c r="D141" s="201"/>
      <c r="E141" s="201"/>
      <c r="F141" s="204"/>
    </row>
    <row r="142" spans="2:6" x14ac:dyDescent="0.25">
      <c r="B142" s="201"/>
      <c r="C142" s="202"/>
      <c r="D142" s="201"/>
      <c r="E142" s="201"/>
      <c r="F142" s="204"/>
    </row>
    <row r="143" spans="2:6" x14ac:dyDescent="0.25">
      <c r="B143" s="201"/>
      <c r="C143" s="202"/>
      <c r="D143" s="201"/>
      <c r="E143" s="201"/>
      <c r="F143" s="204"/>
    </row>
    <row r="144" spans="2:6" x14ac:dyDescent="0.25">
      <c r="B144" s="201"/>
      <c r="C144" s="202"/>
      <c r="D144" s="201"/>
      <c r="E144" s="201"/>
      <c r="F144" s="204"/>
    </row>
    <row r="145" spans="2:6" x14ac:dyDescent="0.25">
      <c r="B145" s="201"/>
      <c r="C145" s="202"/>
      <c r="D145" s="201"/>
      <c r="E145" s="201"/>
      <c r="F145" s="204"/>
    </row>
    <row r="146" spans="2:6" x14ac:dyDescent="0.25">
      <c r="B146" s="201"/>
      <c r="C146" s="202"/>
      <c r="D146" s="201"/>
      <c r="E146" s="201"/>
      <c r="F146" s="204"/>
    </row>
    <row r="147" spans="2:6" x14ac:dyDescent="0.25">
      <c r="B147" s="201"/>
      <c r="C147" s="202"/>
      <c r="D147" s="201"/>
      <c r="E147" s="201"/>
      <c r="F147" s="204"/>
    </row>
    <row r="148" spans="2:6" x14ac:dyDescent="0.25">
      <c r="B148" s="201"/>
      <c r="C148" s="202"/>
      <c r="D148" s="201"/>
      <c r="E148" s="201"/>
      <c r="F148" s="204"/>
    </row>
    <row r="149" spans="2:6" x14ac:dyDescent="0.25">
      <c r="B149" s="201"/>
      <c r="C149" s="202"/>
      <c r="D149" s="201"/>
      <c r="E149" s="201"/>
      <c r="F149" s="204"/>
    </row>
    <row r="150" spans="2:6" x14ac:dyDescent="0.25">
      <c r="B150" s="201"/>
      <c r="C150" s="202"/>
      <c r="D150" s="201"/>
      <c r="E150" s="201"/>
      <c r="F150" s="204"/>
    </row>
    <row r="151" spans="2:6" x14ac:dyDescent="0.25">
      <c r="B151" s="201"/>
      <c r="C151" s="202"/>
      <c r="D151" s="201"/>
      <c r="E151" s="201"/>
      <c r="F151" s="204"/>
    </row>
    <row r="152" spans="2:6" x14ac:dyDescent="0.25">
      <c r="B152" s="201"/>
      <c r="C152" s="202"/>
      <c r="D152" s="201"/>
      <c r="E152" s="201"/>
      <c r="F152" s="204"/>
    </row>
    <row r="153" spans="2:6" x14ac:dyDescent="0.25">
      <c r="B153" s="201"/>
      <c r="C153" s="202"/>
      <c r="D153" s="201"/>
      <c r="E153" s="201"/>
      <c r="F153" s="204"/>
    </row>
    <row r="154" spans="2:6" x14ac:dyDescent="0.25">
      <c r="B154" s="201"/>
      <c r="C154" s="202"/>
      <c r="D154" s="201"/>
      <c r="E154" s="201"/>
      <c r="F154" s="204"/>
    </row>
    <row r="155" spans="2:6" x14ac:dyDescent="0.25">
      <c r="B155" s="201"/>
      <c r="C155" s="202"/>
      <c r="D155" s="201"/>
      <c r="E155" s="201"/>
      <c r="F155" s="204"/>
    </row>
    <row r="156" spans="2:6" x14ac:dyDescent="0.25">
      <c r="B156" s="201"/>
      <c r="C156" s="202"/>
      <c r="D156" s="201"/>
      <c r="E156" s="201"/>
      <c r="F156" s="204"/>
    </row>
    <row r="157" spans="2:6" x14ac:dyDescent="0.25">
      <c r="B157" s="201"/>
      <c r="C157" s="202"/>
      <c r="D157" s="201"/>
      <c r="E157" s="201"/>
      <c r="F157" s="204"/>
    </row>
    <row r="158" spans="2:6" x14ac:dyDescent="0.25">
      <c r="B158" s="201"/>
      <c r="C158" s="202"/>
      <c r="D158" s="201"/>
      <c r="E158" s="201"/>
      <c r="F158" s="204"/>
    </row>
    <row r="159" spans="2:6" x14ac:dyDescent="0.25">
      <c r="B159" s="201"/>
      <c r="C159" s="202"/>
      <c r="D159" s="201"/>
      <c r="E159" s="201"/>
      <c r="F159" s="204"/>
    </row>
    <row r="160" spans="2:6" x14ac:dyDescent="0.25">
      <c r="B160" s="201"/>
      <c r="C160" s="202"/>
      <c r="D160" s="201"/>
      <c r="E160" s="201"/>
      <c r="F160" s="204"/>
    </row>
    <row r="161" spans="2:6" x14ac:dyDescent="0.25">
      <c r="B161" s="201"/>
      <c r="C161" s="202"/>
      <c r="D161" s="201"/>
      <c r="E161" s="201"/>
      <c r="F161" s="204"/>
    </row>
    <row r="162" spans="2:6" x14ac:dyDescent="0.25">
      <c r="B162" s="201"/>
      <c r="C162" s="202"/>
      <c r="D162" s="201"/>
      <c r="E162" s="201"/>
      <c r="F162" s="204"/>
    </row>
    <row r="163" spans="2:6" x14ac:dyDescent="0.25">
      <c r="B163" s="201"/>
      <c r="C163" s="202"/>
      <c r="D163" s="201"/>
      <c r="E163" s="201"/>
      <c r="F163" s="204"/>
    </row>
    <row r="164" spans="2:6" x14ac:dyDescent="0.25">
      <c r="B164" s="201"/>
      <c r="C164" s="202"/>
      <c r="D164" s="201"/>
      <c r="E164" s="201"/>
      <c r="F164" s="204"/>
    </row>
    <row r="165" spans="2:6" x14ac:dyDescent="0.25">
      <c r="B165" s="201"/>
      <c r="C165" s="202"/>
      <c r="D165" s="201"/>
      <c r="E165" s="201"/>
      <c r="F165" s="204"/>
    </row>
    <row r="166" spans="2:6" x14ac:dyDescent="0.25">
      <c r="B166" s="201"/>
      <c r="C166" s="202"/>
      <c r="D166" s="201"/>
      <c r="E166" s="201"/>
      <c r="F166" s="204"/>
    </row>
    <row r="167" spans="2:6" x14ac:dyDescent="0.25">
      <c r="B167" s="201"/>
      <c r="C167" s="202"/>
      <c r="D167" s="201"/>
      <c r="E167" s="201"/>
      <c r="F167" s="204"/>
    </row>
    <row r="168" spans="2:6" x14ac:dyDescent="0.25">
      <c r="B168" s="201"/>
      <c r="C168" s="202"/>
      <c r="D168" s="201"/>
      <c r="E168" s="201"/>
      <c r="F168" s="204"/>
    </row>
    <row r="169" spans="2:6" x14ac:dyDescent="0.25">
      <c r="B169" s="201"/>
      <c r="C169" s="202"/>
      <c r="D169" s="201"/>
      <c r="E169" s="201"/>
      <c r="F169" s="204"/>
    </row>
    <row r="170" spans="2:6" x14ac:dyDescent="0.25">
      <c r="B170" s="201"/>
      <c r="C170" s="202"/>
      <c r="D170" s="201"/>
      <c r="E170" s="201"/>
      <c r="F170" s="204"/>
    </row>
    <row r="171" spans="2:6" x14ac:dyDescent="0.25">
      <c r="B171" s="201"/>
      <c r="C171" s="202"/>
      <c r="D171" s="201"/>
      <c r="E171" s="201"/>
      <c r="F171" s="204"/>
    </row>
    <row r="172" spans="2:6" x14ac:dyDescent="0.25">
      <c r="B172" s="201"/>
      <c r="C172" s="202"/>
      <c r="D172" s="201"/>
      <c r="E172" s="201"/>
      <c r="F172" s="204"/>
    </row>
    <row r="173" spans="2:6" x14ac:dyDescent="0.25">
      <c r="B173" s="201"/>
      <c r="C173" s="202"/>
      <c r="D173" s="201"/>
      <c r="E173" s="201"/>
      <c r="F173" s="204"/>
    </row>
    <row r="174" spans="2:6" x14ac:dyDescent="0.25">
      <c r="B174" s="201"/>
      <c r="C174" s="202"/>
      <c r="D174" s="201"/>
      <c r="E174" s="201"/>
      <c r="F174" s="204"/>
    </row>
    <row r="175" spans="2:6" x14ac:dyDescent="0.25">
      <c r="B175" s="201"/>
      <c r="C175" s="202"/>
      <c r="D175" s="201"/>
      <c r="E175" s="201"/>
      <c r="F175" s="204"/>
    </row>
    <row r="176" spans="2:6" x14ac:dyDescent="0.25">
      <c r="B176" s="201"/>
      <c r="C176" s="202"/>
      <c r="D176" s="201"/>
      <c r="E176" s="201"/>
      <c r="F176" s="204"/>
    </row>
    <row r="177" spans="2:6" x14ac:dyDescent="0.25">
      <c r="B177" s="201"/>
      <c r="C177" s="202"/>
      <c r="D177" s="201"/>
      <c r="E177" s="201"/>
      <c r="F177" s="204"/>
    </row>
    <row r="178" spans="2:6" x14ac:dyDescent="0.25">
      <c r="B178" s="201"/>
      <c r="C178" s="202"/>
      <c r="D178" s="201"/>
      <c r="E178" s="201"/>
      <c r="F178" s="204"/>
    </row>
    <row r="179" spans="2:6" x14ac:dyDescent="0.25">
      <c r="B179" s="201"/>
      <c r="C179" s="202"/>
      <c r="D179" s="201"/>
      <c r="E179" s="201"/>
      <c r="F179" s="204"/>
    </row>
    <row r="180" spans="2:6" x14ac:dyDescent="0.25">
      <c r="B180" s="201"/>
      <c r="C180" s="202"/>
      <c r="D180" s="201"/>
      <c r="E180" s="201"/>
      <c r="F180" s="204"/>
    </row>
    <row r="181" spans="2:6" x14ac:dyDescent="0.25">
      <c r="B181" s="201"/>
      <c r="C181" s="202"/>
      <c r="D181" s="201"/>
      <c r="E181" s="201"/>
      <c r="F181" s="204"/>
    </row>
    <row r="182" spans="2:6" x14ac:dyDescent="0.25">
      <c r="B182" s="201"/>
      <c r="C182" s="202"/>
      <c r="D182" s="201"/>
      <c r="E182" s="201"/>
      <c r="F182" s="204"/>
    </row>
    <row r="183" spans="2:6" x14ac:dyDescent="0.25">
      <c r="B183" s="201"/>
      <c r="C183" s="202"/>
      <c r="D183" s="201"/>
      <c r="E183" s="201"/>
      <c r="F183" s="204"/>
    </row>
    <row r="184" spans="2:6" x14ac:dyDescent="0.25">
      <c r="B184" s="201"/>
      <c r="C184" s="202"/>
      <c r="D184" s="201"/>
      <c r="E184" s="201"/>
      <c r="F184" s="204"/>
    </row>
    <row r="185" spans="2:6" x14ac:dyDescent="0.25">
      <c r="B185" s="201"/>
      <c r="C185" s="202"/>
      <c r="D185" s="201"/>
      <c r="E185" s="201"/>
      <c r="F185" s="204"/>
    </row>
    <row r="186" spans="2:6" x14ac:dyDescent="0.25">
      <c r="B186" s="201"/>
      <c r="C186" s="202"/>
      <c r="D186" s="201"/>
      <c r="E186" s="201"/>
      <c r="F186" s="204"/>
    </row>
    <row r="187" spans="2:6" x14ac:dyDescent="0.25">
      <c r="B187" s="201"/>
      <c r="C187" s="202"/>
      <c r="D187" s="201"/>
      <c r="E187" s="201"/>
      <c r="F187" s="204"/>
    </row>
    <row r="188" spans="2:6" x14ac:dyDescent="0.25">
      <c r="B188" s="201"/>
      <c r="C188" s="202"/>
      <c r="D188" s="201"/>
      <c r="E188" s="201"/>
      <c r="F188" s="204"/>
    </row>
    <row r="189" spans="2:6" x14ac:dyDescent="0.25">
      <c r="B189" s="201"/>
      <c r="C189" s="202"/>
      <c r="D189" s="201"/>
      <c r="E189" s="201"/>
      <c r="F189" s="204"/>
    </row>
    <row r="190" spans="2:6" x14ac:dyDescent="0.25">
      <c r="B190" s="201"/>
      <c r="C190" s="202"/>
      <c r="D190" s="201"/>
      <c r="E190" s="201"/>
      <c r="F190" s="204"/>
    </row>
    <row r="191" spans="2:6" x14ac:dyDescent="0.25">
      <c r="B191" s="201"/>
      <c r="C191" s="202"/>
      <c r="D191" s="201"/>
      <c r="E191" s="201"/>
      <c r="F191" s="204"/>
    </row>
    <row r="192" spans="2:6" x14ac:dyDescent="0.25">
      <c r="B192" s="201"/>
      <c r="C192" s="202"/>
      <c r="D192" s="201"/>
      <c r="E192" s="201"/>
      <c r="F192" s="204"/>
    </row>
    <row r="193" spans="2:6" x14ac:dyDescent="0.25">
      <c r="B193" s="201"/>
      <c r="C193" s="202"/>
      <c r="D193" s="201"/>
      <c r="E193" s="201"/>
      <c r="F193" s="204"/>
    </row>
    <row r="194" spans="2:6" x14ac:dyDescent="0.25">
      <c r="B194" s="201"/>
      <c r="C194" s="202"/>
      <c r="D194" s="201"/>
      <c r="E194" s="201"/>
      <c r="F194" s="204"/>
    </row>
    <row r="195" spans="2:6" x14ac:dyDescent="0.25">
      <c r="B195" s="201"/>
      <c r="C195" s="202"/>
      <c r="D195" s="201"/>
      <c r="E195" s="201"/>
      <c r="F195" s="204"/>
    </row>
    <row r="196" spans="2:6" x14ac:dyDescent="0.25">
      <c r="B196" s="201"/>
      <c r="C196" s="202"/>
      <c r="D196" s="201"/>
      <c r="E196" s="201"/>
      <c r="F196" s="204"/>
    </row>
    <row r="197" spans="2:6" x14ac:dyDescent="0.25">
      <c r="B197" s="201"/>
      <c r="C197" s="202"/>
      <c r="D197" s="201"/>
      <c r="E197" s="201"/>
      <c r="F197" s="204"/>
    </row>
    <row r="198" spans="2:6" x14ac:dyDescent="0.25">
      <c r="B198" s="201"/>
      <c r="C198" s="202"/>
      <c r="D198" s="201"/>
      <c r="E198" s="201"/>
      <c r="F198" s="204"/>
    </row>
    <row r="199" spans="2:6" x14ac:dyDescent="0.25">
      <c r="B199" s="201"/>
      <c r="C199" s="202"/>
      <c r="D199" s="201"/>
      <c r="E199" s="201"/>
      <c r="F199" s="204"/>
    </row>
    <row r="200" spans="2:6" x14ac:dyDescent="0.25">
      <c r="B200" s="201"/>
      <c r="C200" s="202"/>
      <c r="D200" s="201"/>
      <c r="E200" s="201"/>
      <c r="F200" s="204"/>
    </row>
    <row r="201" spans="2:6" x14ac:dyDescent="0.25">
      <c r="B201" s="201"/>
      <c r="C201" s="202"/>
      <c r="D201" s="201"/>
      <c r="E201" s="201"/>
      <c r="F201" s="204"/>
    </row>
    <row r="202" spans="2:6" x14ac:dyDescent="0.25">
      <c r="B202" s="201"/>
      <c r="C202" s="202"/>
      <c r="D202" s="201"/>
      <c r="E202" s="201"/>
      <c r="F202" s="204"/>
    </row>
    <row r="203" spans="2:6" x14ac:dyDescent="0.25">
      <c r="B203" s="201"/>
      <c r="C203" s="202"/>
      <c r="D203" s="201"/>
      <c r="E203" s="201"/>
      <c r="F203" s="204"/>
    </row>
    <row r="204" spans="2:6" x14ac:dyDescent="0.25">
      <c r="B204" s="201"/>
      <c r="C204" s="202"/>
      <c r="D204" s="201"/>
      <c r="E204" s="201"/>
      <c r="F204" s="204"/>
    </row>
    <row r="205" spans="2:6" x14ac:dyDescent="0.25">
      <c r="B205" s="201"/>
      <c r="C205" s="202"/>
      <c r="D205" s="201"/>
      <c r="E205" s="201"/>
      <c r="F205" s="204"/>
    </row>
    <row r="206" spans="2:6" x14ac:dyDescent="0.25">
      <c r="B206" s="201"/>
      <c r="C206" s="202"/>
      <c r="D206" s="201"/>
      <c r="E206" s="201"/>
      <c r="F206" s="204"/>
    </row>
    <row r="207" spans="2:6" x14ac:dyDescent="0.25">
      <c r="B207" s="201"/>
      <c r="C207" s="202"/>
      <c r="D207" s="201"/>
      <c r="E207" s="201"/>
      <c r="F207" s="204"/>
    </row>
    <row r="208" spans="2:6" x14ac:dyDescent="0.25">
      <c r="B208" s="201"/>
      <c r="C208" s="202"/>
      <c r="D208" s="201"/>
      <c r="E208" s="201"/>
      <c r="F208" s="204"/>
    </row>
    <row r="209" spans="2:6" x14ac:dyDescent="0.25">
      <c r="B209" s="201"/>
      <c r="C209" s="202"/>
      <c r="D209" s="201"/>
      <c r="E209" s="201"/>
      <c r="F209" s="204"/>
    </row>
    <row r="210" spans="2:6" x14ac:dyDescent="0.25">
      <c r="B210" s="201"/>
      <c r="C210" s="202"/>
      <c r="D210" s="201"/>
      <c r="E210" s="201"/>
      <c r="F210" s="204"/>
    </row>
    <row r="211" spans="2:6" x14ac:dyDescent="0.25">
      <c r="B211" s="201"/>
      <c r="C211" s="202"/>
      <c r="D211" s="201"/>
      <c r="E211" s="201"/>
      <c r="F211" s="204"/>
    </row>
    <row r="212" spans="2:6" x14ac:dyDescent="0.25">
      <c r="B212" s="201"/>
      <c r="C212" s="202"/>
      <c r="D212" s="201"/>
      <c r="E212" s="201"/>
      <c r="F212" s="204"/>
    </row>
    <row r="213" spans="2:6" x14ac:dyDescent="0.25">
      <c r="B213" s="201"/>
      <c r="C213" s="202"/>
      <c r="D213" s="201"/>
      <c r="E213" s="201"/>
      <c r="F213" s="204"/>
    </row>
    <row r="214" spans="2:6" x14ac:dyDescent="0.25">
      <c r="B214" s="201"/>
      <c r="C214" s="202"/>
      <c r="D214" s="201"/>
      <c r="E214" s="201"/>
      <c r="F214" s="204"/>
    </row>
    <row r="215" spans="2:6" x14ac:dyDescent="0.25">
      <c r="B215" s="201"/>
      <c r="C215" s="202"/>
      <c r="D215" s="201"/>
      <c r="E215" s="201"/>
      <c r="F215" s="204"/>
    </row>
    <row r="216" spans="2:6" x14ac:dyDescent="0.25">
      <c r="B216" s="201"/>
      <c r="C216" s="202"/>
      <c r="D216" s="201"/>
      <c r="E216" s="201"/>
      <c r="F216" s="204"/>
    </row>
    <row r="217" spans="2:6" x14ac:dyDescent="0.25">
      <c r="B217" s="201"/>
      <c r="C217" s="202"/>
      <c r="D217" s="201"/>
      <c r="E217" s="201"/>
      <c r="F217" s="204"/>
    </row>
    <row r="218" spans="2:6" x14ac:dyDescent="0.25">
      <c r="B218" s="201"/>
      <c r="C218" s="202"/>
      <c r="D218" s="201"/>
      <c r="E218" s="201"/>
      <c r="F218" s="204"/>
    </row>
    <row r="219" spans="2:6" x14ac:dyDescent="0.25">
      <c r="B219" s="201"/>
      <c r="C219" s="202"/>
      <c r="D219" s="201"/>
      <c r="E219" s="201"/>
      <c r="F219" s="204"/>
    </row>
    <row r="220" spans="2:6" x14ac:dyDescent="0.25">
      <c r="B220" s="201"/>
      <c r="C220" s="202"/>
      <c r="D220" s="201"/>
      <c r="E220" s="201"/>
      <c r="F220" s="204"/>
    </row>
    <row r="221" spans="2:6" x14ac:dyDescent="0.25">
      <c r="B221" s="201"/>
      <c r="C221" s="202"/>
      <c r="D221" s="201"/>
      <c r="E221" s="201"/>
      <c r="F221" s="204"/>
    </row>
    <row r="222" spans="2:6" x14ac:dyDescent="0.25">
      <c r="B222" s="201"/>
      <c r="C222" s="202"/>
      <c r="D222" s="201"/>
      <c r="E222" s="201"/>
      <c r="F222" s="204"/>
    </row>
    <row r="223" spans="2:6" x14ac:dyDescent="0.25">
      <c r="B223" s="201"/>
      <c r="C223" s="202"/>
      <c r="D223" s="201"/>
      <c r="E223" s="201"/>
      <c r="F223" s="204"/>
    </row>
    <row r="224" spans="2:6" x14ac:dyDescent="0.25">
      <c r="B224" s="201"/>
      <c r="C224" s="202"/>
      <c r="D224" s="201"/>
      <c r="E224" s="201"/>
      <c r="F224" s="204"/>
    </row>
    <row r="225" spans="2:6" x14ac:dyDescent="0.25">
      <c r="B225" s="201"/>
      <c r="C225" s="202"/>
      <c r="D225" s="201"/>
      <c r="E225" s="201"/>
      <c r="F225" s="204"/>
    </row>
    <row r="226" spans="2:6" x14ac:dyDescent="0.25">
      <c r="B226" s="201"/>
      <c r="C226" s="202"/>
      <c r="D226" s="201"/>
      <c r="E226" s="201"/>
      <c r="F226" s="204"/>
    </row>
    <row r="227" spans="2:6" x14ac:dyDescent="0.25">
      <c r="B227" s="201"/>
      <c r="C227" s="202"/>
      <c r="D227" s="201"/>
      <c r="E227" s="201"/>
      <c r="F227" s="204"/>
    </row>
    <row r="228" spans="2:6" x14ac:dyDescent="0.25">
      <c r="B228" s="201"/>
      <c r="C228" s="202"/>
      <c r="D228" s="201"/>
      <c r="E228" s="201"/>
      <c r="F228" s="204"/>
    </row>
    <row r="229" spans="2:6" x14ac:dyDescent="0.25">
      <c r="B229" s="201"/>
      <c r="C229" s="202"/>
      <c r="D229" s="201"/>
      <c r="E229" s="201"/>
      <c r="F229" s="204"/>
    </row>
    <row r="230" spans="2:6" x14ac:dyDescent="0.25">
      <c r="B230" s="201"/>
      <c r="C230" s="202"/>
      <c r="D230" s="201"/>
      <c r="E230" s="201"/>
      <c r="F230" s="204"/>
    </row>
    <row r="231" spans="2:6" x14ac:dyDescent="0.25">
      <c r="B231" s="201"/>
      <c r="C231" s="202"/>
      <c r="D231" s="201"/>
      <c r="E231" s="201"/>
      <c r="F231" s="204"/>
    </row>
    <row r="232" spans="2:6" x14ac:dyDescent="0.25">
      <c r="B232" s="201"/>
      <c r="C232" s="202"/>
      <c r="D232" s="201"/>
      <c r="E232" s="201"/>
      <c r="F232" s="204"/>
    </row>
    <row r="233" spans="2:6" x14ac:dyDescent="0.25">
      <c r="B233" s="201"/>
      <c r="C233" s="202"/>
      <c r="D233" s="201"/>
      <c r="E233" s="201"/>
      <c r="F233" s="204"/>
    </row>
    <row r="234" spans="2:6" x14ac:dyDescent="0.25">
      <c r="B234" s="201"/>
      <c r="C234" s="202"/>
      <c r="D234" s="201"/>
      <c r="E234" s="201"/>
      <c r="F234" s="204"/>
    </row>
    <row r="235" spans="2:6" x14ac:dyDescent="0.25">
      <c r="B235" s="201"/>
      <c r="C235" s="202"/>
      <c r="D235" s="201"/>
      <c r="E235" s="201"/>
      <c r="F235" s="204"/>
    </row>
    <row r="236" spans="2:6" x14ac:dyDescent="0.25">
      <c r="B236" s="201"/>
      <c r="C236" s="202"/>
      <c r="D236" s="201"/>
      <c r="E236" s="201"/>
      <c r="F236" s="204"/>
    </row>
    <row r="237" spans="2:6" x14ac:dyDescent="0.25">
      <c r="B237" s="201"/>
      <c r="C237" s="202"/>
      <c r="D237" s="201"/>
      <c r="E237" s="201"/>
      <c r="F237" s="204"/>
    </row>
    <row r="238" spans="2:6" x14ac:dyDescent="0.25">
      <c r="B238" s="201"/>
      <c r="C238" s="202"/>
      <c r="D238" s="201"/>
      <c r="E238" s="201"/>
      <c r="F238" s="204"/>
    </row>
    <row r="239" spans="2:6" x14ac:dyDescent="0.25">
      <c r="B239" s="201"/>
      <c r="C239" s="202"/>
      <c r="D239" s="201"/>
      <c r="E239" s="201"/>
      <c r="F239" s="204"/>
    </row>
    <row r="240" spans="2:6" x14ac:dyDescent="0.25">
      <c r="B240" s="201"/>
      <c r="C240" s="202"/>
      <c r="D240" s="201"/>
      <c r="E240" s="201"/>
      <c r="F240" s="204"/>
    </row>
    <row r="241" spans="2:6" x14ac:dyDescent="0.25">
      <c r="B241" s="201"/>
      <c r="C241" s="202"/>
      <c r="D241" s="201"/>
      <c r="E241" s="201"/>
      <c r="F241" s="204"/>
    </row>
    <row r="242" spans="2:6" x14ac:dyDescent="0.25">
      <c r="B242" s="201"/>
      <c r="C242" s="202"/>
      <c r="D242" s="201"/>
      <c r="E242" s="201"/>
      <c r="F242" s="204"/>
    </row>
    <row r="243" spans="2:6" x14ac:dyDescent="0.25">
      <c r="B243" s="201"/>
      <c r="C243" s="202"/>
      <c r="D243" s="201"/>
      <c r="E243" s="201"/>
      <c r="F243" s="204"/>
    </row>
    <row r="244" spans="2:6" x14ac:dyDescent="0.25">
      <c r="B244" s="201"/>
      <c r="C244" s="202"/>
      <c r="D244" s="201"/>
      <c r="E244" s="201"/>
      <c r="F244" s="204"/>
    </row>
    <row r="245" spans="2:6" x14ac:dyDescent="0.25">
      <c r="B245" s="201"/>
      <c r="C245" s="202"/>
      <c r="D245" s="201"/>
      <c r="E245" s="201"/>
      <c r="F245" s="204"/>
    </row>
    <row r="246" spans="2:6" x14ac:dyDescent="0.25">
      <c r="B246" s="201"/>
      <c r="C246" s="202"/>
      <c r="D246" s="201"/>
      <c r="E246" s="201"/>
      <c r="F246" s="204"/>
    </row>
    <row r="247" spans="2:6" x14ac:dyDescent="0.25">
      <c r="B247" s="201"/>
      <c r="C247" s="202"/>
      <c r="D247" s="201"/>
      <c r="E247" s="201"/>
      <c r="F247" s="204"/>
    </row>
    <row r="248" spans="2:6" x14ac:dyDescent="0.25">
      <c r="B248" s="201"/>
      <c r="C248" s="202"/>
      <c r="D248" s="201"/>
      <c r="E248" s="201"/>
      <c r="F248" s="204"/>
    </row>
    <row r="249" spans="2:6" x14ac:dyDescent="0.25">
      <c r="B249" s="201"/>
      <c r="C249" s="202"/>
      <c r="D249" s="201"/>
      <c r="E249" s="201"/>
      <c r="F249" s="204"/>
    </row>
    <row r="250" spans="2:6" x14ac:dyDescent="0.25">
      <c r="B250" s="201"/>
      <c r="C250" s="202"/>
      <c r="D250" s="201"/>
      <c r="E250" s="201"/>
      <c r="F250" s="204"/>
    </row>
    <row r="251" spans="2:6" x14ac:dyDescent="0.25">
      <c r="B251" s="201"/>
      <c r="C251" s="202"/>
      <c r="D251" s="201"/>
      <c r="E251" s="201"/>
      <c r="F251" s="204"/>
    </row>
    <row r="252" spans="2:6" x14ac:dyDescent="0.25">
      <c r="B252" s="201"/>
      <c r="C252" s="202"/>
      <c r="D252" s="201"/>
      <c r="E252" s="201"/>
      <c r="F252" s="204"/>
    </row>
    <row r="253" spans="2:6" x14ac:dyDescent="0.25">
      <c r="B253" s="201"/>
      <c r="C253" s="202"/>
      <c r="D253" s="201"/>
      <c r="E253" s="201"/>
      <c r="F253" s="204"/>
    </row>
    <row r="254" spans="2:6" x14ac:dyDescent="0.25">
      <c r="B254" s="201"/>
      <c r="C254" s="202"/>
      <c r="D254" s="201"/>
      <c r="E254" s="201"/>
      <c r="F254" s="204"/>
    </row>
    <row r="255" spans="2:6" x14ac:dyDescent="0.25">
      <c r="B255" s="201"/>
      <c r="C255" s="202"/>
      <c r="D255" s="201"/>
      <c r="E255" s="201"/>
      <c r="F255" s="204"/>
    </row>
    <row r="256" spans="2:6" x14ac:dyDescent="0.25">
      <c r="B256" s="201"/>
      <c r="C256" s="202"/>
      <c r="D256" s="201"/>
      <c r="E256" s="201"/>
      <c r="F256" s="204"/>
    </row>
    <row r="257" spans="2:6" x14ac:dyDescent="0.25">
      <c r="B257" s="201"/>
      <c r="C257" s="202"/>
      <c r="D257" s="201"/>
      <c r="E257" s="201"/>
      <c r="F257" s="204"/>
    </row>
    <row r="258" spans="2:6" x14ac:dyDescent="0.25">
      <c r="B258" s="201"/>
      <c r="C258" s="202"/>
      <c r="D258" s="201"/>
      <c r="E258" s="201"/>
      <c r="F258" s="204"/>
    </row>
    <row r="259" spans="2:6" x14ac:dyDescent="0.25">
      <c r="B259" s="201"/>
      <c r="C259" s="202"/>
      <c r="D259" s="201"/>
      <c r="E259" s="201"/>
      <c r="F259" s="204"/>
    </row>
    <row r="260" spans="2:6" x14ac:dyDescent="0.25">
      <c r="B260" s="201"/>
      <c r="C260" s="202"/>
      <c r="D260" s="201"/>
      <c r="E260" s="201"/>
      <c r="F260" s="204"/>
    </row>
    <row r="261" spans="2:6" x14ac:dyDescent="0.25">
      <c r="B261" s="201"/>
      <c r="C261" s="202"/>
      <c r="D261" s="201"/>
      <c r="E261" s="201"/>
      <c r="F261" s="204"/>
    </row>
    <row r="262" spans="2:6" x14ac:dyDescent="0.25">
      <c r="B262" s="201"/>
      <c r="C262" s="202"/>
      <c r="D262" s="201"/>
      <c r="E262" s="201"/>
      <c r="F262" s="204"/>
    </row>
    <row r="263" spans="2:6" x14ac:dyDescent="0.25">
      <c r="B263" s="201"/>
      <c r="C263" s="202"/>
      <c r="D263" s="201"/>
      <c r="E263" s="201"/>
      <c r="F263" s="204"/>
    </row>
    <row r="264" spans="2:6" x14ac:dyDescent="0.25">
      <c r="B264" s="201"/>
      <c r="C264" s="202"/>
      <c r="D264" s="201"/>
      <c r="E264" s="201"/>
      <c r="F264" s="204"/>
    </row>
    <row r="265" spans="2:6" x14ac:dyDescent="0.25">
      <c r="B265" s="201"/>
      <c r="C265" s="202"/>
      <c r="D265" s="201"/>
      <c r="E265" s="201"/>
      <c r="F265" s="204"/>
    </row>
    <row r="266" spans="2:6" x14ac:dyDescent="0.25">
      <c r="B266" s="201"/>
      <c r="C266" s="202"/>
      <c r="D266" s="201"/>
      <c r="E266" s="201"/>
      <c r="F266" s="204"/>
    </row>
    <row r="267" spans="2:6" x14ac:dyDescent="0.25">
      <c r="B267" s="201"/>
      <c r="C267" s="202"/>
      <c r="D267" s="201"/>
      <c r="E267" s="201"/>
      <c r="F267" s="204"/>
    </row>
    <row r="268" spans="2:6" x14ac:dyDescent="0.25">
      <c r="B268" s="201"/>
      <c r="C268" s="202"/>
      <c r="D268" s="201"/>
      <c r="E268" s="201"/>
      <c r="F268" s="204"/>
    </row>
    <row r="269" spans="2:6" x14ac:dyDescent="0.25">
      <c r="B269" s="201"/>
      <c r="C269" s="202"/>
      <c r="D269" s="201"/>
      <c r="E269" s="201"/>
      <c r="F269" s="204"/>
    </row>
    <row r="270" spans="2:6" x14ac:dyDescent="0.25">
      <c r="B270" s="201"/>
      <c r="C270" s="202"/>
      <c r="D270" s="201"/>
      <c r="E270" s="201"/>
      <c r="F270" s="204"/>
    </row>
    <row r="271" spans="2:6" x14ac:dyDescent="0.25">
      <c r="B271" s="201"/>
      <c r="C271" s="202"/>
      <c r="D271" s="201"/>
      <c r="E271" s="201"/>
      <c r="F271" s="204"/>
    </row>
    <row r="272" spans="2:6" x14ac:dyDescent="0.25">
      <c r="B272" s="201"/>
      <c r="C272" s="202"/>
      <c r="D272" s="201"/>
      <c r="E272" s="201"/>
      <c r="F272" s="204"/>
    </row>
    <row r="273" spans="2:6" x14ac:dyDescent="0.25">
      <c r="B273" s="201"/>
      <c r="C273" s="202"/>
      <c r="D273" s="201"/>
      <c r="E273" s="201"/>
      <c r="F273" s="204"/>
    </row>
    <row r="274" spans="2:6" x14ac:dyDescent="0.25">
      <c r="B274" s="201"/>
      <c r="C274" s="202"/>
      <c r="D274" s="201"/>
      <c r="E274" s="201"/>
      <c r="F274" s="204"/>
    </row>
    <row r="275" spans="2:6" x14ac:dyDescent="0.25">
      <c r="B275" s="201"/>
      <c r="C275" s="202"/>
      <c r="D275" s="201"/>
      <c r="E275" s="201"/>
      <c r="F275" s="204"/>
    </row>
    <row r="276" spans="2:6" x14ac:dyDescent="0.25">
      <c r="B276" s="201"/>
      <c r="C276" s="202"/>
      <c r="D276" s="201"/>
      <c r="E276" s="201"/>
      <c r="F276" s="204"/>
    </row>
    <row r="277" spans="2:6" x14ac:dyDescent="0.25">
      <c r="B277" s="201"/>
      <c r="C277" s="202"/>
      <c r="D277" s="201"/>
      <c r="E277" s="201"/>
      <c r="F277" s="204"/>
    </row>
    <row r="278" spans="2:6" x14ac:dyDescent="0.25">
      <c r="B278" s="201"/>
      <c r="C278" s="202"/>
      <c r="D278" s="201"/>
      <c r="E278" s="201"/>
      <c r="F278" s="204"/>
    </row>
    <row r="279" spans="2:6" x14ac:dyDescent="0.25">
      <c r="B279" s="201"/>
      <c r="C279" s="202"/>
      <c r="D279" s="201"/>
      <c r="E279" s="201"/>
      <c r="F279" s="204"/>
    </row>
    <row r="280" spans="2:6" x14ac:dyDescent="0.25">
      <c r="B280" s="201"/>
      <c r="C280" s="202"/>
      <c r="D280" s="201"/>
      <c r="E280" s="201"/>
      <c r="F280" s="204"/>
    </row>
    <row r="281" spans="2:6" x14ac:dyDescent="0.25">
      <c r="B281" s="201"/>
      <c r="C281" s="202"/>
      <c r="D281" s="201"/>
      <c r="E281" s="201"/>
      <c r="F281" s="204"/>
    </row>
    <row r="282" spans="2:6" x14ac:dyDescent="0.25">
      <c r="B282" s="201"/>
      <c r="C282" s="202"/>
      <c r="D282" s="201"/>
      <c r="E282" s="201"/>
      <c r="F282" s="204"/>
    </row>
    <row r="283" spans="2:6" x14ac:dyDescent="0.25">
      <c r="B283" s="201"/>
      <c r="C283" s="202"/>
      <c r="D283" s="201"/>
      <c r="E283" s="201"/>
      <c r="F283" s="204"/>
    </row>
    <row r="284" spans="2:6" x14ac:dyDescent="0.25">
      <c r="B284" s="201"/>
      <c r="C284" s="202"/>
      <c r="D284" s="201"/>
      <c r="E284" s="201"/>
      <c r="F284" s="204"/>
    </row>
    <row r="285" spans="2:6" x14ac:dyDescent="0.25">
      <c r="B285" s="201"/>
      <c r="C285" s="202"/>
      <c r="D285" s="201"/>
      <c r="E285" s="201"/>
      <c r="F285" s="204"/>
    </row>
    <row r="286" spans="2:6" x14ac:dyDescent="0.25">
      <c r="B286" s="201"/>
      <c r="C286" s="202"/>
      <c r="D286" s="201"/>
      <c r="E286" s="201"/>
      <c r="F286" s="204"/>
    </row>
    <row r="287" spans="2:6" x14ac:dyDescent="0.25">
      <c r="B287" s="201"/>
      <c r="C287" s="202"/>
      <c r="D287" s="201"/>
      <c r="E287" s="201"/>
      <c r="F287" s="204"/>
    </row>
    <row r="288" spans="2:6" x14ac:dyDescent="0.25">
      <c r="B288" s="201"/>
      <c r="C288" s="202"/>
      <c r="D288" s="201"/>
      <c r="E288" s="201"/>
      <c r="F288" s="204"/>
    </row>
    <row r="289" spans="2:6" x14ac:dyDescent="0.25">
      <c r="B289" s="201"/>
      <c r="C289" s="202"/>
      <c r="D289" s="201"/>
      <c r="E289" s="201"/>
      <c r="F289" s="204"/>
    </row>
    <row r="290" spans="2:6" x14ac:dyDescent="0.25">
      <c r="B290" s="201"/>
      <c r="C290" s="202"/>
      <c r="D290" s="201"/>
      <c r="E290" s="201"/>
      <c r="F290" s="204"/>
    </row>
    <row r="291" spans="2:6" x14ac:dyDescent="0.25">
      <c r="B291" s="201"/>
      <c r="C291" s="202"/>
      <c r="D291" s="201"/>
      <c r="E291" s="201"/>
      <c r="F291" s="204"/>
    </row>
    <row r="292" spans="2:6" x14ac:dyDescent="0.25">
      <c r="B292" s="201"/>
      <c r="C292" s="202"/>
      <c r="D292" s="201"/>
      <c r="E292" s="201"/>
      <c r="F292" s="204"/>
    </row>
    <row r="293" spans="2:6" x14ac:dyDescent="0.25">
      <c r="B293" s="201"/>
      <c r="C293" s="202"/>
      <c r="D293" s="201"/>
      <c r="E293" s="201"/>
      <c r="F293" s="204"/>
    </row>
    <row r="294" spans="2:6" x14ac:dyDescent="0.25">
      <c r="B294" s="201"/>
      <c r="C294" s="202"/>
      <c r="D294" s="201"/>
      <c r="E294" s="201"/>
      <c r="F294" s="204"/>
    </row>
    <row r="295" spans="2:6" x14ac:dyDescent="0.25">
      <c r="B295" s="201"/>
      <c r="C295" s="202"/>
      <c r="D295" s="201"/>
      <c r="E295" s="201"/>
      <c r="F295" s="204"/>
    </row>
    <row r="296" spans="2:6" x14ac:dyDescent="0.25">
      <c r="B296" s="201"/>
      <c r="C296" s="202"/>
      <c r="D296" s="201"/>
      <c r="E296" s="201"/>
      <c r="F296" s="204"/>
    </row>
    <row r="297" spans="2:6" x14ac:dyDescent="0.25">
      <c r="B297" s="201"/>
      <c r="C297" s="202"/>
      <c r="D297" s="201"/>
      <c r="E297" s="201"/>
      <c r="F297" s="204"/>
    </row>
    <row r="298" spans="2:6" x14ac:dyDescent="0.25">
      <c r="B298" s="201"/>
      <c r="C298" s="202"/>
      <c r="D298" s="201"/>
      <c r="E298" s="201"/>
      <c r="F298" s="204"/>
    </row>
    <row r="299" spans="2:6" x14ac:dyDescent="0.25">
      <c r="B299" s="201"/>
      <c r="C299" s="202"/>
      <c r="D299" s="201"/>
      <c r="E299" s="201"/>
      <c r="F299" s="204"/>
    </row>
    <row r="300" spans="2:6" x14ac:dyDescent="0.25">
      <c r="B300" s="201"/>
      <c r="C300" s="202"/>
      <c r="D300" s="201"/>
      <c r="E300" s="201"/>
      <c r="F300" s="204"/>
    </row>
    <row r="301" spans="2:6" x14ac:dyDescent="0.25">
      <c r="B301" s="201"/>
      <c r="C301" s="202"/>
      <c r="D301" s="201"/>
      <c r="E301" s="201"/>
      <c r="F301" s="204"/>
    </row>
    <row r="302" spans="2:6" x14ac:dyDescent="0.25">
      <c r="B302" s="201"/>
      <c r="C302" s="202"/>
      <c r="D302" s="201"/>
      <c r="E302" s="201"/>
      <c r="F302" s="204"/>
    </row>
    <row r="303" spans="2:6" x14ac:dyDescent="0.25">
      <c r="B303" s="201"/>
      <c r="C303" s="202"/>
      <c r="D303" s="201"/>
      <c r="E303" s="201"/>
      <c r="F303" s="204"/>
    </row>
    <row r="304" spans="2:6" x14ac:dyDescent="0.25">
      <c r="B304" s="201"/>
      <c r="C304" s="202"/>
      <c r="D304" s="201"/>
      <c r="E304" s="201"/>
      <c r="F304" s="204"/>
    </row>
    <row r="305" spans="2:6" x14ac:dyDescent="0.25">
      <c r="B305" s="201"/>
      <c r="C305" s="202"/>
      <c r="D305" s="201"/>
      <c r="E305" s="201"/>
      <c r="F305" s="204"/>
    </row>
    <row r="306" spans="2:6" x14ac:dyDescent="0.25">
      <c r="B306" s="201"/>
      <c r="C306" s="202"/>
      <c r="D306" s="201"/>
      <c r="E306" s="201"/>
      <c r="F306" s="204"/>
    </row>
    <row r="307" spans="2:6" x14ac:dyDescent="0.25">
      <c r="B307" s="201"/>
      <c r="C307" s="202"/>
      <c r="D307" s="201"/>
      <c r="E307" s="201"/>
      <c r="F307" s="204"/>
    </row>
    <row r="308" spans="2:6" x14ac:dyDescent="0.25">
      <c r="B308" s="201"/>
      <c r="C308" s="202"/>
      <c r="D308" s="201"/>
      <c r="E308" s="201"/>
      <c r="F308" s="204"/>
    </row>
    <row r="309" spans="2:6" x14ac:dyDescent="0.25">
      <c r="B309" s="201"/>
      <c r="C309" s="202"/>
      <c r="D309" s="201"/>
      <c r="E309" s="201"/>
      <c r="F309" s="204"/>
    </row>
    <row r="310" spans="2:6" x14ac:dyDescent="0.25">
      <c r="B310" s="201"/>
      <c r="C310" s="202"/>
      <c r="D310" s="201"/>
      <c r="E310" s="201"/>
      <c r="F310" s="204"/>
    </row>
    <row r="311" spans="2:6" x14ac:dyDescent="0.25">
      <c r="B311" s="201"/>
      <c r="C311" s="202"/>
      <c r="D311" s="201"/>
      <c r="E311" s="201"/>
      <c r="F311" s="204"/>
    </row>
    <row r="312" spans="2:6" x14ac:dyDescent="0.25">
      <c r="B312" s="201"/>
      <c r="C312" s="202"/>
      <c r="D312" s="201"/>
      <c r="E312" s="201"/>
      <c r="F312" s="204"/>
    </row>
    <row r="313" spans="2:6" x14ac:dyDescent="0.25">
      <c r="B313" s="201"/>
      <c r="C313" s="202"/>
      <c r="D313" s="201"/>
      <c r="E313" s="201"/>
      <c r="F313" s="204"/>
    </row>
    <row r="314" spans="2:6" x14ac:dyDescent="0.25">
      <c r="B314" s="201"/>
      <c r="C314" s="202"/>
      <c r="D314" s="201"/>
      <c r="E314" s="201"/>
      <c r="F314" s="204"/>
    </row>
    <row r="315" spans="2:6" x14ac:dyDescent="0.25">
      <c r="B315" s="201"/>
      <c r="C315" s="202"/>
      <c r="D315" s="201"/>
      <c r="E315" s="201"/>
      <c r="F315" s="204"/>
    </row>
    <row r="316" spans="2:6" x14ac:dyDescent="0.25">
      <c r="B316" s="201"/>
      <c r="C316" s="202"/>
      <c r="D316" s="201"/>
      <c r="E316" s="201"/>
      <c r="F316" s="204"/>
    </row>
    <row r="317" spans="2:6" x14ac:dyDescent="0.25">
      <c r="B317" s="201"/>
      <c r="C317" s="202"/>
      <c r="D317" s="201"/>
      <c r="E317" s="201"/>
      <c r="F317" s="204"/>
    </row>
    <row r="318" spans="2:6" x14ac:dyDescent="0.25">
      <c r="B318" s="201"/>
      <c r="C318" s="202"/>
      <c r="D318" s="201"/>
      <c r="E318" s="201"/>
      <c r="F318" s="204"/>
    </row>
    <row r="319" spans="2:6" x14ac:dyDescent="0.25">
      <c r="B319" s="201"/>
      <c r="C319" s="202"/>
      <c r="D319" s="201"/>
      <c r="E319" s="201"/>
      <c r="F319" s="204"/>
    </row>
    <row r="320" spans="2:6" x14ac:dyDescent="0.25">
      <c r="B320" s="201"/>
      <c r="C320" s="202"/>
      <c r="D320" s="201"/>
      <c r="E320" s="201"/>
      <c r="F320" s="204"/>
    </row>
    <row r="321" spans="2:6" x14ac:dyDescent="0.25">
      <c r="B321" s="201"/>
      <c r="C321" s="202"/>
      <c r="D321" s="201"/>
      <c r="E321" s="201"/>
      <c r="F321" s="204"/>
    </row>
    <row r="322" spans="2:6" x14ac:dyDescent="0.25">
      <c r="B322" s="201"/>
      <c r="C322" s="202"/>
      <c r="D322" s="201"/>
      <c r="E322" s="201"/>
      <c r="F322" s="204"/>
    </row>
    <row r="323" spans="2:6" x14ac:dyDescent="0.25">
      <c r="B323" s="201"/>
      <c r="C323" s="202"/>
      <c r="D323" s="201"/>
      <c r="E323" s="201"/>
      <c r="F323" s="204"/>
    </row>
    <row r="324" spans="2:6" x14ac:dyDescent="0.25">
      <c r="B324" s="201"/>
      <c r="C324" s="202"/>
      <c r="D324" s="201"/>
      <c r="E324" s="201"/>
      <c r="F324" s="204"/>
    </row>
    <row r="325" spans="2:6" x14ac:dyDescent="0.25">
      <c r="B325" s="201"/>
      <c r="C325" s="202"/>
      <c r="D325" s="201"/>
      <c r="E325" s="201"/>
      <c r="F325" s="204"/>
    </row>
    <row r="326" spans="2:6" x14ac:dyDescent="0.25">
      <c r="B326" s="201"/>
      <c r="C326" s="202"/>
      <c r="D326" s="201"/>
      <c r="E326" s="201"/>
      <c r="F326" s="204"/>
    </row>
    <row r="327" spans="2:6" x14ac:dyDescent="0.25">
      <c r="B327" s="201"/>
      <c r="C327" s="202"/>
      <c r="D327" s="201"/>
      <c r="E327" s="201"/>
      <c r="F327" s="204"/>
    </row>
    <row r="328" spans="2:6" x14ac:dyDescent="0.25">
      <c r="B328" s="201"/>
      <c r="C328" s="202"/>
      <c r="D328" s="201"/>
      <c r="E328" s="201"/>
      <c r="F328" s="204"/>
    </row>
    <row r="329" spans="2:6" x14ac:dyDescent="0.25">
      <c r="B329" s="201"/>
      <c r="C329" s="202"/>
      <c r="D329" s="201"/>
      <c r="E329" s="201"/>
      <c r="F329" s="204"/>
    </row>
    <row r="330" spans="2:6" x14ac:dyDescent="0.25">
      <c r="B330" s="201"/>
      <c r="C330" s="202"/>
      <c r="D330" s="201"/>
      <c r="E330" s="201"/>
      <c r="F330" s="204"/>
    </row>
    <row r="331" spans="2:6" x14ac:dyDescent="0.25">
      <c r="B331" s="201"/>
      <c r="C331" s="202"/>
      <c r="D331" s="201"/>
      <c r="E331" s="201"/>
      <c r="F331" s="204"/>
    </row>
    <row r="332" spans="2:6" x14ac:dyDescent="0.25">
      <c r="B332" s="201"/>
      <c r="C332" s="202"/>
      <c r="D332" s="201"/>
      <c r="E332" s="201"/>
      <c r="F332" s="204"/>
    </row>
    <row r="333" spans="2:6" x14ac:dyDescent="0.25">
      <c r="B333" s="201"/>
      <c r="C333" s="202"/>
      <c r="D333" s="201"/>
      <c r="E333" s="201"/>
      <c r="F333" s="204"/>
    </row>
    <row r="334" spans="2:6" x14ac:dyDescent="0.25">
      <c r="B334" s="201"/>
      <c r="C334" s="202"/>
      <c r="D334" s="201"/>
      <c r="E334" s="201"/>
      <c r="F334" s="204"/>
    </row>
    <row r="335" spans="2:6" x14ac:dyDescent="0.25">
      <c r="B335" s="201"/>
      <c r="C335" s="202"/>
      <c r="D335" s="201"/>
      <c r="E335" s="201"/>
      <c r="F335" s="204"/>
    </row>
    <row r="336" spans="2:6" x14ac:dyDescent="0.25">
      <c r="B336" s="201"/>
      <c r="C336" s="202"/>
      <c r="D336" s="201"/>
      <c r="E336" s="201"/>
      <c r="F336" s="204"/>
    </row>
    <row r="337" spans="2:6" x14ac:dyDescent="0.25">
      <c r="B337" s="201"/>
      <c r="C337" s="202"/>
      <c r="D337" s="201"/>
      <c r="E337" s="201"/>
      <c r="F337" s="204"/>
    </row>
    <row r="338" spans="2:6" x14ac:dyDescent="0.25">
      <c r="B338" s="201"/>
      <c r="C338" s="202"/>
      <c r="D338" s="201"/>
      <c r="E338" s="201"/>
      <c r="F338" s="204"/>
    </row>
    <row r="339" spans="2:6" x14ac:dyDescent="0.25">
      <c r="B339" s="201"/>
      <c r="C339" s="202"/>
      <c r="D339" s="201"/>
      <c r="E339" s="201"/>
      <c r="F339" s="204"/>
    </row>
    <row r="340" spans="2:6" x14ac:dyDescent="0.25">
      <c r="B340" s="201"/>
      <c r="C340" s="202"/>
      <c r="D340" s="201"/>
      <c r="E340" s="201"/>
      <c r="F340" s="204"/>
    </row>
    <row r="341" spans="2:6" x14ac:dyDescent="0.25">
      <c r="B341" s="201"/>
      <c r="C341" s="202"/>
      <c r="D341" s="201"/>
      <c r="E341" s="201"/>
      <c r="F341" s="204"/>
    </row>
    <row r="342" spans="2:6" x14ac:dyDescent="0.25">
      <c r="B342" s="201"/>
      <c r="C342" s="202"/>
      <c r="D342" s="201"/>
      <c r="E342" s="201"/>
      <c r="F342" s="204"/>
    </row>
    <row r="343" spans="2:6" x14ac:dyDescent="0.25">
      <c r="B343" s="201"/>
      <c r="C343" s="202"/>
      <c r="D343" s="201"/>
      <c r="E343" s="201"/>
      <c r="F343" s="204"/>
    </row>
    <row r="344" spans="2:6" x14ac:dyDescent="0.25">
      <c r="B344" s="201"/>
      <c r="C344" s="202"/>
      <c r="D344" s="201"/>
      <c r="E344" s="201"/>
      <c r="F344" s="204"/>
    </row>
    <row r="345" spans="2:6" x14ac:dyDescent="0.25">
      <c r="B345" s="201"/>
      <c r="C345" s="202"/>
      <c r="D345" s="201"/>
      <c r="E345" s="201"/>
      <c r="F345" s="204"/>
    </row>
    <row r="346" spans="2:6" x14ac:dyDescent="0.25">
      <c r="B346" s="201"/>
      <c r="C346" s="202"/>
      <c r="D346" s="201"/>
      <c r="E346" s="201"/>
      <c r="F346" s="204"/>
    </row>
    <row r="347" spans="2:6" x14ac:dyDescent="0.25">
      <c r="B347" s="201"/>
      <c r="C347" s="202"/>
      <c r="D347" s="201"/>
      <c r="E347" s="201"/>
      <c r="F347" s="204"/>
    </row>
    <row r="348" spans="2:6" x14ac:dyDescent="0.25">
      <c r="B348" s="201"/>
      <c r="C348" s="202"/>
      <c r="D348" s="201"/>
      <c r="E348" s="201"/>
      <c r="F348" s="204"/>
    </row>
    <row r="349" spans="2:6" x14ac:dyDescent="0.25">
      <c r="B349" s="201"/>
      <c r="C349" s="202"/>
      <c r="D349" s="201"/>
      <c r="E349" s="201"/>
      <c r="F349" s="204"/>
    </row>
    <row r="350" spans="2:6" x14ac:dyDescent="0.25">
      <c r="B350" s="201"/>
      <c r="C350" s="202"/>
      <c r="D350" s="201"/>
      <c r="E350" s="201"/>
      <c r="F350" s="204"/>
    </row>
    <row r="351" spans="2:6" x14ac:dyDescent="0.25">
      <c r="B351" s="201"/>
      <c r="C351" s="202"/>
      <c r="D351" s="201"/>
      <c r="E351" s="201"/>
      <c r="F351" s="204"/>
    </row>
    <row r="352" spans="2:6" x14ac:dyDescent="0.25">
      <c r="B352" s="201"/>
      <c r="C352" s="202"/>
      <c r="D352" s="201"/>
      <c r="E352" s="201"/>
      <c r="F352" s="204"/>
    </row>
    <row r="353" spans="2:6" x14ac:dyDescent="0.25">
      <c r="B353" s="201"/>
      <c r="C353" s="202"/>
      <c r="D353" s="201"/>
      <c r="E353" s="201"/>
      <c r="F353" s="204"/>
    </row>
    <row r="354" spans="2:6" x14ac:dyDescent="0.25">
      <c r="B354" s="201"/>
      <c r="C354" s="202"/>
      <c r="D354" s="201"/>
      <c r="E354" s="201"/>
      <c r="F354" s="204"/>
    </row>
    <row r="355" spans="2:6" x14ac:dyDescent="0.25">
      <c r="B355" s="201"/>
      <c r="C355" s="202"/>
      <c r="D355" s="201"/>
      <c r="E355" s="201"/>
      <c r="F355" s="204"/>
    </row>
    <row r="356" spans="2:6" x14ac:dyDescent="0.25">
      <c r="B356" s="201"/>
      <c r="C356" s="202"/>
      <c r="D356" s="201"/>
      <c r="E356" s="201"/>
      <c r="F356" s="204"/>
    </row>
    <row r="357" spans="2:6" x14ac:dyDescent="0.25">
      <c r="B357" s="201"/>
      <c r="C357" s="202"/>
      <c r="D357" s="201"/>
      <c r="E357" s="201"/>
      <c r="F357" s="204"/>
    </row>
    <row r="358" spans="2:6" x14ac:dyDescent="0.25">
      <c r="B358" s="201"/>
      <c r="C358" s="202"/>
      <c r="D358" s="201"/>
      <c r="E358" s="201"/>
      <c r="F358" s="204"/>
    </row>
    <row r="359" spans="2:6" x14ac:dyDescent="0.25">
      <c r="B359" s="201"/>
      <c r="C359" s="202"/>
      <c r="D359" s="201"/>
      <c r="E359" s="201"/>
      <c r="F359" s="204"/>
    </row>
    <row r="360" spans="2:6" x14ac:dyDescent="0.25">
      <c r="B360" s="201"/>
      <c r="C360" s="202"/>
      <c r="D360" s="201"/>
      <c r="E360" s="201"/>
      <c r="F360" s="204"/>
    </row>
    <row r="361" spans="2:6" x14ac:dyDescent="0.25">
      <c r="B361" s="201"/>
      <c r="C361" s="202"/>
      <c r="D361" s="201"/>
      <c r="E361" s="201"/>
      <c r="F361" s="204"/>
    </row>
    <row r="362" spans="2:6" x14ac:dyDescent="0.25">
      <c r="B362" s="201"/>
      <c r="C362" s="202"/>
      <c r="D362" s="201"/>
      <c r="E362" s="201"/>
      <c r="F362" s="204"/>
    </row>
    <row r="363" spans="2:6" x14ac:dyDescent="0.25">
      <c r="B363" s="201"/>
      <c r="C363" s="202"/>
      <c r="D363" s="201"/>
      <c r="E363" s="201"/>
      <c r="F363" s="204"/>
    </row>
    <row r="364" spans="2:6" x14ac:dyDescent="0.25">
      <c r="B364" s="201"/>
      <c r="C364" s="202"/>
      <c r="D364" s="201"/>
      <c r="E364" s="201"/>
      <c r="F364" s="204"/>
    </row>
    <row r="365" spans="2:6" x14ac:dyDescent="0.25">
      <c r="B365" s="201"/>
      <c r="C365" s="202"/>
      <c r="D365" s="201"/>
      <c r="E365" s="201"/>
      <c r="F365" s="204"/>
    </row>
    <row r="366" spans="2:6" x14ac:dyDescent="0.25">
      <c r="B366" s="201"/>
      <c r="C366" s="202"/>
      <c r="D366" s="201"/>
      <c r="E366" s="201"/>
      <c r="F366" s="204"/>
    </row>
    <row r="367" spans="2:6" x14ac:dyDescent="0.25">
      <c r="B367" s="201"/>
      <c r="C367" s="202"/>
      <c r="D367" s="201"/>
      <c r="E367" s="201"/>
      <c r="F367" s="204"/>
    </row>
    <row r="368" spans="2:6" x14ac:dyDescent="0.25">
      <c r="B368" s="201"/>
      <c r="C368" s="202"/>
      <c r="D368" s="201"/>
      <c r="E368" s="201"/>
      <c r="F368" s="204"/>
    </row>
    <row r="369" spans="2:6" x14ac:dyDescent="0.25">
      <c r="B369" s="201"/>
      <c r="C369" s="202"/>
      <c r="D369" s="201"/>
      <c r="E369" s="201"/>
      <c r="F369" s="204"/>
    </row>
    <row r="370" spans="2:6" x14ac:dyDescent="0.25">
      <c r="B370" s="201"/>
      <c r="C370" s="202"/>
      <c r="D370" s="201"/>
      <c r="E370" s="201"/>
      <c r="F370" s="204"/>
    </row>
    <row r="371" spans="2:6" x14ac:dyDescent="0.25">
      <c r="B371" s="201"/>
      <c r="C371" s="202"/>
      <c r="D371" s="201"/>
      <c r="E371" s="201"/>
      <c r="F371" s="204"/>
    </row>
    <row r="372" spans="2:6" x14ac:dyDescent="0.25">
      <c r="B372" s="201"/>
      <c r="C372" s="202"/>
      <c r="D372" s="201"/>
      <c r="E372" s="201"/>
      <c r="F372" s="204"/>
    </row>
    <row r="373" spans="2:6" x14ac:dyDescent="0.25">
      <c r="B373" s="201"/>
      <c r="C373" s="202"/>
      <c r="D373" s="201"/>
      <c r="E373" s="201"/>
      <c r="F373" s="204"/>
    </row>
    <row r="374" spans="2:6" x14ac:dyDescent="0.25">
      <c r="B374" s="201"/>
      <c r="C374" s="202"/>
      <c r="D374" s="201"/>
      <c r="E374" s="201"/>
      <c r="F374" s="204"/>
    </row>
    <row r="375" spans="2:6" x14ac:dyDescent="0.25">
      <c r="B375" s="201"/>
      <c r="C375" s="202"/>
      <c r="D375" s="201"/>
      <c r="E375" s="201"/>
      <c r="F375" s="204"/>
    </row>
    <row r="376" spans="2:6" x14ac:dyDescent="0.25">
      <c r="B376" s="201"/>
      <c r="C376" s="202"/>
      <c r="D376" s="201"/>
      <c r="E376" s="201"/>
      <c r="F376" s="204"/>
    </row>
    <row r="377" spans="2:6" x14ac:dyDescent="0.25">
      <c r="B377" s="201"/>
      <c r="C377" s="202"/>
      <c r="D377" s="201"/>
      <c r="E377" s="201"/>
      <c r="F377" s="204"/>
    </row>
    <row r="378" spans="2:6" x14ac:dyDescent="0.25">
      <c r="B378" s="201"/>
      <c r="C378" s="202"/>
      <c r="D378" s="201"/>
      <c r="E378" s="201"/>
      <c r="F378" s="204"/>
    </row>
    <row r="379" spans="2:6" x14ac:dyDescent="0.25">
      <c r="B379" s="201"/>
      <c r="C379" s="202"/>
      <c r="D379" s="201"/>
      <c r="E379" s="201"/>
      <c r="F379" s="204"/>
    </row>
    <row r="380" spans="2:6" x14ac:dyDescent="0.25">
      <c r="B380" s="201"/>
      <c r="C380" s="202"/>
      <c r="D380" s="201"/>
      <c r="E380" s="201"/>
      <c r="F380" s="204"/>
    </row>
    <row r="381" spans="2:6" x14ac:dyDescent="0.25">
      <c r="B381" s="201"/>
      <c r="C381" s="202"/>
      <c r="D381" s="201"/>
      <c r="E381" s="201"/>
      <c r="F381" s="204"/>
    </row>
    <row r="382" spans="2:6" x14ac:dyDescent="0.25">
      <c r="B382" s="201"/>
      <c r="C382" s="202"/>
      <c r="D382" s="201"/>
      <c r="E382" s="201"/>
      <c r="F382" s="204"/>
    </row>
    <row r="383" spans="2:6" x14ac:dyDescent="0.25">
      <c r="B383" s="201"/>
      <c r="C383" s="202"/>
      <c r="D383" s="201"/>
      <c r="E383" s="201"/>
      <c r="F383" s="204"/>
    </row>
    <row r="384" spans="2:6" x14ac:dyDescent="0.25">
      <c r="B384" s="201"/>
      <c r="C384" s="202"/>
      <c r="D384" s="201"/>
      <c r="E384" s="201"/>
      <c r="F384" s="204"/>
    </row>
    <row r="385" spans="2:6" x14ac:dyDescent="0.25">
      <c r="B385" s="201"/>
      <c r="C385" s="202"/>
      <c r="D385" s="201"/>
      <c r="E385" s="201"/>
      <c r="F385" s="204"/>
    </row>
    <row r="386" spans="2:6" x14ac:dyDescent="0.25">
      <c r="B386" s="201"/>
      <c r="C386" s="202"/>
      <c r="D386" s="201"/>
      <c r="E386" s="201"/>
      <c r="F386" s="204"/>
    </row>
    <row r="387" spans="2:6" x14ac:dyDescent="0.25">
      <c r="B387" s="201"/>
      <c r="C387" s="202"/>
      <c r="D387" s="201"/>
      <c r="E387" s="201"/>
      <c r="F387" s="204"/>
    </row>
    <row r="388" spans="2:6" x14ac:dyDescent="0.25">
      <c r="B388" s="201"/>
      <c r="C388" s="202"/>
      <c r="D388" s="201"/>
      <c r="E388" s="201"/>
      <c r="F388" s="204"/>
    </row>
    <row r="389" spans="2:6" x14ac:dyDescent="0.25">
      <c r="B389" s="201"/>
      <c r="C389" s="202"/>
      <c r="D389" s="201"/>
      <c r="E389" s="201"/>
      <c r="F389" s="204"/>
    </row>
    <row r="390" spans="2:6" x14ac:dyDescent="0.25">
      <c r="B390" s="201"/>
      <c r="C390" s="202"/>
      <c r="D390" s="201"/>
      <c r="E390" s="201"/>
      <c r="F390" s="204"/>
    </row>
    <row r="391" spans="2:6" x14ac:dyDescent="0.25">
      <c r="B391" s="201"/>
      <c r="C391" s="202"/>
      <c r="D391" s="201"/>
      <c r="E391" s="201"/>
      <c r="F391" s="204"/>
    </row>
    <row r="392" spans="2:6" x14ac:dyDescent="0.25">
      <c r="B392" s="201"/>
      <c r="C392" s="202"/>
      <c r="D392" s="201"/>
      <c r="E392" s="201"/>
      <c r="F392" s="204"/>
    </row>
    <row r="393" spans="2:6" x14ac:dyDescent="0.25">
      <c r="B393" s="201"/>
      <c r="C393" s="202"/>
      <c r="D393" s="201"/>
      <c r="E393" s="201"/>
      <c r="F393" s="204"/>
    </row>
    <row r="394" spans="2:6" x14ac:dyDescent="0.25">
      <c r="B394" s="201"/>
      <c r="C394" s="202"/>
      <c r="D394" s="201"/>
      <c r="E394" s="201"/>
      <c r="F394" s="204"/>
    </row>
    <row r="395" spans="2:6" x14ac:dyDescent="0.25">
      <c r="B395" s="201"/>
      <c r="C395" s="202"/>
      <c r="D395" s="201"/>
      <c r="E395" s="201"/>
      <c r="F395" s="204"/>
    </row>
    <row r="396" spans="2:6" x14ac:dyDescent="0.25">
      <c r="B396" s="201"/>
      <c r="C396" s="202"/>
      <c r="D396" s="201"/>
      <c r="E396" s="201"/>
      <c r="F396" s="204"/>
    </row>
    <row r="397" spans="2:6" x14ac:dyDescent="0.25">
      <c r="B397" s="201"/>
      <c r="C397" s="202"/>
      <c r="D397" s="201"/>
      <c r="E397" s="201"/>
      <c r="F397" s="204"/>
    </row>
    <row r="398" spans="2:6" x14ac:dyDescent="0.25">
      <c r="B398" s="201"/>
      <c r="C398" s="202"/>
      <c r="D398" s="201"/>
      <c r="E398" s="201"/>
      <c r="F398" s="204"/>
    </row>
    <row r="399" spans="2:6" x14ac:dyDescent="0.25">
      <c r="B399" s="201"/>
      <c r="C399" s="202"/>
      <c r="D399" s="201"/>
      <c r="E399" s="201"/>
      <c r="F399" s="204"/>
    </row>
    <row r="400" spans="2:6" x14ac:dyDescent="0.25">
      <c r="B400" s="201"/>
      <c r="C400" s="202"/>
      <c r="D400" s="201"/>
      <c r="E400" s="201"/>
      <c r="F400" s="204"/>
    </row>
    <row r="401" spans="2:6" x14ac:dyDescent="0.25">
      <c r="B401" s="201"/>
      <c r="C401" s="202"/>
      <c r="D401" s="201"/>
      <c r="E401" s="201"/>
      <c r="F401" s="204"/>
    </row>
    <row r="402" spans="2:6" x14ac:dyDescent="0.25">
      <c r="B402" s="201"/>
      <c r="C402" s="202"/>
      <c r="D402" s="201"/>
      <c r="E402" s="201"/>
      <c r="F402" s="204"/>
    </row>
    <row r="403" spans="2:6" x14ac:dyDescent="0.25">
      <c r="B403" s="201"/>
      <c r="C403" s="202"/>
      <c r="D403" s="201"/>
      <c r="E403" s="201"/>
      <c r="F403" s="204"/>
    </row>
    <row r="404" spans="2:6" x14ac:dyDescent="0.25">
      <c r="B404" s="201"/>
      <c r="C404" s="202"/>
      <c r="D404" s="201"/>
      <c r="E404" s="201"/>
      <c r="F404" s="204"/>
    </row>
    <row r="405" spans="2:6" x14ac:dyDescent="0.25">
      <c r="B405" s="201"/>
      <c r="C405" s="202"/>
      <c r="D405" s="201"/>
      <c r="E405" s="201"/>
      <c r="F405" s="204"/>
    </row>
    <row r="406" spans="2:6" x14ac:dyDescent="0.25">
      <c r="B406" s="201"/>
      <c r="C406" s="202"/>
      <c r="D406" s="201"/>
      <c r="E406" s="201"/>
      <c r="F406" s="204"/>
    </row>
    <row r="407" spans="2:6" x14ac:dyDescent="0.25">
      <c r="B407" s="201"/>
      <c r="C407" s="202"/>
      <c r="D407" s="201"/>
      <c r="E407" s="201"/>
      <c r="F407" s="204"/>
    </row>
    <row r="408" spans="2:6" x14ac:dyDescent="0.25">
      <c r="B408" s="201"/>
      <c r="C408" s="202"/>
      <c r="D408" s="201"/>
      <c r="E408" s="201"/>
      <c r="F408" s="204"/>
    </row>
    <row r="409" spans="2:6" x14ac:dyDescent="0.25">
      <c r="B409" s="201"/>
      <c r="C409" s="202"/>
      <c r="D409" s="201"/>
      <c r="E409" s="201"/>
      <c r="F409" s="204"/>
    </row>
    <row r="410" spans="2:6" x14ac:dyDescent="0.25">
      <c r="B410" s="201"/>
      <c r="C410" s="202"/>
      <c r="D410" s="201"/>
      <c r="E410" s="201"/>
      <c r="F410" s="204"/>
    </row>
    <row r="411" spans="2:6" x14ac:dyDescent="0.25">
      <c r="B411" s="201"/>
      <c r="C411" s="202"/>
      <c r="D411" s="201"/>
      <c r="E411" s="201"/>
      <c r="F411" s="204"/>
    </row>
    <row r="412" spans="2:6" x14ac:dyDescent="0.25">
      <c r="B412" s="201"/>
      <c r="C412" s="202"/>
      <c r="D412" s="201"/>
      <c r="E412" s="201"/>
      <c r="F412" s="204"/>
    </row>
    <row r="413" spans="2:6" x14ac:dyDescent="0.25">
      <c r="B413" s="201"/>
      <c r="C413" s="202"/>
      <c r="D413" s="201"/>
      <c r="E413" s="201"/>
      <c r="F413" s="204"/>
    </row>
    <row r="414" spans="2:6" x14ac:dyDescent="0.25">
      <c r="B414" s="201"/>
      <c r="C414" s="202"/>
      <c r="D414" s="201"/>
      <c r="E414" s="201"/>
      <c r="F414" s="204"/>
    </row>
    <row r="415" spans="2:6" x14ac:dyDescent="0.25">
      <c r="B415" s="201"/>
      <c r="C415" s="202"/>
      <c r="D415" s="201"/>
      <c r="E415" s="201"/>
      <c r="F415" s="204"/>
    </row>
    <row r="416" spans="2:6" x14ac:dyDescent="0.25">
      <c r="B416" s="201"/>
      <c r="C416" s="202"/>
      <c r="D416" s="201"/>
      <c r="E416" s="201"/>
      <c r="F416" s="204"/>
    </row>
    <row r="417" spans="2:6" x14ac:dyDescent="0.25">
      <c r="B417" s="201"/>
      <c r="C417" s="202"/>
      <c r="D417" s="201"/>
      <c r="E417" s="201"/>
      <c r="F417" s="204"/>
    </row>
    <row r="418" spans="2:6" x14ac:dyDescent="0.25">
      <c r="B418" s="201"/>
      <c r="C418" s="202"/>
      <c r="D418" s="201"/>
      <c r="E418" s="201"/>
      <c r="F418" s="204"/>
    </row>
    <row r="419" spans="2:6" x14ac:dyDescent="0.25">
      <c r="B419" s="201"/>
      <c r="C419" s="202"/>
      <c r="D419" s="201"/>
      <c r="E419" s="201"/>
      <c r="F419" s="204"/>
    </row>
    <row r="420" spans="2:6" x14ac:dyDescent="0.25">
      <c r="B420" s="201"/>
      <c r="C420" s="202"/>
      <c r="D420" s="201"/>
      <c r="E420" s="201"/>
      <c r="F420" s="204"/>
    </row>
    <row r="421" spans="2:6" x14ac:dyDescent="0.25">
      <c r="B421" s="201"/>
      <c r="C421" s="202"/>
      <c r="D421" s="201"/>
      <c r="E421" s="201"/>
      <c r="F421" s="204"/>
    </row>
    <row r="422" spans="2:6" x14ac:dyDescent="0.25">
      <c r="B422" s="201"/>
      <c r="C422" s="202"/>
      <c r="D422" s="201"/>
      <c r="E422" s="201"/>
      <c r="F422" s="204"/>
    </row>
    <row r="423" spans="2:6" x14ac:dyDescent="0.25">
      <c r="B423" s="201"/>
      <c r="C423" s="202"/>
      <c r="D423" s="201"/>
      <c r="E423" s="201"/>
      <c r="F423" s="204"/>
    </row>
    <row r="424" spans="2:6" x14ac:dyDescent="0.25">
      <c r="B424" s="201"/>
      <c r="C424" s="202"/>
      <c r="D424" s="201"/>
      <c r="E424" s="201"/>
      <c r="F424" s="204"/>
    </row>
    <row r="425" spans="2:6" x14ac:dyDescent="0.25">
      <c r="B425" s="201"/>
      <c r="C425" s="202"/>
      <c r="D425" s="201"/>
      <c r="E425" s="201"/>
      <c r="F425" s="204"/>
    </row>
    <row r="426" spans="2:6" x14ac:dyDescent="0.25">
      <c r="B426" s="201"/>
      <c r="C426" s="202"/>
      <c r="D426" s="201"/>
      <c r="E426" s="201"/>
      <c r="F426" s="204"/>
    </row>
    <row r="427" spans="2:6" x14ac:dyDescent="0.25">
      <c r="B427" s="201"/>
      <c r="C427" s="202"/>
      <c r="D427" s="201"/>
      <c r="E427" s="201"/>
      <c r="F427" s="204"/>
    </row>
    <row r="428" spans="2:6" x14ac:dyDescent="0.25">
      <c r="B428" s="201"/>
      <c r="C428" s="202"/>
      <c r="D428" s="201"/>
      <c r="E428" s="201"/>
      <c r="F428" s="204"/>
    </row>
    <row r="429" spans="2:6" x14ac:dyDescent="0.25">
      <c r="B429" s="201"/>
      <c r="C429" s="202"/>
      <c r="D429" s="201"/>
      <c r="E429" s="201"/>
      <c r="F429" s="204"/>
    </row>
    <row r="430" spans="2:6" x14ac:dyDescent="0.25">
      <c r="B430" s="201"/>
      <c r="C430" s="202"/>
      <c r="D430" s="201"/>
      <c r="E430" s="201"/>
      <c r="F430" s="204"/>
    </row>
    <row r="431" spans="2:6" x14ac:dyDescent="0.25">
      <c r="B431" s="201"/>
      <c r="C431" s="202"/>
      <c r="D431" s="201"/>
      <c r="E431" s="201"/>
      <c r="F431" s="204"/>
    </row>
    <row r="432" spans="2:6" x14ac:dyDescent="0.25">
      <c r="B432" s="201"/>
      <c r="C432" s="202"/>
      <c r="D432" s="201"/>
      <c r="E432" s="201"/>
      <c r="F432" s="204"/>
    </row>
    <row r="433" spans="2:6" x14ac:dyDescent="0.25">
      <c r="B433" s="201"/>
      <c r="C433" s="202"/>
      <c r="D433" s="201"/>
      <c r="E433" s="201"/>
      <c r="F433" s="204"/>
    </row>
    <row r="434" spans="2:6" x14ac:dyDescent="0.25">
      <c r="B434" s="201"/>
      <c r="C434" s="202"/>
      <c r="D434" s="201"/>
      <c r="E434" s="201"/>
      <c r="F434" s="204"/>
    </row>
    <row r="435" spans="2:6" x14ac:dyDescent="0.25">
      <c r="B435" s="201"/>
      <c r="C435" s="202"/>
      <c r="D435" s="201"/>
      <c r="E435" s="201"/>
      <c r="F435" s="204"/>
    </row>
    <row r="436" spans="2:6" x14ac:dyDescent="0.25">
      <c r="B436" s="201"/>
      <c r="C436" s="202"/>
      <c r="D436" s="201"/>
      <c r="E436" s="201"/>
      <c r="F436" s="204"/>
    </row>
    <row r="437" spans="2:6" x14ac:dyDescent="0.25">
      <c r="B437" s="201"/>
      <c r="C437" s="202"/>
      <c r="D437" s="201"/>
      <c r="E437" s="201"/>
      <c r="F437" s="204"/>
    </row>
    <row r="438" spans="2:6" x14ac:dyDescent="0.25">
      <c r="B438" s="201"/>
      <c r="C438" s="202"/>
      <c r="D438" s="201"/>
      <c r="E438" s="201"/>
      <c r="F438" s="204"/>
    </row>
    <row r="439" spans="2:6" x14ac:dyDescent="0.25">
      <c r="B439" s="201"/>
      <c r="C439" s="202"/>
      <c r="D439" s="201"/>
      <c r="E439" s="201"/>
      <c r="F439" s="204"/>
    </row>
    <row r="440" spans="2:6" x14ac:dyDescent="0.25">
      <c r="B440" s="201"/>
      <c r="C440" s="202"/>
      <c r="D440" s="201"/>
      <c r="E440" s="201"/>
      <c r="F440" s="204"/>
    </row>
    <row r="441" spans="2:6" x14ac:dyDescent="0.25">
      <c r="B441" s="201"/>
      <c r="C441" s="202"/>
      <c r="D441" s="201"/>
      <c r="E441" s="201"/>
      <c r="F441" s="204"/>
    </row>
    <row r="442" spans="2:6" x14ac:dyDescent="0.25">
      <c r="B442" s="201"/>
      <c r="C442" s="202"/>
      <c r="D442" s="201"/>
      <c r="E442" s="201"/>
      <c r="F442" s="204"/>
    </row>
    <row r="443" spans="2:6" x14ac:dyDescent="0.25">
      <c r="B443" s="201"/>
      <c r="C443" s="202"/>
      <c r="D443" s="201"/>
      <c r="E443" s="201"/>
      <c r="F443" s="204"/>
    </row>
    <row r="444" spans="2:6" x14ac:dyDescent="0.25">
      <c r="B444" s="201"/>
      <c r="C444" s="202"/>
      <c r="D444" s="201"/>
      <c r="E444" s="201"/>
      <c r="F444" s="204"/>
    </row>
    <row r="445" spans="2:6" x14ac:dyDescent="0.25">
      <c r="B445" s="201"/>
      <c r="C445" s="202"/>
      <c r="D445" s="201"/>
      <c r="E445" s="201"/>
      <c r="F445" s="204"/>
    </row>
    <row r="446" spans="2:6" x14ac:dyDescent="0.25">
      <c r="B446" s="201"/>
      <c r="C446" s="202"/>
      <c r="D446" s="201"/>
      <c r="E446" s="201"/>
      <c r="F446" s="204"/>
    </row>
    <row r="447" spans="2:6" x14ac:dyDescent="0.25">
      <c r="B447" s="201"/>
      <c r="C447" s="202"/>
      <c r="D447" s="201"/>
      <c r="E447" s="201"/>
      <c r="F447" s="204"/>
    </row>
    <row r="448" spans="2:6" x14ac:dyDescent="0.25">
      <c r="B448" s="201"/>
      <c r="C448" s="202"/>
      <c r="D448" s="201"/>
      <c r="E448" s="201"/>
      <c r="F448" s="204"/>
    </row>
    <row r="449" spans="2:6" x14ac:dyDescent="0.25">
      <c r="B449" s="201"/>
      <c r="C449" s="202"/>
      <c r="D449" s="201"/>
      <c r="E449" s="201"/>
      <c r="F449" s="204"/>
    </row>
    <row r="450" spans="2:6" x14ac:dyDescent="0.25">
      <c r="B450" s="201"/>
      <c r="C450" s="202"/>
      <c r="D450" s="201"/>
      <c r="E450" s="201"/>
      <c r="F450" s="204"/>
    </row>
    <row r="451" spans="2:6" x14ac:dyDescent="0.25">
      <c r="B451" s="201"/>
      <c r="C451" s="202"/>
      <c r="D451" s="201"/>
      <c r="E451" s="201"/>
      <c r="F451" s="204"/>
    </row>
    <row r="452" spans="2:6" x14ac:dyDescent="0.25">
      <c r="B452" s="201"/>
      <c r="C452" s="202"/>
      <c r="D452" s="201"/>
      <c r="E452" s="201"/>
      <c r="F452" s="204"/>
    </row>
    <row r="453" spans="2:6" x14ac:dyDescent="0.25">
      <c r="B453" s="201"/>
      <c r="C453" s="202"/>
      <c r="D453" s="201"/>
      <c r="E453" s="201"/>
      <c r="F453" s="204"/>
    </row>
    <row r="454" spans="2:6" x14ac:dyDescent="0.25">
      <c r="B454" s="201"/>
      <c r="C454" s="202"/>
      <c r="D454" s="201"/>
      <c r="E454" s="201"/>
      <c r="F454" s="204"/>
    </row>
    <row r="455" spans="2:6" x14ac:dyDescent="0.25">
      <c r="B455" s="201"/>
      <c r="C455" s="202"/>
      <c r="D455" s="201"/>
      <c r="E455" s="201"/>
      <c r="F455" s="204"/>
    </row>
    <row r="456" spans="2:6" x14ac:dyDescent="0.25">
      <c r="B456" s="201"/>
      <c r="C456" s="202"/>
      <c r="D456" s="201"/>
      <c r="E456" s="201"/>
      <c r="F456" s="204"/>
    </row>
    <row r="457" spans="2:6" x14ac:dyDescent="0.25">
      <c r="B457" s="201"/>
      <c r="C457" s="202"/>
      <c r="D457" s="201"/>
      <c r="E457" s="201"/>
      <c r="F457" s="204"/>
    </row>
    <row r="458" spans="2:6" x14ac:dyDescent="0.25">
      <c r="B458" s="201"/>
      <c r="C458" s="202"/>
      <c r="D458" s="201"/>
      <c r="E458" s="201"/>
      <c r="F458" s="204"/>
    </row>
    <row r="459" spans="2:6" x14ac:dyDescent="0.25">
      <c r="B459" s="201"/>
      <c r="C459" s="202"/>
      <c r="D459" s="201"/>
      <c r="E459" s="201"/>
      <c r="F459" s="204"/>
    </row>
    <row r="460" spans="2:6" x14ac:dyDescent="0.25">
      <c r="B460" s="201"/>
      <c r="C460" s="202"/>
      <c r="D460" s="201"/>
      <c r="E460" s="201"/>
      <c r="F460" s="204"/>
    </row>
    <row r="461" spans="2:6" x14ac:dyDescent="0.25">
      <c r="B461" s="201"/>
      <c r="C461" s="202"/>
      <c r="D461" s="201"/>
      <c r="E461" s="201"/>
      <c r="F461" s="204"/>
    </row>
    <row r="462" spans="2:6" x14ac:dyDescent="0.25">
      <c r="B462" s="201"/>
      <c r="C462" s="202"/>
      <c r="D462" s="201"/>
      <c r="E462" s="201"/>
      <c r="F462" s="204"/>
    </row>
    <row r="463" spans="2:6" x14ac:dyDescent="0.25">
      <c r="B463" s="201"/>
      <c r="C463" s="202"/>
      <c r="D463" s="201"/>
      <c r="E463" s="201"/>
      <c r="F463" s="204"/>
    </row>
    <row r="464" spans="2:6" x14ac:dyDescent="0.25">
      <c r="B464" s="201"/>
      <c r="C464" s="202"/>
      <c r="D464" s="201"/>
      <c r="E464" s="201"/>
      <c r="F464" s="204"/>
    </row>
    <row r="465" spans="2:6" x14ac:dyDescent="0.25">
      <c r="B465" s="201"/>
      <c r="C465" s="202"/>
      <c r="D465" s="201"/>
      <c r="E465" s="201"/>
      <c r="F465" s="204"/>
    </row>
    <row r="466" spans="2:6" x14ac:dyDescent="0.25">
      <c r="B466" s="201"/>
      <c r="C466" s="202"/>
      <c r="D466" s="201"/>
      <c r="E466" s="201"/>
      <c r="F466" s="204"/>
    </row>
    <row r="467" spans="2:6" x14ac:dyDescent="0.25">
      <c r="B467" s="201"/>
      <c r="C467" s="202"/>
      <c r="D467" s="201"/>
      <c r="E467" s="201"/>
      <c r="F467" s="204"/>
    </row>
    <row r="468" spans="2:6" x14ac:dyDescent="0.25">
      <c r="B468" s="201"/>
      <c r="C468" s="202"/>
      <c r="D468" s="201"/>
      <c r="E468" s="201"/>
      <c r="F468" s="204"/>
    </row>
    <row r="469" spans="2:6" x14ac:dyDescent="0.25">
      <c r="B469" s="201"/>
      <c r="C469" s="202"/>
      <c r="D469" s="201"/>
      <c r="E469" s="201"/>
      <c r="F469" s="204"/>
    </row>
    <row r="470" spans="2:6" x14ac:dyDescent="0.25">
      <c r="B470" s="201"/>
      <c r="C470" s="202"/>
      <c r="D470" s="201"/>
      <c r="E470" s="201"/>
      <c r="F470" s="204"/>
    </row>
    <row r="471" spans="2:6" x14ac:dyDescent="0.25">
      <c r="B471" s="201"/>
      <c r="C471" s="202"/>
      <c r="D471" s="201"/>
      <c r="E471" s="201"/>
      <c r="F471" s="204"/>
    </row>
    <row r="472" spans="2:6" x14ac:dyDescent="0.25">
      <c r="B472" s="201"/>
      <c r="C472" s="202"/>
      <c r="D472" s="201"/>
      <c r="E472" s="201"/>
      <c r="F472" s="204"/>
    </row>
    <row r="473" spans="2:6" x14ac:dyDescent="0.25">
      <c r="B473" s="201"/>
      <c r="C473" s="202"/>
      <c r="D473" s="201"/>
      <c r="E473" s="201"/>
      <c r="F473" s="204"/>
    </row>
    <row r="474" spans="2:6" x14ac:dyDescent="0.25">
      <c r="B474" s="201"/>
      <c r="C474" s="202"/>
      <c r="D474" s="201"/>
      <c r="E474" s="201"/>
      <c r="F474" s="204"/>
    </row>
    <row r="475" spans="2:6" x14ac:dyDescent="0.25">
      <c r="B475" s="201"/>
      <c r="C475" s="202"/>
      <c r="D475" s="201"/>
      <c r="E475" s="201"/>
      <c r="F475" s="204"/>
    </row>
    <row r="476" spans="2:6" x14ac:dyDescent="0.25">
      <c r="B476" s="201"/>
      <c r="C476" s="202"/>
      <c r="D476" s="201"/>
      <c r="E476" s="201"/>
      <c r="F476" s="204"/>
    </row>
    <row r="477" spans="2:6" x14ac:dyDescent="0.25">
      <c r="B477" s="201"/>
      <c r="C477" s="202"/>
      <c r="D477" s="201"/>
      <c r="E477" s="201"/>
      <c r="F477" s="204"/>
    </row>
    <row r="478" spans="2:6" x14ac:dyDescent="0.25">
      <c r="B478" s="201"/>
      <c r="C478" s="202"/>
      <c r="D478" s="201"/>
      <c r="E478" s="201"/>
      <c r="F478" s="204"/>
    </row>
    <row r="479" spans="2:6" x14ac:dyDescent="0.25">
      <c r="B479" s="201"/>
      <c r="C479" s="202"/>
      <c r="D479" s="201"/>
      <c r="E479" s="201"/>
      <c r="F479" s="204"/>
    </row>
    <row r="480" spans="2:6" x14ac:dyDescent="0.25">
      <c r="B480" s="201"/>
      <c r="C480" s="202"/>
      <c r="D480" s="201"/>
      <c r="E480" s="201"/>
      <c r="F480" s="204"/>
    </row>
    <row r="481" spans="2:6" x14ac:dyDescent="0.25">
      <c r="B481" s="201"/>
      <c r="C481" s="202"/>
      <c r="D481" s="201"/>
      <c r="E481" s="201"/>
      <c r="F481" s="204"/>
    </row>
    <row r="482" spans="2:6" x14ac:dyDescent="0.25">
      <c r="B482" s="201"/>
      <c r="C482" s="202"/>
      <c r="D482" s="201"/>
      <c r="E482" s="201"/>
      <c r="F482" s="204"/>
    </row>
    <row r="483" spans="2:6" x14ac:dyDescent="0.25">
      <c r="B483" s="201"/>
      <c r="C483" s="202"/>
      <c r="D483" s="201"/>
      <c r="E483" s="201"/>
      <c r="F483" s="204"/>
    </row>
    <row r="484" spans="2:6" x14ac:dyDescent="0.25">
      <c r="B484" s="201"/>
      <c r="C484" s="202"/>
      <c r="D484" s="201"/>
      <c r="E484" s="201"/>
      <c r="F484" s="204"/>
    </row>
    <row r="485" spans="2:6" x14ac:dyDescent="0.25">
      <c r="B485" s="201"/>
      <c r="C485" s="202"/>
      <c r="D485" s="201"/>
      <c r="E485" s="201"/>
      <c r="F485" s="204"/>
    </row>
    <row r="486" spans="2:6" x14ac:dyDescent="0.25">
      <c r="B486" s="201"/>
      <c r="C486" s="202"/>
      <c r="D486" s="201"/>
      <c r="E486" s="201"/>
      <c r="F486" s="204"/>
    </row>
    <row r="487" spans="2:6" x14ac:dyDescent="0.25">
      <c r="B487" s="201"/>
      <c r="C487" s="202"/>
      <c r="D487" s="201"/>
      <c r="E487" s="201"/>
      <c r="F487" s="204"/>
    </row>
    <row r="488" spans="2:6" x14ac:dyDescent="0.25">
      <c r="B488" s="201"/>
      <c r="C488" s="202"/>
      <c r="D488" s="201"/>
      <c r="E488" s="201"/>
      <c r="F488" s="204"/>
    </row>
    <row r="489" spans="2:6" x14ac:dyDescent="0.25">
      <c r="B489" s="201"/>
      <c r="C489" s="202"/>
      <c r="D489" s="201"/>
      <c r="E489" s="201"/>
      <c r="F489" s="204"/>
    </row>
    <row r="490" spans="2:6" x14ac:dyDescent="0.25">
      <c r="B490" s="201"/>
      <c r="C490" s="202"/>
      <c r="D490" s="201"/>
      <c r="E490" s="201"/>
      <c r="F490" s="204"/>
    </row>
    <row r="491" spans="2:6" x14ac:dyDescent="0.25">
      <c r="B491" s="201"/>
      <c r="C491" s="202"/>
      <c r="D491" s="201"/>
      <c r="E491" s="201"/>
      <c r="F491" s="204"/>
    </row>
    <row r="492" spans="2:6" x14ac:dyDescent="0.25">
      <c r="B492" s="201"/>
      <c r="C492" s="202"/>
      <c r="D492" s="201"/>
      <c r="E492" s="201"/>
      <c r="F492" s="204"/>
    </row>
    <row r="493" spans="2:6" x14ac:dyDescent="0.25">
      <c r="B493" s="201"/>
      <c r="C493" s="202"/>
      <c r="D493" s="201"/>
      <c r="E493" s="201"/>
      <c r="F493" s="204"/>
    </row>
    <row r="494" spans="2:6" x14ac:dyDescent="0.25">
      <c r="B494" s="201"/>
      <c r="C494" s="202"/>
      <c r="D494" s="201"/>
      <c r="E494" s="201"/>
      <c r="F494" s="204"/>
    </row>
    <row r="495" spans="2:6" x14ac:dyDescent="0.25">
      <c r="B495" s="201"/>
      <c r="C495" s="202"/>
      <c r="D495" s="201"/>
      <c r="E495" s="201"/>
      <c r="F495" s="204"/>
    </row>
    <row r="496" spans="2:6" x14ac:dyDescent="0.25">
      <c r="B496" s="201"/>
      <c r="C496" s="202"/>
      <c r="D496" s="201"/>
      <c r="E496" s="201"/>
      <c r="F496" s="204"/>
    </row>
    <row r="497" spans="2:6" x14ac:dyDescent="0.25">
      <c r="B497" s="201"/>
      <c r="C497" s="202"/>
      <c r="D497" s="201"/>
      <c r="E497" s="201"/>
      <c r="F497" s="204"/>
    </row>
    <row r="498" spans="2:6" x14ac:dyDescent="0.25">
      <c r="B498" s="201"/>
      <c r="C498" s="202"/>
      <c r="D498" s="201"/>
      <c r="E498" s="201"/>
      <c r="F498" s="204"/>
    </row>
    <row r="499" spans="2:6" x14ac:dyDescent="0.25">
      <c r="B499" s="201"/>
      <c r="C499" s="202"/>
      <c r="D499" s="201"/>
      <c r="E499" s="201"/>
      <c r="F499" s="204"/>
    </row>
    <row r="500" spans="2:6" x14ac:dyDescent="0.25">
      <c r="B500" s="201"/>
      <c r="C500" s="202"/>
      <c r="D500" s="201"/>
      <c r="E500" s="201"/>
      <c r="F500" s="204"/>
    </row>
    <row r="501" spans="2:6" x14ac:dyDescent="0.25">
      <c r="B501" s="201"/>
      <c r="C501" s="202"/>
      <c r="D501" s="201"/>
      <c r="E501" s="201"/>
      <c r="F501" s="204"/>
    </row>
    <row r="502" spans="2:6" x14ac:dyDescent="0.25">
      <c r="B502" s="201"/>
      <c r="C502" s="202"/>
      <c r="D502" s="201"/>
      <c r="E502" s="201"/>
      <c r="F502" s="204"/>
    </row>
    <row r="503" spans="2:6" x14ac:dyDescent="0.25">
      <c r="B503" s="201"/>
      <c r="C503" s="202"/>
      <c r="D503" s="201"/>
      <c r="E503" s="201"/>
      <c r="F503" s="204"/>
    </row>
    <row r="504" spans="2:6" x14ac:dyDescent="0.25">
      <c r="B504" s="201"/>
      <c r="C504" s="202"/>
      <c r="D504" s="201"/>
      <c r="E504" s="201"/>
      <c r="F504" s="204"/>
    </row>
    <row r="505" spans="2:6" x14ac:dyDescent="0.25">
      <c r="B505" s="201"/>
      <c r="C505" s="202"/>
      <c r="D505" s="201"/>
      <c r="E505" s="201"/>
      <c r="F505" s="204"/>
    </row>
    <row r="506" spans="2:6" x14ac:dyDescent="0.25">
      <c r="B506" s="201"/>
      <c r="C506" s="202"/>
      <c r="D506" s="201"/>
      <c r="E506" s="201"/>
      <c r="F506" s="204"/>
    </row>
    <row r="507" spans="2:6" x14ac:dyDescent="0.25">
      <c r="B507" s="201"/>
      <c r="C507" s="202"/>
      <c r="D507" s="201"/>
      <c r="E507" s="201"/>
      <c r="F507" s="204"/>
    </row>
    <row r="508" spans="2:6" x14ac:dyDescent="0.25">
      <c r="B508" s="201"/>
      <c r="C508" s="202"/>
      <c r="D508" s="201"/>
      <c r="E508" s="201"/>
      <c r="F508" s="204"/>
    </row>
    <row r="509" spans="2:6" x14ac:dyDescent="0.25">
      <c r="B509" s="201"/>
      <c r="C509" s="202"/>
      <c r="D509" s="201"/>
      <c r="E509" s="201"/>
      <c r="F509" s="204"/>
    </row>
    <row r="510" spans="2:6" x14ac:dyDescent="0.25">
      <c r="B510" s="201"/>
      <c r="C510" s="202"/>
      <c r="D510" s="201"/>
      <c r="E510" s="201"/>
      <c r="F510" s="204"/>
    </row>
    <row r="511" spans="2:6" x14ac:dyDescent="0.25">
      <c r="B511" s="201"/>
      <c r="C511" s="202"/>
      <c r="D511" s="201"/>
      <c r="E511" s="201"/>
      <c r="F511" s="204"/>
    </row>
    <row r="512" spans="2:6" x14ac:dyDescent="0.25">
      <c r="B512" s="201"/>
      <c r="C512" s="202"/>
      <c r="D512" s="201"/>
      <c r="E512" s="201"/>
      <c r="F512" s="204"/>
    </row>
    <row r="513" spans="2:6" x14ac:dyDescent="0.25">
      <c r="B513" s="201"/>
      <c r="C513" s="202"/>
      <c r="D513" s="201"/>
      <c r="E513" s="201"/>
      <c r="F513" s="204"/>
    </row>
    <row r="514" spans="2:6" x14ac:dyDescent="0.25">
      <c r="B514" s="201"/>
      <c r="C514" s="202"/>
      <c r="D514" s="201"/>
      <c r="E514" s="201"/>
      <c r="F514" s="204"/>
    </row>
    <row r="515" spans="2:6" x14ac:dyDescent="0.25">
      <c r="B515" s="201"/>
      <c r="C515" s="202"/>
      <c r="D515" s="201"/>
      <c r="E515" s="201"/>
      <c r="F515" s="204"/>
    </row>
    <row r="516" spans="2:6" x14ac:dyDescent="0.25">
      <c r="B516" s="201"/>
      <c r="C516" s="202"/>
      <c r="D516" s="201"/>
      <c r="E516" s="201"/>
      <c r="F516" s="204"/>
    </row>
    <row r="517" spans="2:6" x14ac:dyDescent="0.25">
      <c r="B517" s="201"/>
      <c r="C517" s="202"/>
      <c r="D517" s="201"/>
      <c r="E517" s="201"/>
      <c r="F517" s="204"/>
    </row>
    <row r="518" spans="2:6" x14ac:dyDescent="0.25">
      <c r="B518" s="201"/>
      <c r="C518" s="202"/>
      <c r="D518" s="201"/>
      <c r="E518" s="201"/>
      <c r="F518" s="204"/>
    </row>
    <row r="519" spans="2:6" x14ac:dyDescent="0.25">
      <c r="B519" s="201"/>
      <c r="C519" s="202"/>
      <c r="D519" s="201"/>
      <c r="E519" s="201"/>
      <c r="F519" s="204"/>
    </row>
    <row r="520" spans="2:6" x14ac:dyDescent="0.25">
      <c r="B520" s="201"/>
      <c r="C520" s="202"/>
      <c r="D520" s="201"/>
      <c r="E520" s="201"/>
      <c r="F520" s="204"/>
    </row>
    <row r="521" spans="2:6" x14ac:dyDescent="0.25">
      <c r="B521" s="201"/>
      <c r="C521" s="202"/>
      <c r="D521" s="201"/>
      <c r="E521" s="201"/>
      <c r="F521" s="204"/>
    </row>
    <row r="522" spans="2:6" x14ac:dyDescent="0.25">
      <c r="B522" s="201"/>
      <c r="C522" s="202"/>
      <c r="D522" s="201"/>
      <c r="E522" s="201"/>
      <c r="F522" s="204"/>
    </row>
    <row r="523" spans="2:6" x14ac:dyDescent="0.25">
      <c r="B523" s="201"/>
      <c r="C523" s="202"/>
      <c r="D523" s="201"/>
      <c r="E523" s="201"/>
      <c r="F523" s="204"/>
    </row>
    <row r="524" spans="2:6" x14ac:dyDescent="0.25">
      <c r="B524" s="201"/>
      <c r="C524" s="202"/>
      <c r="D524" s="201"/>
      <c r="E524" s="201"/>
      <c r="F524" s="204"/>
    </row>
    <row r="525" spans="2:6" x14ac:dyDescent="0.25">
      <c r="B525" s="201"/>
      <c r="C525" s="202"/>
      <c r="D525" s="201"/>
      <c r="E525" s="201"/>
      <c r="F525" s="204"/>
    </row>
    <row r="526" spans="2:6" x14ac:dyDescent="0.25">
      <c r="B526" s="201"/>
      <c r="C526" s="202"/>
      <c r="D526" s="201"/>
      <c r="E526" s="201"/>
      <c r="F526" s="204"/>
    </row>
    <row r="527" spans="2:6" x14ac:dyDescent="0.25">
      <c r="B527" s="201"/>
      <c r="C527" s="202"/>
      <c r="D527" s="201"/>
      <c r="E527" s="201"/>
      <c r="F527" s="204"/>
    </row>
    <row r="528" spans="2:6" x14ac:dyDescent="0.25">
      <c r="B528" s="201"/>
      <c r="C528" s="202"/>
      <c r="D528" s="201"/>
      <c r="E528" s="201"/>
      <c r="F528" s="204"/>
    </row>
    <row r="529" spans="2:6" x14ac:dyDescent="0.25">
      <c r="B529" s="201"/>
      <c r="C529" s="202"/>
      <c r="D529" s="201"/>
      <c r="E529" s="201"/>
      <c r="F529" s="204"/>
    </row>
    <row r="530" spans="2:6" x14ac:dyDescent="0.25">
      <c r="B530" s="201"/>
      <c r="C530" s="202"/>
      <c r="D530" s="201"/>
      <c r="E530" s="201"/>
      <c r="F530" s="204"/>
    </row>
    <row r="531" spans="2:6" x14ac:dyDescent="0.25">
      <c r="B531" s="201"/>
      <c r="C531" s="202"/>
      <c r="D531" s="201"/>
      <c r="E531" s="201"/>
      <c r="F531" s="204"/>
    </row>
    <row r="532" spans="2:6" x14ac:dyDescent="0.25">
      <c r="B532" s="201"/>
      <c r="C532" s="202"/>
      <c r="D532" s="201"/>
      <c r="E532" s="201"/>
      <c r="F532" s="204"/>
    </row>
    <row r="533" spans="2:6" x14ac:dyDescent="0.25">
      <c r="B533" s="201"/>
      <c r="C533" s="202"/>
      <c r="D533" s="201"/>
      <c r="E533" s="201"/>
      <c r="F533" s="204"/>
    </row>
    <row r="534" spans="2:6" x14ac:dyDescent="0.25">
      <c r="B534" s="201"/>
      <c r="C534" s="202"/>
      <c r="D534" s="201"/>
      <c r="E534" s="201"/>
      <c r="F534" s="204"/>
    </row>
    <row r="535" spans="2:6" x14ac:dyDescent="0.25">
      <c r="B535" s="201"/>
      <c r="C535" s="202"/>
      <c r="D535" s="201"/>
      <c r="E535" s="201"/>
      <c r="F535" s="204"/>
    </row>
    <row r="536" spans="2:6" x14ac:dyDescent="0.25">
      <c r="B536" s="201"/>
      <c r="C536" s="202"/>
      <c r="D536" s="201"/>
      <c r="E536" s="201"/>
      <c r="F536" s="204"/>
    </row>
    <row r="537" spans="2:6" x14ac:dyDescent="0.25">
      <c r="B537" s="201"/>
      <c r="C537" s="202"/>
      <c r="D537" s="201"/>
      <c r="E537" s="201"/>
      <c r="F537" s="204"/>
    </row>
    <row r="538" spans="2:6" x14ac:dyDescent="0.25">
      <c r="B538" s="201"/>
      <c r="C538" s="202"/>
      <c r="D538" s="201"/>
      <c r="E538" s="201"/>
      <c r="F538" s="204"/>
    </row>
    <row r="539" spans="2:6" x14ac:dyDescent="0.25">
      <c r="B539" s="201"/>
      <c r="C539" s="202"/>
      <c r="D539" s="201"/>
      <c r="E539" s="201"/>
      <c r="F539" s="204"/>
    </row>
    <row r="540" spans="2:6" x14ac:dyDescent="0.25">
      <c r="B540" s="201"/>
      <c r="C540" s="202"/>
      <c r="D540" s="201"/>
      <c r="E540" s="201"/>
      <c r="F540" s="204"/>
    </row>
    <row r="541" spans="2:6" x14ac:dyDescent="0.25">
      <c r="B541" s="201"/>
      <c r="C541" s="202"/>
      <c r="D541" s="201"/>
      <c r="E541" s="201"/>
      <c r="F541" s="204"/>
    </row>
    <row r="542" spans="2:6" x14ac:dyDescent="0.25">
      <c r="B542" s="201"/>
      <c r="C542" s="202"/>
      <c r="D542" s="201"/>
      <c r="E542" s="201"/>
      <c r="F542" s="204"/>
    </row>
    <row r="543" spans="2:6" x14ac:dyDescent="0.25">
      <c r="B543" s="201"/>
      <c r="C543" s="202"/>
      <c r="D543" s="201"/>
      <c r="E543" s="201"/>
      <c r="F543" s="204"/>
    </row>
    <row r="544" spans="2:6" x14ac:dyDescent="0.25">
      <c r="B544" s="201"/>
      <c r="C544" s="202"/>
      <c r="D544" s="201"/>
      <c r="E544" s="201"/>
      <c r="F544" s="204"/>
    </row>
    <row r="545" spans="2:6" x14ac:dyDescent="0.25">
      <c r="B545" s="201"/>
      <c r="C545" s="202"/>
      <c r="D545" s="201"/>
      <c r="E545" s="201"/>
      <c r="F545" s="204"/>
    </row>
    <row r="546" spans="2:6" x14ac:dyDescent="0.25">
      <c r="B546" s="201"/>
      <c r="C546" s="202"/>
      <c r="D546" s="201"/>
      <c r="E546" s="201"/>
      <c r="F546" s="204"/>
    </row>
    <row r="547" spans="2:6" x14ac:dyDescent="0.25">
      <c r="B547" s="201"/>
      <c r="C547" s="202"/>
      <c r="D547" s="201"/>
      <c r="E547" s="201"/>
      <c r="F547" s="204"/>
    </row>
    <row r="548" spans="2:6" x14ac:dyDescent="0.25">
      <c r="B548" s="201"/>
      <c r="C548" s="202"/>
      <c r="D548" s="201"/>
      <c r="E548" s="201"/>
      <c r="F548" s="204"/>
    </row>
    <row r="549" spans="2:6" x14ac:dyDescent="0.25">
      <c r="B549" s="201"/>
      <c r="C549" s="202"/>
      <c r="D549" s="201"/>
      <c r="E549" s="201"/>
      <c r="F549" s="204"/>
    </row>
    <row r="550" spans="2:6" x14ac:dyDescent="0.25">
      <c r="B550" s="201"/>
      <c r="C550" s="202"/>
      <c r="D550" s="201"/>
      <c r="E550" s="201"/>
      <c r="F550" s="204"/>
    </row>
    <row r="551" spans="2:6" x14ac:dyDescent="0.25">
      <c r="B551" s="201"/>
      <c r="C551" s="202"/>
      <c r="D551" s="201"/>
      <c r="E551" s="201"/>
      <c r="F551" s="204"/>
    </row>
    <row r="552" spans="2:6" x14ac:dyDescent="0.25">
      <c r="B552" s="201"/>
      <c r="C552" s="202"/>
      <c r="D552" s="201"/>
      <c r="E552" s="201"/>
      <c r="F552" s="204"/>
    </row>
    <row r="553" spans="2:6" x14ac:dyDescent="0.25">
      <c r="B553" s="201"/>
      <c r="C553" s="202"/>
      <c r="D553" s="201"/>
      <c r="E553" s="201"/>
      <c r="F553" s="204"/>
    </row>
    <row r="554" spans="2:6" x14ac:dyDescent="0.25">
      <c r="B554" s="201"/>
      <c r="C554" s="202"/>
      <c r="D554" s="201"/>
      <c r="E554" s="201"/>
      <c r="F554" s="204"/>
    </row>
    <row r="555" spans="2:6" x14ac:dyDescent="0.25">
      <c r="B555" s="201"/>
      <c r="C555" s="202"/>
      <c r="D555" s="201"/>
      <c r="E555" s="201"/>
      <c r="F555" s="204"/>
    </row>
    <row r="556" spans="2:6" x14ac:dyDescent="0.25">
      <c r="B556" s="201"/>
      <c r="C556" s="202"/>
      <c r="D556" s="201"/>
      <c r="E556" s="201"/>
      <c r="F556" s="204"/>
    </row>
    <row r="557" spans="2:6" x14ac:dyDescent="0.25">
      <c r="B557" s="201"/>
      <c r="C557" s="202"/>
      <c r="D557" s="201"/>
      <c r="E557" s="201"/>
      <c r="F557" s="204"/>
    </row>
    <row r="558" spans="2:6" x14ac:dyDescent="0.25">
      <c r="B558" s="201"/>
      <c r="C558" s="202"/>
      <c r="D558" s="201"/>
      <c r="E558" s="201"/>
      <c r="F558" s="204"/>
    </row>
    <row r="559" spans="2:6" x14ac:dyDescent="0.25">
      <c r="B559" s="201"/>
      <c r="C559" s="202"/>
      <c r="D559" s="201"/>
      <c r="E559" s="201"/>
      <c r="F559" s="204"/>
    </row>
    <row r="560" spans="2:6" x14ac:dyDescent="0.25">
      <c r="B560" s="201"/>
      <c r="C560" s="202"/>
      <c r="D560" s="201"/>
      <c r="E560" s="201"/>
      <c r="F560" s="204"/>
    </row>
    <row r="561" spans="2:6" x14ac:dyDescent="0.25">
      <c r="B561" s="201"/>
      <c r="C561" s="202"/>
      <c r="D561" s="201"/>
      <c r="E561" s="201"/>
      <c r="F561" s="204"/>
    </row>
    <row r="562" spans="2:6" x14ac:dyDescent="0.25">
      <c r="B562" s="201"/>
      <c r="C562" s="202"/>
      <c r="D562" s="201"/>
      <c r="E562" s="201"/>
      <c r="F562" s="204"/>
    </row>
    <row r="563" spans="2:6" x14ac:dyDescent="0.25">
      <c r="B563" s="201"/>
      <c r="C563" s="202"/>
      <c r="D563" s="201"/>
      <c r="E563" s="201"/>
      <c r="F563" s="204"/>
    </row>
    <row r="564" spans="2:6" x14ac:dyDescent="0.25">
      <c r="B564" s="201"/>
      <c r="C564" s="202"/>
      <c r="D564" s="201"/>
      <c r="E564" s="201"/>
      <c r="F564" s="204"/>
    </row>
    <row r="565" spans="2:6" x14ac:dyDescent="0.25">
      <c r="B565" s="201"/>
      <c r="C565" s="202"/>
      <c r="D565" s="201"/>
      <c r="E565" s="201"/>
      <c r="F565" s="204"/>
    </row>
    <row r="566" spans="2:6" x14ac:dyDescent="0.25">
      <c r="B566" s="201"/>
      <c r="C566" s="202"/>
      <c r="D566" s="201"/>
      <c r="E566" s="201"/>
      <c r="F566" s="204"/>
    </row>
    <row r="567" spans="2:6" x14ac:dyDescent="0.25">
      <c r="B567" s="201"/>
      <c r="C567" s="202"/>
      <c r="D567" s="201"/>
      <c r="E567" s="201"/>
      <c r="F567" s="204"/>
    </row>
    <row r="568" spans="2:6" x14ac:dyDescent="0.25">
      <c r="B568" s="201"/>
      <c r="C568" s="202"/>
      <c r="D568" s="201"/>
      <c r="E568" s="201"/>
      <c r="F568" s="204"/>
    </row>
    <row r="569" spans="2:6" x14ac:dyDescent="0.25">
      <c r="B569" s="201"/>
      <c r="C569" s="202"/>
      <c r="D569" s="201"/>
      <c r="E569" s="201"/>
      <c r="F569" s="204"/>
    </row>
    <row r="570" spans="2:6" x14ac:dyDescent="0.25">
      <c r="B570" s="201"/>
      <c r="C570" s="202"/>
      <c r="D570" s="201"/>
      <c r="E570" s="201"/>
      <c r="F570" s="204"/>
    </row>
    <row r="571" spans="2:6" x14ac:dyDescent="0.25">
      <c r="B571" s="201"/>
      <c r="C571" s="202"/>
      <c r="D571" s="201"/>
      <c r="E571" s="201"/>
      <c r="F571" s="204"/>
    </row>
    <row r="572" spans="2:6" x14ac:dyDescent="0.25">
      <c r="B572" s="201"/>
      <c r="C572" s="202"/>
      <c r="D572" s="201"/>
      <c r="E572" s="201"/>
      <c r="F572" s="204"/>
    </row>
    <row r="573" spans="2:6" x14ac:dyDescent="0.25">
      <c r="B573" s="201"/>
      <c r="C573" s="202"/>
      <c r="D573" s="201"/>
      <c r="E573" s="201"/>
      <c r="F573" s="204"/>
    </row>
    <row r="574" spans="2:6" x14ac:dyDescent="0.25">
      <c r="B574" s="201"/>
      <c r="C574" s="202"/>
      <c r="D574" s="201"/>
      <c r="E574" s="201"/>
      <c r="F574" s="204"/>
    </row>
    <row r="575" spans="2:6" x14ac:dyDescent="0.25">
      <c r="B575" s="201"/>
      <c r="C575" s="202"/>
      <c r="D575" s="201"/>
      <c r="E575" s="201"/>
      <c r="F575" s="204"/>
    </row>
    <row r="576" spans="2:6" x14ac:dyDescent="0.25">
      <c r="B576" s="201"/>
      <c r="C576" s="202"/>
      <c r="D576" s="201"/>
      <c r="E576" s="201"/>
      <c r="F576" s="204"/>
    </row>
    <row r="577" spans="2:6" x14ac:dyDescent="0.25">
      <c r="B577" s="201"/>
      <c r="C577" s="202"/>
      <c r="D577" s="201"/>
      <c r="E577" s="201"/>
      <c r="F577" s="204"/>
    </row>
    <row r="578" spans="2:6" x14ac:dyDescent="0.25">
      <c r="B578" s="201"/>
      <c r="C578" s="202"/>
      <c r="D578" s="201"/>
      <c r="E578" s="201"/>
      <c r="F578" s="204"/>
    </row>
    <row r="579" spans="2:6" x14ac:dyDescent="0.25">
      <c r="B579" s="201"/>
      <c r="C579" s="202"/>
      <c r="D579" s="201"/>
      <c r="E579" s="201"/>
      <c r="F579" s="204"/>
    </row>
    <row r="580" spans="2:6" x14ac:dyDescent="0.25">
      <c r="B580" s="201"/>
      <c r="C580" s="202"/>
      <c r="D580" s="201"/>
      <c r="E580" s="201"/>
      <c r="F580" s="204"/>
    </row>
    <row r="581" spans="2:6" x14ac:dyDescent="0.25">
      <c r="B581" s="201"/>
      <c r="C581" s="202"/>
      <c r="D581" s="201"/>
      <c r="E581" s="201"/>
      <c r="F581" s="204"/>
    </row>
    <row r="582" spans="2:6" x14ac:dyDescent="0.25">
      <c r="B582" s="201"/>
      <c r="C582" s="202"/>
      <c r="D582" s="201"/>
      <c r="E582" s="201"/>
      <c r="F582" s="204"/>
    </row>
    <row r="583" spans="2:6" x14ac:dyDescent="0.25">
      <c r="B583" s="201"/>
      <c r="C583" s="202"/>
      <c r="D583" s="201"/>
      <c r="E583" s="201"/>
      <c r="F583" s="204"/>
    </row>
    <row r="584" spans="2:6" x14ac:dyDescent="0.25">
      <c r="B584" s="201"/>
      <c r="C584" s="202"/>
      <c r="D584" s="201"/>
      <c r="E584" s="201"/>
      <c r="F584" s="204"/>
    </row>
    <row r="585" spans="2:6" x14ac:dyDescent="0.25">
      <c r="B585" s="201"/>
      <c r="C585" s="202"/>
      <c r="D585" s="201"/>
      <c r="E585" s="201"/>
      <c r="F585" s="204"/>
    </row>
    <row r="586" spans="2:6" x14ac:dyDescent="0.25">
      <c r="B586" s="201"/>
      <c r="C586" s="202"/>
      <c r="D586" s="201"/>
      <c r="E586" s="201"/>
      <c r="F586" s="204"/>
    </row>
    <row r="587" spans="2:6" x14ac:dyDescent="0.25">
      <c r="B587" s="201"/>
      <c r="C587" s="202"/>
      <c r="D587" s="201"/>
      <c r="E587" s="201"/>
      <c r="F587" s="204"/>
    </row>
    <row r="588" spans="2:6" x14ac:dyDescent="0.25">
      <c r="B588" s="201"/>
      <c r="C588" s="202"/>
      <c r="D588" s="201"/>
      <c r="E588" s="201"/>
      <c r="F588" s="204"/>
    </row>
    <row r="589" spans="2:6" x14ac:dyDescent="0.25">
      <c r="B589" s="201"/>
      <c r="C589" s="202"/>
      <c r="D589" s="201"/>
      <c r="E589" s="201"/>
      <c r="F589" s="204"/>
    </row>
    <row r="590" spans="2:6" x14ac:dyDescent="0.25">
      <c r="B590" s="201"/>
      <c r="C590" s="202"/>
      <c r="D590" s="201"/>
      <c r="E590" s="201"/>
      <c r="F590" s="204"/>
    </row>
    <row r="591" spans="2:6" x14ac:dyDescent="0.25">
      <c r="B591" s="201"/>
      <c r="C591" s="202"/>
      <c r="D591" s="201"/>
      <c r="E591" s="201"/>
      <c r="F591" s="204"/>
    </row>
    <row r="592" spans="2:6" x14ac:dyDescent="0.25">
      <c r="B592" s="201"/>
      <c r="C592" s="202"/>
      <c r="D592" s="201"/>
      <c r="E592" s="201"/>
      <c r="F592" s="204"/>
    </row>
    <row r="593" spans="2:6" x14ac:dyDescent="0.25">
      <c r="B593" s="201"/>
      <c r="C593" s="202"/>
      <c r="D593" s="201"/>
      <c r="E593" s="201"/>
      <c r="F593" s="204"/>
    </row>
    <row r="594" spans="2:6" x14ac:dyDescent="0.25">
      <c r="B594" s="201"/>
      <c r="C594" s="202"/>
      <c r="D594" s="201"/>
      <c r="E594" s="201"/>
      <c r="F594" s="204"/>
    </row>
    <row r="595" spans="2:6" x14ac:dyDescent="0.25">
      <c r="B595" s="201"/>
      <c r="C595" s="202"/>
      <c r="D595" s="201"/>
      <c r="E595" s="201"/>
      <c r="F595" s="204"/>
    </row>
    <row r="596" spans="2:6" x14ac:dyDescent="0.25">
      <c r="B596" s="201"/>
      <c r="C596" s="202"/>
      <c r="D596" s="201"/>
      <c r="E596" s="201"/>
      <c r="F596" s="204"/>
    </row>
    <row r="597" spans="2:6" x14ac:dyDescent="0.25">
      <c r="B597" s="201"/>
      <c r="C597" s="202"/>
      <c r="D597" s="201"/>
      <c r="E597" s="201"/>
      <c r="F597" s="204"/>
    </row>
    <row r="598" spans="2:6" x14ac:dyDescent="0.25">
      <c r="B598" s="201"/>
      <c r="C598" s="202"/>
      <c r="D598" s="201"/>
      <c r="E598" s="201"/>
      <c r="F598" s="204"/>
    </row>
    <row r="599" spans="2:6" x14ac:dyDescent="0.25">
      <c r="B599" s="201"/>
      <c r="C599" s="202"/>
      <c r="D599" s="201"/>
      <c r="E599" s="201"/>
      <c r="F599" s="204"/>
    </row>
    <row r="600" spans="2:6" x14ac:dyDescent="0.25">
      <c r="B600" s="201"/>
      <c r="C600" s="202"/>
      <c r="D600" s="201"/>
      <c r="E600" s="201"/>
      <c r="F600" s="204"/>
    </row>
    <row r="601" spans="2:6" x14ac:dyDescent="0.25">
      <c r="B601" s="201"/>
      <c r="C601" s="202"/>
      <c r="D601" s="201"/>
      <c r="E601" s="201"/>
      <c r="F601" s="204"/>
    </row>
    <row r="602" spans="2:6" x14ac:dyDescent="0.25">
      <c r="B602" s="201"/>
      <c r="C602" s="202"/>
      <c r="D602" s="201"/>
      <c r="E602" s="201"/>
      <c r="F602" s="204"/>
    </row>
    <row r="603" spans="2:6" x14ac:dyDescent="0.25">
      <c r="B603" s="201"/>
      <c r="C603" s="202"/>
      <c r="D603" s="201"/>
      <c r="E603" s="201"/>
      <c r="F603" s="204"/>
    </row>
    <row r="604" spans="2:6" x14ac:dyDescent="0.25">
      <c r="B604" s="201"/>
      <c r="C604" s="202"/>
      <c r="D604" s="201"/>
      <c r="E604" s="201"/>
      <c r="F604" s="204"/>
    </row>
    <row r="605" spans="2:6" x14ac:dyDescent="0.25">
      <c r="B605" s="201"/>
      <c r="C605" s="202"/>
      <c r="D605" s="201"/>
      <c r="E605" s="201"/>
      <c r="F605" s="204"/>
    </row>
    <row r="606" spans="2:6" x14ac:dyDescent="0.25">
      <c r="B606" s="201"/>
      <c r="C606" s="202"/>
      <c r="D606" s="201"/>
      <c r="E606" s="201"/>
      <c r="F606" s="204"/>
    </row>
    <row r="607" spans="2:6" x14ac:dyDescent="0.25">
      <c r="B607" s="201"/>
      <c r="C607" s="202"/>
      <c r="D607" s="201"/>
      <c r="E607" s="201"/>
      <c r="F607" s="204"/>
    </row>
    <row r="608" spans="2:6" x14ac:dyDescent="0.25">
      <c r="B608" s="201"/>
      <c r="C608" s="202"/>
      <c r="D608" s="201"/>
      <c r="E608" s="201"/>
      <c r="F608" s="204"/>
    </row>
    <row r="609" spans="2:6" x14ac:dyDescent="0.25">
      <c r="B609" s="201"/>
      <c r="C609" s="202"/>
      <c r="D609" s="201"/>
      <c r="E609" s="201"/>
      <c r="F609" s="204"/>
    </row>
    <row r="610" spans="2:6" x14ac:dyDescent="0.25">
      <c r="B610" s="201"/>
      <c r="C610" s="202"/>
      <c r="D610" s="201"/>
      <c r="E610" s="201"/>
      <c r="F610" s="204"/>
    </row>
    <row r="611" spans="2:6" x14ac:dyDescent="0.25">
      <c r="B611" s="201"/>
      <c r="C611" s="202"/>
      <c r="D611" s="201"/>
      <c r="E611" s="201"/>
      <c r="F611" s="204"/>
    </row>
    <row r="612" spans="2:6" x14ac:dyDescent="0.25">
      <c r="B612" s="201"/>
      <c r="C612" s="202"/>
      <c r="D612" s="201"/>
      <c r="E612" s="201"/>
      <c r="F612" s="204"/>
    </row>
    <row r="613" spans="2:6" x14ac:dyDescent="0.25">
      <c r="B613" s="201"/>
      <c r="C613" s="202"/>
      <c r="D613" s="201"/>
      <c r="E613" s="201"/>
      <c r="F613" s="204"/>
    </row>
    <row r="614" spans="2:6" x14ac:dyDescent="0.25">
      <c r="B614" s="201"/>
      <c r="C614" s="202"/>
      <c r="D614" s="201"/>
      <c r="E614" s="201"/>
      <c r="F614" s="204"/>
    </row>
    <row r="615" spans="2:6" x14ac:dyDescent="0.25">
      <c r="B615" s="201"/>
      <c r="C615" s="202"/>
      <c r="D615" s="201"/>
      <c r="E615" s="201"/>
      <c r="F615" s="204"/>
    </row>
    <row r="616" spans="2:6" x14ac:dyDescent="0.25">
      <c r="B616" s="201"/>
      <c r="C616" s="202"/>
      <c r="D616" s="201"/>
      <c r="E616" s="201"/>
      <c r="F616" s="204"/>
    </row>
    <row r="617" spans="2:6" x14ac:dyDescent="0.25">
      <c r="B617" s="201"/>
      <c r="C617" s="202"/>
      <c r="D617" s="201"/>
      <c r="E617" s="201"/>
      <c r="F617" s="204"/>
    </row>
    <row r="618" spans="2:6" x14ac:dyDescent="0.25">
      <c r="B618" s="201"/>
      <c r="C618" s="202"/>
      <c r="D618" s="201"/>
      <c r="E618" s="201"/>
      <c r="F618" s="204"/>
    </row>
    <row r="619" spans="2:6" x14ac:dyDescent="0.25">
      <c r="B619" s="201"/>
      <c r="C619" s="202"/>
      <c r="D619" s="201"/>
      <c r="E619" s="201"/>
      <c r="F619" s="204"/>
    </row>
    <row r="620" spans="2:6" x14ac:dyDescent="0.25">
      <c r="B620" s="201"/>
      <c r="C620" s="202"/>
      <c r="D620" s="201"/>
      <c r="E620" s="201"/>
      <c r="F620" s="204"/>
    </row>
    <row r="621" spans="2:6" x14ac:dyDescent="0.25">
      <c r="B621" s="201"/>
      <c r="C621" s="202"/>
      <c r="D621" s="201"/>
      <c r="E621" s="201"/>
      <c r="F621" s="204"/>
    </row>
    <row r="622" spans="2:6" x14ac:dyDescent="0.25">
      <c r="B622" s="201"/>
      <c r="C622" s="202"/>
      <c r="D622" s="201"/>
      <c r="E622" s="201"/>
      <c r="F622" s="204"/>
    </row>
    <row r="623" spans="2:6" x14ac:dyDescent="0.25">
      <c r="B623" s="201"/>
      <c r="C623" s="202"/>
      <c r="D623" s="201"/>
      <c r="E623" s="201"/>
      <c r="F623" s="204"/>
    </row>
    <row r="624" spans="2:6" x14ac:dyDescent="0.25">
      <c r="B624" s="201"/>
      <c r="C624" s="202"/>
      <c r="D624" s="201"/>
      <c r="E624" s="201"/>
      <c r="F624" s="204"/>
    </row>
    <row r="625" spans="2:6" x14ac:dyDescent="0.25">
      <c r="B625" s="201"/>
      <c r="C625" s="202"/>
      <c r="D625" s="201"/>
      <c r="E625" s="201"/>
      <c r="F625" s="204"/>
    </row>
    <row r="626" spans="2:6" x14ac:dyDescent="0.25">
      <c r="B626" s="201"/>
      <c r="C626" s="202"/>
      <c r="D626" s="201"/>
      <c r="E626" s="201"/>
      <c r="F626" s="204"/>
    </row>
    <row r="627" spans="2:6" x14ac:dyDescent="0.25">
      <c r="B627" s="201"/>
      <c r="C627" s="202"/>
      <c r="D627" s="201"/>
      <c r="E627" s="201"/>
      <c r="F627" s="204"/>
    </row>
    <row r="628" spans="2:6" x14ac:dyDescent="0.25">
      <c r="B628" s="201"/>
      <c r="C628" s="202"/>
      <c r="D628" s="201"/>
      <c r="E628" s="201"/>
      <c r="F628" s="204"/>
    </row>
    <row r="629" spans="2:6" x14ac:dyDescent="0.25">
      <c r="B629" s="201"/>
      <c r="C629" s="202"/>
      <c r="D629" s="201"/>
      <c r="E629" s="201"/>
      <c r="F629" s="204"/>
    </row>
    <row r="630" spans="2:6" x14ac:dyDescent="0.25">
      <c r="B630" s="201"/>
      <c r="C630" s="202"/>
      <c r="D630" s="201"/>
      <c r="E630" s="201"/>
      <c r="F630" s="204"/>
    </row>
    <row r="631" spans="2:6" x14ac:dyDescent="0.25">
      <c r="B631" s="201"/>
      <c r="C631" s="202"/>
      <c r="D631" s="201"/>
      <c r="E631" s="201"/>
      <c r="F631" s="204"/>
    </row>
    <row r="632" spans="2:6" x14ac:dyDescent="0.25">
      <c r="B632" s="201"/>
      <c r="C632" s="202"/>
      <c r="D632" s="201"/>
      <c r="E632" s="201"/>
      <c r="F632" s="204"/>
    </row>
    <row r="633" spans="2:6" x14ac:dyDescent="0.25">
      <c r="B633" s="201"/>
      <c r="C633" s="202"/>
      <c r="D633" s="201"/>
      <c r="E633" s="201"/>
      <c r="F633" s="204"/>
    </row>
    <row r="634" spans="2:6" x14ac:dyDescent="0.25">
      <c r="B634" s="201"/>
      <c r="C634" s="202"/>
      <c r="D634" s="201"/>
      <c r="E634" s="201"/>
      <c r="F634" s="204"/>
    </row>
    <row r="635" spans="2:6" x14ac:dyDescent="0.25">
      <c r="B635" s="201"/>
      <c r="C635" s="202"/>
      <c r="D635" s="201"/>
      <c r="E635" s="201"/>
      <c r="F635" s="204"/>
    </row>
    <row r="636" spans="2:6" x14ac:dyDescent="0.25">
      <c r="B636" s="201"/>
      <c r="C636" s="202"/>
      <c r="D636" s="201"/>
      <c r="E636" s="201"/>
      <c r="F636" s="204"/>
    </row>
    <row r="637" spans="2:6" x14ac:dyDescent="0.25">
      <c r="B637" s="201"/>
      <c r="C637" s="202"/>
      <c r="D637" s="201"/>
      <c r="E637" s="201"/>
      <c r="F637" s="204"/>
    </row>
    <row r="638" spans="2:6" x14ac:dyDescent="0.25">
      <c r="B638" s="201"/>
      <c r="C638" s="202"/>
      <c r="D638" s="201"/>
      <c r="E638" s="201"/>
      <c r="F638" s="204"/>
    </row>
    <row r="639" spans="2:6" x14ac:dyDescent="0.25">
      <c r="B639" s="201"/>
      <c r="C639" s="202"/>
      <c r="D639" s="201"/>
      <c r="E639" s="201"/>
      <c r="F639" s="204"/>
    </row>
    <row r="640" spans="2:6" x14ac:dyDescent="0.25">
      <c r="B640" s="201"/>
      <c r="C640" s="202"/>
      <c r="D640" s="201"/>
      <c r="E640" s="201"/>
      <c r="F640" s="204"/>
    </row>
    <row r="641" spans="2:6" x14ac:dyDescent="0.25">
      <c r="B641" s="201"/>
      <c r="C641" s="202"/>
      <c r="D641" s="201"/>
      <c r="E641" s="201"/>
      <c r="F641" s="204"/>
    </row>
    <row r="642" spans="2:6" x14ac:dyDescent="0.25">
      <c r="B642" s="201"/>
      <c r="C642" s="202"/>
      <c r="D642" s="201"/>
      <c r="E642" s="201"/>
      <c r="F642" s="204"/>
    </row>
    <row r="643" spans="2:6" x14ac:dyDescent="0.25">
      <c r="B643" s="201"/>
      <c r="C643" s="202"/>
      <c r="D643" s="201"/>
      <c r="E643" s="201"/>
      <c r="F643" s="204"/>
    </row>
    <row r="644" spans="2:6" x14ac:dyDescent="0.25">
      <c r="B644" s="201"/>
      <c r="C644" s="202"/>
      <c r="D644" s="201"/>
      <c r="E644" s="201"/>
      <c r="F644" s="204"/>
    </row>
    <row r="645" spans="2:6" x14ac:dyDescent="0.25">
      <c r="B645" s="201"/>
      <c r="C645" s="202"/>
      <c r="D645" s="201"/>
      <c r="E645" s="201"/>
      <c r="F645" s="204"/>
    </row>
    <row r="646" spans="2:6" x14ac:dyDescent="0.25">
      <c r="B646" s="201"/>
      <c r="C646" s="202"/>
      <c r="D646" s="201"/>
      <c r="E646" s="201"/>
      <c r="F646" s="204"/>
    </row>
    <row r="647" spans="2:6" x14ac:dyDescent="0.25">
      <c r="B647" s="201"/>
      <c r="C647" s="202"/>
      <c r="D647" s="201"/>
      <c r="E647" s="201"/>
      <c r="F647" s="204"/>
    </row>
    <row r="648" spans="2:6" x14ac:dyDescent="0.25">
      <c r="B648" s="201"/>
      <c r="C648" s="202"/>
      <c r="D648" s="201"/>
      <c r="E648" s="201"/>
      <c r="F648" s="204"/>
    </row>
    <row r="649" spans="2:6" x14ac:dyDescent="0.25">
      <c r="B649" s="201"/>
      <c r="C649" s="202"/>
      <c r="D649" s="201"/>
      <c r="E649" s="201"/>
      <c r="F649" s="204"/>
    </row>
    <row r="650" spans="2:6" x14ac:dyDescent="0.25">
      <c r="B650" s="201"/>
      <c r="C650" s="202"/>
      <c r="D650" s="201"/>
      <c r="E650" s="201"/>
      <c r="F650" s="204"/>
    </row>
    <row r="651" spans="2:6" x14ac:dyDescent="0.25">
      <c r="B651" s="201"/>
      <c r="C651" s="202"/>
      <c r="D651" s="201"/>
      <c r="E651" s="201"/>
      <c r="F651" s="204"/>
    </row>
    <row r="652" spans="2:6" x14ac:dyDescent="0.25">
      <c r="B652" s="201"/>
      <c r="C652" s="202"/>
      <c r="D652" s="201"/>
      <c r="E652" s="201"/>
      <c r="F652" s="204"/>
    </row>
    <row r="653" spans="2:6" x14ac:dyDescent="0.25">
      <c r="B653" s="201"/>
      <c r="C653" s="202"/>
      <c r="D653" s="201"/>
      <c r="E653" s="201"/>
      <c r="F653" s="204"/>
    </row>
    <row r="654" spans="2:6" x14ac:dyDescent="0.25">
      <c r="B654" s="201"/>
      <c r="C654" s="202"/>
      <c r="D654" s="201"/>
      <c r="E654" s="201"/>
      <c r="F654" s="204"/>
    </row>
    <row r="655" spans="2:6" x14ac:dyDescent="0.25">
      <c r="B655" s="201"/>
      <c r="C655" s="202"/>
      <c r="D655" s="201"/>
      <c r="E655" s="201"/>
      <c r="F655" s="204"/>
    </row>
    <row r="656" spans="2:6" x14ac:dyDescent="0.25">
      <c r="B656" s="201"/>
      <c r="C656" s="202"/>
      <c r="D656" s="201"/>
      <c r="E656" s="201"/>
      <c r="F656" s="204"/>
    </row>
    <row r="657" spans="2:6" x14ac:dyDescent="0.25">
      <c r="B657" s="201"/>
      <c r="C657" s="202"/>
      <c r="D657" s="201"/>
      <c r="E657" s="201"/>
      <c r="F657" s="204"/>
    </row>
    <row r="658" spans="2:6" x14ac:dyDescent="0.25">
      <c r="B658" s="201"/>
      <c r="C658" s="202"/>
      <c r="D658" s="201"/>
      <c r="E658" s="201"/>
      <c r="F658" s="204"/>
    </row>
    <row r="659" spans="2:6" x14ac:dyDescent="0.25">
      <c r="B659" s="201"/>
      <c r="C659" s="202"/>
      <c r="D659" s="201"/>
      <c r="E659" s="201"/>
      <c r="F659" s="204"/>
    </row>
    <row r="660" spans="2:6" x14ac:dyDescent="0.25">
      <c r="B660" s="201"/>
      <c r="C660" s="202"/>
      <c r="D660" s="201"/>
      <c r="E660" s="201"/>
      <c r="F660" s="204"/>
    </row>
    <row r="661" spans="2:6" x14ac:dyDescent="0.25">
      <c r="B661" s="201"/>
      <c r="C661" s="202"/>
      <c r="D661" s="201"/>
      <c r="E661" s="201"/>
      <c r="F661" s="204"/>
    </row>
    <row r="662" spans="2:6" x14ac:dyDescent="0.25">
      <c r="B662" s="201"/>
      <c r="C662" s="202"/>
      <c r="D662" s="201"/>
      <c r="E662" s="201"/>
      <c r="F662" s="204"/>
    </row>
    <row r="663" spans="2:6" x14ac:dyDescent="0.25">
      <c r="B663" s="201"/>
      <c r="C663" s="202"/>
      <c r="D663" s="201"/>
      <c r="E663" s="201"/>
      <c r="F663" s="204"/>
    </row>
    <row r="664" spans="2:6" x14ac:dyDescent="0.25">
      <c r="B664" s="201"/>
      <c r="C664" s="202"/>
      <c r="D664" s="201"/>
      <c r="E664" s="201"/>
      <c r="F664" s="204"/>
    </row>
    <row r="665" spans="2:6" x14ac:dyDescent="0.25">
      <c r="B665" s="201"/>
      <c r="C665" s="202"/>
      <c r="D665" s="201"/>
      <c r="E665" s="201"/>
      <c r="F665" s="204"/>
    </row>
    <row r="666" spans="2:6" x14ac:dyDescent="0.25">
      <c r="B666" s="201"/>
      <c r="C666" s="202"/>
      <c r="D666" s="201"/>
      <c r="E666" s="201"/>
      <c r="F666" s="204"/>
    </row>
    <row r="667" spans="2:6" x14ac:dyDescent="0.25">
      <c r="B667" s="201"/>
      <c r="C667" s="202"/>
      <c r="D667" s="201"/>
      <c r="E667" s="201"/>
      <c r="F667" s="204"/>
    </row>
    <row r="668" spans="2:6" x14ac:dyDescent="0.25">
      <c r="B668" s="201"/>
      <c r="C668" s="202"/>
      <c r="D668" s="201"/>
      <c r="E668" s="201"/>
      <c r="F668" s="204"/>
    </row>
    <row r="669" spans="2:6" x14ac:dyDescent="0.25">
      <c r="B669" s="201"/>
      <c r="C669" s="202"/>
      <c r="D669" s="201"/>
      <c r="E669" s="201"/>
      <c r="F669" s="204"/>
    </row>
    <row r="670" spans="2:6" x14ac:dyDescent="0.25">
      <c r="B670" s="201"/>
      <c r="C670" s="202"/>
      <c r="D670" s="201"/>
      <c r="E670" s="201"/>
      <c r="F670" s="204"/>
    </row>
    <row r="671" spans="2:6" x14ac:dyDescent="0.25">
      <c r="B671" s="201"/>
      <c r="C671" s="202"/>
      <c r="D671" s="201"/>
      <c r="E671" s="201"/>
      <c r="F671" s="204"/>
    </row>
    <row r="672" spans="2:6" x14ac:dyDescent="0.25">
      <c r="B672" s="201"/>
      <c r="C672" s="202"/>
      <c r="D672" s="201"/>
      <c r="E672" s="201"/>
      <c r="F672" s="204"/>
    </row>
    <row r="673" spans="2:6" x14ac:dyDescent="0.25">
      <c r="B673" s="201"/>
      <c r="C673" s="202"/>
      <c r="D673" s="201"/>
      <c r="E673" s="201"/>
      <c r="F673" s="204"/>
    </row>
    <row r="674" spans="2:6" x14ac:dyDescent="0.25">
      <c r="B674" s="201"/>
      <c r="C674" s="202"/>
      <c r="D674" s="201"/>
      <c r="E674" s="201"/>
      <c r="F674" s="204"/>
    </row>
    <row r="675" spans="2:6" x14ac:dyDescent="0.25">
      <c r="B675" s="201"/>
      <c r="C675" s="202"/>
      <c r="D675" s="201"/>
      <c r="E675" s="201"/>
      <c r="F675" s="204"/>
    </row>
    <row r="676" spans="2:6" x14ac:dyDescent="0.25">
      <c r="B676" s="201"/>
      <c r="C676" s="202"/>
      <c r="D676" s="201"/>
      <c r="E676" s="201"/>
      <c r="F676" s="204"/>
    </row>
    <row r="677" spans="2:6" x14ac:dyDescent="0.25">
      <c r="B677" s="201"/>
      <c r="C677" s="202"/>
      <c r="D677" s="201"/>
      <c r="E677" s="201"/>
      <c r="F677" s="204"/>
    </row>
    <row r="678" spans="2:6" x14ac:dyDescent="0.25">
      <c r="B678" s="201"/>
      <c r="C678" s="202"/>
      <c r="D678" s="201"/>
      <c r="E678" s="201"/>
      <c r="F678" s="204"/>
    </row>
    <row r="679" spans="2:6" x14ac:dyDescent="0.25">
      <c r="B679" s="201"/>
      <c r="C679" s="202"/>
      <c r="D679" s="201"/>
      <c r="E679" s="201"/>
      <c r="F679" s="204"/>
    </row>
    <row r="680" spans="2:6" x14ac:dyDescent="0.25">
      <c r="B680" s="201"/>
      <c r="C680" s="202"/>
      <c r="D680" s="201"/>
      <c r="E680" s="201"/>
      <c r="F680" s="204"/>
    </row>
    <row r="681" spans="2:6" x14ac:dyDescent="0.25">
      <c r="B681" s="201"/>
      <c r="C681" s="202"/>
      <c r="D681" s="201"/>
      <c r="E681" s="201"/>
      <c r="F681" s="204"/>
    </row>
    <row r="682" spans="2:6" x14ac:dyDescent="0.25">
      <c r="B682" s="201"/>
      <c r="C682" s="202"/>
      <c r="D682" s="201"/>
      <c r="E682" s="201"/>
      <c r="F682" s="204"/>
    </row>
    <row r="683" spans="2:6" x14ac:dyDescent="0.25">
      <c r="B683" s="201"/>
      <c r="C683" s="202"/>
      <c r="D683" s="201"/>
      <c r="E683" s="201"/>
      <c r="F683" s="204"/>
    </row>
    <row r="684" spans="2:6" x14ac:dyDescent="0.25">
      <c r="B684" s="201"/>
      <c r="C684" s="202"/>
      <c r="D684" s="201"/>
      <c r="E684" s="201"/>
      <c r="F684" s="204"/>
    </row>
    <row r="685" spans="2:6" x14ac:dyDescent="0.25">
      <c r="B685" s="201"/>
      <c r="C685" s="202"/>
      <c r="D685" s="201"/>
      <c r="E685" s="201"/>
      <c r="F685" s="204"/>
    </row>
    <row r="686" spans="2:6" x14ac:dyDescent="0.25">
      <c r="B686" s="201"/>
      <c r="C686" s="202"/>
      <c r="D686" s="201"/>
      <c r="E686" s="201"/>
      <c r="F686" s="204"/>
    </row>
    <row r="687" spans="2:6" x14ac:dyDescent="0.25">
      <c r="B687" s="201"/>
      <c r="C687" s="202"/>
      <c r="D687" s="201"/>
      <c r="E687" s="201"/>
      <c r="F687" s="204"/>
    </row>
    <row r="688" spans="2:6" x14ac:dyDescent="0.25">
      <c r="B688" s="201"/>
      <c r="C688" s="202"/>
      <c r="D688" s="201"/>
      <c r="E688" s="201"/>
      <c r="F688" s="204"/>
    </row>
    <row r="689" spans="2:6" x14ac:dyDescent="0.25">
      <c r="B689" s="201"/>
      <c r="C689" s="202"/>
      <c r="D689" s="201"/>
      <c r="E689" s="201"/>
      <c r="F689" s="204"/>
    </row>
    <row r="690" spans="2:6" x14ac:dyDescent="0.25">
      <c r="B690" s="201"/>
      <c r="C690" s="202"/>
      <c r="D690" s="201"/>
      <c r="E690" s="201"/>
      <c r="F690" s="204"/>
    </row>
    <row r="691" spans="2:6" x14ac:dyDescent="0.25">
      <c r="B691" s="201"/>
      <c r="C691" s="202"/>
      <c r="D691" s="201"/>
      <c r="E691" s="201"/>
      <c r="F691" s="204"/>
    </row>
    <row r="692" spans="2:6" x14ac:dyDescent="0.25">
      <c r="B692" s="201"/>
      <c r="C692" s="202"/>
      <c r="D692" s="201"/>
      <c r="E692" s="201"/>
      <c r="F692" s="204"/>
    </row>
    <row r="693" spans="2:6" x14ac:dyDescent="0.25">
      <c r="B693" s="201"/>
      <c r="C693" s="202"/>
      <c r="D693" s="201"/>
      <c r="E693" s="201"/>
      <c r="F693" s="204"/>
    </row>
    <row r="694" spans="2:6" x14ac:dyDescent="0.25">
      <c r="B694" s="201"/>
      <c r="C694" s="202"/>
      <c r="D694" s="201"/>
      <c r="E694" s="201"/>
      <c r="F694" s="204"/>
    </row>
    <row r="695" spans="2:6" x14ac:dyDescent="0.25">
      <c r="B695" s="201"/>
      <c r="C695" s="202"/>
      <c r="D695" s="201"/>
      <c r="E695" s="201"/>
      <c r="F695" s="204"/>
    </row>
    <row r="696" spans="2:6" x14ac:dyDescent="0.25">
      <c r="B696" s="201"/>
      <c r="C696" s="202"/>
      <c r="D696" s="201"/>
      <c r="E696" s="201"/>
      <c r="F696" s="204"/>
    </row>
    <row r="697" spans="2:6" x14ac:dyDescent="0.25">
      <c r="B697" s="201"/>
      <c r="C697" s="202"/>
      <c r="D697" s="201"/>
      <c r="E697" s="201"/>
      <c r="F697" s="204"/>
    </row>
    <row r="698" spans="2:6" x14ac:dyDescent="0.25">
      <c r="B698" s="201"/>
      <c r="C698" s="202"/>
      <c r="D698" s="201"/>
      <c r="E698" s="201"/>
      <c r="F698" s="204"/>
    </row>
    <row r="699" spans="2:6" x14ac:dyDescent="0.25">
      <c r="B699" s="201"/>
      <c r="C699" s="202"/>
      <c r="D699" s="201"/>
      <c r="E699" s="201"/>
      <c r="F699" s="204"/>
    </row>
    <row r="700" spans="2:6" x14ac:dyDescent="0.25">
      <c r="B700" s="201"/>
      <c r="C700" s="202"/>
      <c r="D700" s="201"/>
      <c r="E700" s="201"/>
      <c r="F700" s="204"/>
    </row>
    <row r="701" spans="2:6" x14ac:dyDescent="0.25">
      <c r="B701" s="201"/>
      <c r="C701" s="202"/>
      <c r="D701" s="201"/>
      <c r="E701" s="201"/>
      <c r="F701" s="204"/>
    </row>
    <row r="702" spans="2:6" x14ac:dyDescent="0.25">
      <c r="B702" s="201"/>
      <c r="C702" s="202"/>
      <c r="D702" s="201"/>
      <c r="E702" s="201"/>
      <c r="F702" s="204"/>
    </row>
    <row r="703" spans="2:6" x14ac:dyDescent="0.25">
      <c r="B703" s="201"/>
      <c r="C703" s="202"/>
      <c r="D703" s="201"/>
      <c r="E703" s="201"/>
      <c r="F703" s="204"/>
    </row>
    <row r="704" spans="2:6" x14ac:dyDescent="0.25">
      <c r="B704" s="201"/>
      <c r="C704" s="202"/>
      <c r="D704" s="201"/>
      <c r="E704" s="201"/>
      <c r="F704" s="204"/>
    </row>
    <row r="705" spans="2:6" x14ac:dyDescent="0.25">
      <c r="B705" s="201"/>
      <c r="C705" s="202"/>
      <c r="D705" s="201"/>
      <c r="E705" s="201"/>
      <c r="F705" s="204"/>
    </row>
    <row r="706" spans="2:6" x14ac:dyDescent="0.25">
      <c r="B706" s="201"/>
      <c r="C706" s="202"/>
      <c r="D706" s="201"/>
      <c r="E706" s="201"/>
      <c r="F706" s="204"/>
    </row>
    <row r="707" spans="2:6" x14ac:dyDescent="0.25">
      <c r="B707" s="201"/>
      <c r="C707" s="202"/>
      <c r="D707" s="201"/>
      <c r="E707" s="201"/>
      <c r="F707" s="204"/>
    </row>
    <row r="708" spans="2:6" x14ac:dyDescent="0.25">
      <c r="B708" s="201"/>
      <c r="C708" s="202"/>
      <c r="D708" s="201"/>
      <c r="E708" s="201"/>
      <c r="F708" s="204"/>
    </row>
    <row r="709" spans="2:6" x14ac:dyDescent="0.25">
      <c r="B709" s="201"/>
      <c r="C709" s="202"/>
      <c r="D709" s="201"/>
      <c r="E709" s="201"/>
      <c r="F709" s="204"/>
    </row>
    <row r="710" spans="2:6" x14ac:dyDescent="0.25">
      <c r="B710" s="201"/>
      <c r="C710" s="202"/>
      <c r="D710" s="201"/>
      <c r="E710" s="201"/>
      <c r="F710" s="204"/>
    </row>
    <row r="711" spans="2:6" x14ac:dyDescent="0.25">
      <c r="B711" s="201"/>
      <c r="C711" s="202"/>
      <c r="D711" s="201"/>
      <c r="E711" s="201"/>
      <c r="F711" s="204"/>
    </row>
    <row r="712" spans="2:6" x14ac:dyDescent="0.25">
      <c r="B712" s="201"/>
      <c r="C712" s="202"/>
      <c r="D712" s="201"/>
      <c r="E712" s="201"/>
      <c r="F712" s="204"/>
    </row>
    <row r="713" spans="2:6" x14ac:dyDescent="0.25">
      <c r="B713" s="201"/>
      <c r="C713" s="202"/>
      <c r="D713" s="201"/>
      <c r="E713" s="201"/>
      <c r="F713" s="204"/>
    </row>
    <row r="714" spans="2:6" x14ac:dyDescent="0.25">
      <c r="B714" s="201"/>
      <c r="C714" s="202"/>
      <c r="D714" s="201"/>
      <c r="E714" s="201"/>
      <c r="F714" s="204"/>
    </row>
    <row r="715" spans="2:6" x14ac:dyDescent="0.25">
      <c r="B715" s="201"/>
      <c r="C715" s="202"/>
      <c r="D715" s="201"/>
      <c r="E715" s="201"/>
      <c r="F715" s="204"/>
    </row>
    <row r="716" spans="2:6" x14ac:dyDescent="0.25">
      <c r="B716" s="201"/>
      <c r="C716" s="202"/>
      <c r="D716" s="201"/>
      <c r="E716" s="201"/>
      <c r="F716" s="204"/>
    </row>
    <row r="717" spans="2:6" x14ac:dyDescent="0.25">
      <c r="B717" s="201"/>
      <c r="C717" s="202"/>
      <c r="D717" s="201"/>
      <c r="E717" s="201"/>
      <c r="F717" s="204"/>
    </row>
    <row r="718" spans="2:6" x14ac:dyDescent="0.25">
      <c r="B718" s="201"/>
      <c r="C718" s="202"/>
      <c r="D718" s="201"/>
      <c r="E718" s="201"/>
      <c r="F718" s="204"/>
    </row>
    <row r="719" spans="2:6" x14ac:dyDescent="0.25">
      <c r="B719" s="201"/>
      <c r="C719" s="202"/>
      <c r="D719" s="201"/>
      <c r="E719" s="201"/>
      <c r="F719" s="204"/>
    </row>
    <row r="720" spans="2:6" x14ac:dyDescent="0.25">
      <c r="B720" s="201"/>
      <c r="C720" s="202"/>
      <c r="D720" s="201"/>
      <c r="E720" s="201"/>
      <c r="F720" s="204"/>
    </row>
    <row r="721" spans="2:6" x14ac:dyDescent="0.25">
      <c r="B721" s="201"/>
      <c r="C721" s="202"/>
      <c r="D721" s="201"/>
      <c r="E721" s="201"/>
      <c r="F721" s="204"/>
    </row>
    <row r="722" spans="2:6" x14ac:dyDescent="0.25">
      <c r="B722" s="201"/>
      <c r="C722" s="202"/>
      <c r="D722" s="201"/>
      <c r="E722" s="201"/>
      <c r="F722" s="204"/>
    </row>
    <row r="723" spans="2:6" x14ac:dyDescent="0.25">
      <c r="B723" s="201"/>
      <c r="C723" s="202"/>
      <c r="D723" s="201"/>
      <c r="E723" s="201"/>
      <c r="F723" s="204"/>
    </row>
    <row r="724" spans="2:6" x14ac:dyDescent="0.25">
      <c r="B724" s="201"/>
      <c r="C724" s="202"/>
      <c r="D724" s="201"/>
      <c r="E724" s="201"/>
      <c r="F724" s="204"/>
    </row>
    <row r="725" spans="2:6" x14ac:dyDescent="0.25">
      <c r="B725" s="201"/>
      <c r="C725" s="202"/>
      <c r="D725" s="201"/>
      <c r="E725" s="201"/>
      <c r="F725" s="204"/>
    </row>
    <row r="726" spans="2:6" x14ac:dyDescent="0.25">
      <c r="B726" s="201"/>
      <c r="C726" s="202"/>
      <c r="D726" s="201"/>
      <c r="E726" s="201"/>
      <c r="F726" s="204"/>
    </row>
    <row r="727" spans="2:6" x14ac:dyDescent="0.25">
      <c r="B727" s="201"/>
      <c r="C727" s="202"/>
      <c r="D727" s="201"/>
      <c r="E727" s="201"/>
      <c r="F727" s="204"/>
    </row>
    <row r="728" spans="2:6" x14ac:dyDescent="0.25">
      <c r="B728" s="201"/>
      <c r="C728" s="202"/>
      <c r="D728" s="201"/>
      <c r="E728" s="201"/>
      <c r="F728" s="204"/>
    </row>
    <row r="729" spans="2:6" x14ac:dyDescent="0.25">
      <c r="B729" s="201"/>
      <c r="C729" s="202"/>
      <c r="D729" s="201"/>
      <c r="E729" s="201"/>
      <c r="F729" s="204"/>
    </row>
    <row r="730" spans="2:6" x14ac:dyDescent="0.25">
      <c r="B730" s="201"/>
      <c r="C730" s="202"/>
      <c r="D730" s="201"/>
      <c r="E730" s="201"/>
      <c r="F730" s="204"/>
    </row>
    <row r="731" spans="2:6" x14ac:dyDescent="0.25">
      <c r="B731" s="201"/>
      <c r="C731" s="202"/>
      <c r="D731" s="201"/>
      <c r="E731" s="201"/>
      <c r="F731" s="204"/>
    </row>
    <row r="732" spans="2:6" x14ac:dyDescent="0.25">
      <c r="B732" s="201"/>
      <c r="C732" s="202"/>
      <c r="D732" s="201"/>
      <c r="E732" s="201"/>
      <c r="F732" s="204"/>
    </row>
    <row r="733" spans="2:6" x14ac:dyDescent="0.25">
      <c r="B733" s="201"/>
      <c r="C733" s="202"/>
      <c r="D733" s="201"/>
      <c r="E733" s="201"/>
      <c r="F733" s="204"/>
    </row>
    <row r="734" spans="2:6" x14ac:dyDescent="0.25">
      <c r="B734" s="201"/>
      <c r="C734" s="202"/>
      <c r="D734" s="201"/>
      <c r="E734" s="201"/>
      <c r="F734" s="204"/>
    </row>
    <row r="735" spans="2:6" x14ac:dyDescent="0.25">
      <c r="B735" s="201"/>
      <c r="C735" s="202"/>
      <c r="D735" s="201"/>
      <c r="E735" s="201"/>
      <c r="F735" s="204"/>
    </row>
    <row r="736" spans="2:6" x14ac:dyDescent="0.25">
      <c r="B736" s="201"/>
      <c r="C736" s="202"/>
      <c r="D736" s="201"/>
      <c r="E736" s="201"/>
      <c r="F736" s="204"/>
    </row>
    <row r="737" spans="2:6" x14ac:dyDescent="0.25">
      <c r="B737" s="201"/>
      <c r="C737" s="202"/>
      <c r="D737" s="201"/>
      <c r="E737" s="201"/>
      <c r="F737" s="204"/>
    </row>
    <row r="738" spans="2:6" x14ac:dyDescent="0.25">
      <c r="B738" s="201"/>
      <c r="C738" s="202"/>
      <c r="D738" s="201"/>
      <c r="E738" s="201"/>
      <c r="F738" s="204"/>
    </row>
    <row r="739" spans="2:6" x14ac:dyDescent="0.25">
      <c r="B739" s="201"/>
      <c r="C739" s="202"/>
      <c r="D739" s="201"/>
      <c r="E739" s="201"/>
      <c r="F739" s="204"/>
    </row>
    <row r="740" spans="2:6" x14ac:dyDescent="0.25">
      <c r="B740" s="201"/>
      <c r="C740" s="202"/>
      <c r="D740" s="201"/>
      <c r="E740" s="201"/>
      <c r="F740" s="204"/>
    </row>
    <row r="741" spans="2:6" x14ac:dyDescent="0.25">
      <c r="B741" s="201"/>
      <c r="C741" s="202"/>
      <c r="D741" s="201"/>
      <c r="E741" s="201"/>
      <c r="F741" s="204"/>
    </row>
    <row r="742" spans="2:6" x14ac:dyDescent="0.25">
      <c r="B742" s="201"/>
      <c r="C742" s="202"/>
      <c r="D742" s="201"/>
      <c r="E742" s="201"/>
      <c r="F742" s="204"/>
    </row>
    <row r="743" spans="2:6" x14ac:dyDescent="0.25">
      <c r="B743" s="201"/>
      <c r="C743" s="202"/>
      <c r="D743" s="201"/>
      <c r="E743" s="201"/>
      <c r="F743" s="204"/>
    </row>
    <row r="744" spans="2:6" x14ac:dyDescent="0.25">
      <c r="B744" s="201"/>
      <c r="C744" s="202"/>
      <c r="D744" s="201"/>
      <c r="E744" s="201"/>
      <c r="F744" s="204"/>
    </row>
    <row r="745" spans="2:6" x14ac:dyDescent="0.25">
      <c r="B745" s="201"/>
      <c r="C745" s="202"/>
      <c r="D745" s="201"/>
      <c r="E745" s="201"/>
      <c r="F745" s="204"/>
    </row>
    <row r="746" spans="2:6" x14ac:dyDescent="0.25">
      <c r="B746" s="201"/>
      <c r="C746" s="202"/>
      <c r="D746" s="201"/>
      <c r="E746" s="201"/>
      <c r="F746" s="204"/>
    </row>
    <row r="747" spans="2:6" x14ac:dyDescent="0.25">
      <c r="B747" s="201"/>
      <c r="C747" s="202"/>
      <c r="D747" s="201"/>
      <c r="E747" s="201"/>
      <c r="F747" s="204"/>
    </row>
    <row r="748" spans="2:6" x14ac:dyDescent="0.25">
      <c r="B748" s="201"/>
      <c r="C748" s="202"/>
      <c r="D748" s="201"/>
      <c r="E748" s="201"/>
      <c r="F748" s="204"/>
    </row>
    <row r="749" spans="2:6" x14ac:dyDescent="0.25">
      <c r="B749" s="201"/>
      <c r="C749" s="202"/>
      <c r="D749" s="201"/>
      <c r="E749" s="201"/>
      <c r="F749" s="204"/>
    </row>
    <row r="750" spans="2:6" x14ac:dyDescent="0.25">
      <c r="B750" s="201"/>
      <c r="C750" s="202"/>
      <c r="D750" s="201"/>
      <c r="E750" s="201"/>
      <c r="F750" s="204"/>
    </row>
    <row r="751" spans="2:6" x14ac:dyDescent="0.25">
      <c r="B751" s="201"/>
      <c r="C751" s="202"/>
      <c r="D751" s="201"/>
      <c r="E751" s="201"/>
      <c r="F751" s="204"/>
    </row>
    <row r="752" spans="2:6" x14ac:dyDescent="0.25">
      <c r="B752" s="201"/>
      <c r="C752" s="202"/>
      <c r="D752" s="201"/>
      <c r="E752" s="201"/>
      <c r="F752" s="204"/>
    </row>
    <row r="753" spans="2:6" x14ac:dyDescent="0.25">
      <c r="B753" s="201"/>
      <c r="C753" s="202"/>
      <c r="D753" s="201"/>
      <c r="E753" s="201"/>
      <c r="F753" s="204"/>
    </row>
    <row r="754" spans="2:6" x14ac:dyDescent="0.25">
      <c r="B754" s="201"/>
      <c r="C754" s="202"/>
      <c r="D754" s="201"/>
      <c r="E754" s="201"/>
      <c r="F754" s="204"/>
    </row>
    <row r="755" spans="2:6" x14ac:dyDescent="0.25">
      <c r="B755" s="201"/>
      <c r="C755" s="202"/>
      <c r="D755" s="201"/>
      <c r="E755" s="201"/>
      <c r="F755" s="204"/>
    </row>
    <row r="756" spans="2:6" x14ac:dyDescent="0.25">
      <c r="B756" s="201"/>
      <c r="C756" s="202"/>
      <c r="D756" s="201"/>
      <c r="E756" s="201"/>
      <c r="F756" s="204"/>
    </row>
    <row r="757" spans="2:6" x14ac:dyDescent="0.25">
      <c r="B757" s="201"/>
      <c r="C757" s="202"/>
      <c r="D757" s="201"/>
      <c r="E757" s="201"/>
      <c r="F757" s="204"/>
    </row>
    <row r="758" spans="2:6" x14ac:dyDescent="0.25">
      <c r="B758" s="201"/>
      <c r="C758" s="202"/>
      <c r="D758" s="201"/>
      <c r="E758" s="201"/>
      <c r="F758" s="204"/>
    </row>
    <row r="759" spans="2:6" x14ac:dyDescent="0.25">
      <c r="B759" s="201"/>
      <c r="C759" s="202"/>
      <c r="D759" s="201"/>
      <c r="E759" s="201"/>
      <c r="F759" s="204"/>
    </row>
    <row r="760" spans="2:6" x14ac:dyDescent="0.25">
      <c r="B760" s="201"/>
      <c r="C760" s="202"/>
      <c r="D760" s="201"/>
      <c r="E760" s="201"/>
      <c r="F760" s="204"/>
    </row>
    <row r="761" spans="2:6" x14ac:dyDescent="0.25">
      <c r="B761" s="201"/>
      <c r="C761" s="202"/>
      <c r="D761" s="201"/>
      <c r="E761" s="201"/>
      <c r="F761" s="204"/>
    </row>
    <row r="762" spans="2:6" x14ac:dyDescent="0.25">
      <c r="B762" s="201"/>
      <c r="C762" s="202"/>
      <c r="D762" s="201"/>
      <c r="E762" s="201"/>
      <c r="F762" s="204"/>
    </row>
    <row r="763" spans="2:6" x14ac:dyDescent="0.25">
      <c r="B763" s="201"/>
      <c r="C763" s="202"/>
      <c r="D763" s="201"/>
      <c r="E763" s="201"/>
      <c r="F763" s="204"/>
    </row>
    <row r="764" spans="2:6" x14ac:dyDescent="0.25">
      <c r="B764" s="201"/>
      <c r="C764" s="202"/>
      <c r="D764" s="201"/>
      <c r="E764" s="201"/>
      <c r="F764" s="204"/>
    </row>
    <row r="765" spans="2:6" x14ac:dyDescent="0.25">
      <c r="B765" s="201"/>
      <c r="C765" s="202"/>
      <c r="D765" s="201"/>
      <c r="E765" s="201"/>
      <c r="F765" s="204"/>
    </row>
    <row r="766" spans="2:6" x14ac:dyDescent="0.25">
      <c r="B766" s="201"/>
      <c r="C766" s="202"/>
      <c r="D766" s="201"/>
      <c r="E766" s="201"/>
      <c r="F766" s="204"/>
    </row>
    <row r="767" spans="2:6" x14ac:dyDescent="0.25">
      <c r="B767" s="201"/>
      <c r="C767" s="202"/>
      <c r="D767" s="201"/>
      <c r="E767" s="201"/>
      <c r="F767" s="204"/>
    </row>
    <row r="768" spans="2:6" x14ac:dyDescent="0.25">
      <c r="B768" s="201"/>
      <c r="C768" s="202"/>
      <c r="D768" s="201"/>
      <c r="E768" s="201"/>
      <c r="F768" s="204"/>
    </row>
    <row r="769" spans="2:6" x14ac:dyDescent="0.25">
      <c r="B769" s="201"/>
      <c r="C769" s="202"/>
      <c r="D769" s="201"/>
      <c r="E769" s="201"/>
      <c r="F769" s="204"/>
    </row>
    <row r="770" spans="2:6" x14ac:dyDescent="0.25">
      <c r="B770" s="201"/>
      <c r="C770" s="202"/>
      <c r="D770" s="201"/>
      <c r="E770" s="201"/>
      <c r="F770" s="204"/>
    </row>
    <row r="771" spans="2:6" x14ac:dyDescent="0.25">
      <c r="B771" s="201"/>
      <c r="C771" s="202"/>
      <c r="D771" s="201"/>
      <c r="E771" s="201"/>
      <c r="F771" s="204"/>
    </row>
    <row r="772" spans="2:6" x14ac:dyDescent="0.25">
      <c r="B772" s="201"/>
      <c r="C772" s="202"/>
      <c r="D772" s="201"/>
      <c r="E772" s="201"/>
      <c r="F772" s="204"/>
    </row>
    <row r="773" spans="2:6" x14ac:dyDescent="0.25">
      <c r="B773" s="201"/>
      <c r="C773" s="202"/>
      <c r="D773" s="201"/>
      <c r="E773" s="201"/>
      <c r="F773" s="204"/>
    </row>
    <row r="774" spans="2:6" x14ac:dyDescent="0.25">
      <c r="B774" s="201"/>
      <c r="C774" s="202"/>
      <c r="D774" s="201"/>
      <c r="E774" s="201"/>
      <c r="F774" s="204"/>
    </row>
    <row r="775" spans="2:6" x14ac:dyDescent="0.25">
      <c r="B775" s="201"/>
      <c r="C775" s="202"/>
      <c r="D775" s="201"/>
      <c r="E775" s="201"/>
      <c r="F775" s="204"/>
    </row>
    <row r="776" spans="2:6" x14ac:dyDescent="0.25">
      <c r="B776" s="201"/>
      <c r="C776" s="202"/>
      <c r="D776" s="201"/>
      <c r="E776" s="201"/>
      <c r="F776" s="204"/>
    </row>
    <row r="777" spans="2:6" x14ac:dyDescent="0.25">
      <c r="B777" s="201"/>
      <c r="C777" s="202"/>
      <c r="D777" s="201"/>
      <c r="E777" s="201"/>
      <c r="F777" s="204"/>
    </row>
    <row r="778" spans="2:6" x14ac:dyDescent="0.25">
      <c r="B778" s="201"/>
      <c r="C778" s="202"/>
      <c r="D778" s="201"/>
      <c r="E778" s="201"/>
      <c r="F778" s="204"/>
    </row>
    <row r="779" spans="2:6" x14ac:dyDescent="0.25">
      <c r="B779" s="201"/>
      <c r="C779" s="202"/>
      <c r="D779" s="201"/>
      <c r="E779" s="201"/>
      <c r="F779" s="204"/>
    </row>
    <row r="780" spans="2:6" x14ac:dyDescent="0.25">
      <c r="B780" s="201"/>
      <c r="C780" s="202"/>
      <c r="D780" s="201"/>
      <c r="E780" s="201"/>
      <c r="F780" s="204"/>
    </row>
    <row r="781" spans="2:6" x14ac:dyDescent="0.25">
      <c r="B781" s="201"/>
      <c r="C781" s="202"/>
      <c r="D781" s="201"/>
      <c r="E781" s="201"/>
      <c r="F781" s="204"/>
    </row>
    <row r="782" spans="2:6" x14ac:dyDescent="0.25">
      <c r="B782" s="201"/>
      <c r="C782" s="202"/>
      <c r="D782" s="201"/>
      <c r="E782" s="201"/>
      <c r="F782" s="204"/>
    </row>
    <row r="783" spans="2:6" x14ac:dyDescent="0.25">
      <c r="B783" s="201"/>
      <c r="C783" s="202"/>
      <c r="D783" s="201"/>
      <c r="E783" s="201"/>
      <c r="F783" s="204"/>
    </row>
    <row r="784" spans="2:6" x14ac:dyDescent="0.25">
      <c r="B784" s="201"/>
      <c r="C784" s="202"/>
      <c r="D784" s="201"/>
      <c r="E784" s="201"/>
      <c r="F784" s="204"/>
    </row>
    <row r="785" spans="2:6" x14ac:dyDescent="0.25">
      <c r="B785" s="201"/>
      <c r="C785" s="202"/>
      <c r="D785" s="201"/>
      <c r="E785" s="201"/>
      <c r="F785" s="204"/>
    </row>
    <row r="786" spans="2:6" x14ac:dyDescent="0.25">
      <c r="B786" s="201"/>
      <c r="C786" s="202"/>
      <c r="D786" s="201"/>
      <c r="E786" s="201"/>
      <c r="F786" s="204"/>
    </row>
    <row r="787" spans="2:6" x14ac:dyDescent="0.25">
      <c r="B787" s="201"/>
      <c r="C787" s="202"/>
      <c r="D787" s="201"/>
      <c r="E787" s="201"/>
      <c r="F787" s="204"/>
    </row>
    <row r="788" spans="2:6" x14ac:dyDescent="0.25">
      <c r="B788" s="201"/>
      <c r="C788" s="202"/>
      <c r="D788" s="201"/>
      <c r="E788" s="201"/>
      <c r="F788" s="204"/>
    </row>
    <row r="789" spans="2:6" x14ac:dyDescent="0.25">
      <c r="B789" s="201"/>
      <c r="C789" s="202"/>
      <c r="D789" s="201"/>
      <c r="E789" s="201"/>
      <c r="F789" s="204"/>
    </row>
    <row r="790" spans="2:6" x14ac:dyDescent="0.25">
      <c r="B790" s="201"/>
      <c r="C790" s="202"/>
      <c r="D790" s="201"/>
      <c r="E790" s="201"/>
      <c r="F790" s="204"/>
    </row>
    <row r="791" spans="2:6" x14ac:dyDescent="0.25">
      <c r="B791" s="201"/>
      <c r="C791" s="202"/>
      <c r="D791" s="201"/>
      <c r="E791" s="201"/>
      <c r="F791" s="204"/>
    </row>
    <row r="792" spans="2:6" x14ac:dyDescent="0.25">
      <c r="B792" s="201"/>
      <c r="C792" s="202"/>
      <c r="D792" s="201"/>
      <c r="E792" s="201"/>
      <c r="F792" s="204"/>
    </row>
    <row r="793" spans="2:6" x14ac:dyDescent="0.25">
      <c r="B793" s="201"/>
      <c r="C793" s="202"/>
      <c r="D793" s="201"/>
      <c r="E793" s="201"/>
      <c r="F793" s="204"/>
    </row>
    <row r="794" spans="2:6" x14ac:dyDescent="0.25">
      <c r="B794" s="201"/>
      <c r="C794" s="202"/>
      <c r="D794" s="201"/>
      <c r="E794" s="201"/>
      <c r="F794" s="204"/>
    </row>
    <row r="795" spans="2:6" x14ac:dyDescent="0.25">
      <c r="B795" s="201"/>
      <c r="C795" s="202"/>
      <c r="D795" s="201"/>
      <c r="E795" s="201"/>
      <c r="F795" s="204"/>
    </row>
    <row r="796" spans="2:6" x14ac:dyDescent="0.25">
      <c r="B796" s="201"/>
      <c r="C796" s="202"/>
      <c r="D796" s="201"/>
      <c r="E796" s="201"/>
      <c r="F796" s="204"/>
    </row>
    <row r="797" spans="2:6" x14ac:dyDescent="0.25">
      <c r="B797" s="201"/>
      <c r="C797" s="202"/>
      <c r="D797" s="201"/>
      <c r="E797" s="201"/>
      <c r="F797" s="204"/>
    </row>
    <row r="798" spans="2:6" x14ac:dyDescent="0.25">
      <c r="B798" s="201"/>
      <c r="C798" s="202"/>
      <c r="D798" s="201"/>
      <c r="E798" s="201"/>
      <c r="F798" s="204"/>
    </row>
    <row r="799" spans="2:6" x14ac:dyDescent="0.25">
      <c r="B799" s="201"/>
      <c r="C799" s="202"/>
      <c r="D799" s="201"/>
      <c r="E799" s="201"/>
      <c r="F799" s="204"/>
    </row>
    <row r="800" spans="2:6" x14ac:dyDescent="0.25">
      <c r="B800" s="201"/>
      <c r="C800" s="202"/>
      <c r="D800" s="201"/>
      <c r="E800" s="201"/>
      <c r="F800" s="204"/>
    </row>
    <row r="801" spans="2:6" x14ac:dyDescent="0.25">
      <c r="B801" s="201"/>
      <c r="C801" s="202"/>
      <c r="D801" s="201"/>
      <c r="E801" s="201"/>
      <c r="F801" s="204"/>
    </row>
    <row r="802" spans="2:6" x14ac:dyDescent="0.25">
      <c r="B802" s="201"/>
      <c r="C802" s="202"/>
      <c r="D802" s="201"/>
      <c r="E802" s="201"/>
      <c r="F802" s="204"/>
    </row>
    <row r="803" spans="2:6" x14ac:dyDescent="0.25">
      <c r="B803" s="201"/>
      <c r="C803" s="202"/>
      <c r="D803" s="201"/>
      <c r="E803" s="201"/>
      <c r="F803" s="204"/>
    </row>
    <row r="804" spans="2:6" x14ac:dyDescent="0.25">
      <c r="B804" s="201"/>
      <c r="C804" s="202"/>
      <c r="D804" s="201"/>
      <c r="E804" s="201"/>
      <c r="F804" s="204"/>
    </row>
    <row r="805" spans="2:6" x14ac:dyDescent="0.25">
      <c r="B805" s="201"/>
      <c r="C805" s="202"/>
      <c r="D805" s="201"/>
      <c r="E805" s="201"/>
      <c r="F805" s="204"/>
    </row>
    <row r="806" spans="2:6" x14ac:dyDescent="0.25">
      <c r="B806" s="201"/>
      <c r="C806" s="202"/>
      <c r="D806" s="201"/>
      <c r="E806" s="201"/>
      <c r="F806" s="204"/>
    </row>
    <row r="807" spans="2:6" x14ac:dyDescent="0.25">
      <c r="B807" s="201"/>
      <c r="C807" s="202"/>
      <c r="D807" s="201"/>
      <c r="E807" s="201"/>
      <c r="F807" s="204"/>
    </row>
    <row r="808" spans="2:6" x14ac:dyDescent="0.25">
      <c r="B808" s="201"/>
      <c r="C808" s="202"/>
      <c r="D808" s="201"/>
      <c r="E808" s="201"/>
      <c r="F808" s="204"/>
    </row>
    <row r="809" spans="2:6" x14ac:dyDescent="0.25">
      <c r="B809" s="201"/>
      <c r="C809" s="202"/>
      <c r="D809" s="201"/>
      <c r="E809" s="201"/>
      <c r="F809" s="204"/>
    </row>
    <row r="810" spans="2:6" x14ac:dyDescent="0.25">
      <c r="B810" s="201"/>
      <c r="C810" s="202"/>
      <c r="D810" s="201"/>
      <c r="E810" s="201"/>
      <c r="F810" s="204"/>
    </row>
    <row r="811" spans="2:6" x14ac:dyDescent="0.25">
      <c r="B811" s="201"/>
      <c r="C811" s="202"/>
      <c r="D811" s="201"/>
      <c r="E811" s="201"/>
      <c r="F811" s="204"/>
    </row>
    <row r="812" spans="2:6" x14ac:dyDescent="0.25">
      <c r="B812" s="201"/>
      <c r="C812" s="202"/>
      <c r="D812" s="201"/>
      <c r="E812" s="201"/>
      <c r="F812" s="204"/>
    </row>
    <row r="813" spans="2:6" x14ac:dyDescent="0.25">
      <c r="B813" s="201"/>
      <c r="C813" s="202"/>
      <c r="D813" s="201"/>
      <c r="E813" s="201"/>
      <c r="F813" s="204"/>
    </row>
    <row r="814" spans="2:6" x14ac:dyDescent="0.25">
      <c r="B814" s="201"/>
      <c r="C814" s="202"/>
      <c r="D814" s="201"/>
      <c r="E814" s="201"/>
      <c r="F814" s="204"/>
    </row>
    <row r="815" spans="2:6" x14ac:dyDescent="0.25">
      <c r="B815" s="201"/>
      <c r="C815" s="202"/>
      <c r="D815" s="201"/>
      <c r="E815" s="201"/>
      <c r="F815" s="204"/>
    </row>
    <row r="816" spans="2:6" x14ac:dyDescent="0.25">
      <c r="B816" s="201"/>
      <c r="C816" s="202"/>
      <c r="D816" s="201"/>
      <c r="E816" s="201"/>
      <c r="F816" s="204"/>
    </row>
    <row r="817" spans="2:6" x14ac:dyDescent="0.25">
      <c r="B817" s="201"/>
      <c r="C817" s="202"/>
      <c r="D817" s="201"/>
      <c r="E817" s="201"/>
      <c r="F817" s="204"/>
    </row>
    <row r="818" spans="2:6" x14ac:dyDescent="0.25">
      <c r="B818" s="201"/>
      <c r="C818" s="202"/>
      <c r="D818" s="201"/>
      <c r="E818" s="201"/>
      <c r="F818" s="204"/>
    </row>
    <row r="819" spans="2:6" x14ac:dyDescent="0.25">
      <c r="B819" s="201"/>
      <c r="C819" s="202"/>
      <c r="D819" s="201"/>
      <c r="E819" s="201"/>
      <c r="F819" s="204"/>
    </row>
    <row r="820" spans="2:6" x14ac:dyDescent="0.25">
      <c r="B820" s="201"/>
      <c r="C820" s="202"/>
      <c r="D820" s="201"/>
      <c r="E820" s="201"/>
      <c r="F820" s="204"/>
    </row>
    <row r="821" spans="2:6" x14ac:dyDescent="0.25">
      <c r="B821" s="201"/>
      <c r="C821" s="202"/>
      <c r="D821" s="201"/>
      <c r="E821" s="201"/>
      <c r="F821" s="204"/>
    </row>
    <row r="822" spans="2:6" x14ac:dyDescent="0.25">
      <c r="B822" s="201"/>
      <c r="C822" s="202"/>
      <c r="D822" s="201"/>
      <c r="E822" s="201"/>
      <c r="F822" s="204"/>
    </row>
    <row r="823" spans="2:6" x14ac:dyDescent="0.25">
      <c r="B823" s="201"/>
      <c r="C823" s="202"/>
      <c r="D823" s="201"/>
      <c r="E823" s="201"/>
      <c r="F823" s="204"/>
    </row>
    <row r="824" spans="2:6" x14ac:dyDescent="0.25">
      <c r="B824" s="201"/>
      <c r="C824" s="202"/>
      <c r="D824" s="201"/>
      <c r="E824" s="201"/>
      <c r="F824" s="204"/>
    </row>
    <row r="825" spans="2:6" x14ac:dyDescent="0.25">
      <c r="B825" s="201"/>
      <c r="C825" s="202"/>
      <c r="D825" s="201"/>
      <c r="E825" s="201"/>
      <c r="F825" s="204"/>
    </row>
    <row r="826" spans="2:6" x14ac:dyDescent="0.25">
      <c r="B826" s="201"/>
      <c r="C826" s="202"/>
      <c r="D826" s="201"/>
      <c r="E826" s="201"/>
      <c r="F826" s="204"/>
    </row>
    <row r="827" spans="2:6" x14ac:dyDescent="0.25">
      <c r="B827" s="201"/>
      <c r="C827" s="202"/>
      <c r="D827" s="201"/>
      <c r="E827" s="201"/>
      <c r="F827" s="204"/>
    </row>
    <row r="828" spans="2:6" x14ac:dyDescent="0.25">
      <c r="B828" s="201"/>
      <c r="C828" s="202"/>
      <c r="D828" s="201"/>
      <c r="E828" s="201"/>
      <c r="F828" s="204"/>
    </row>
    <row r="829" spans="2:6" x14ac:dyDescent="0.25">
      <c r="B829" s="201"/>
      <c r="C829" s="202"/>
      <c r="D829" s="201"/>
      <c r="E829" s="201"/>
      <c r="F829" s="204"/>
    </row>
    <row r="830" spans="2:6" x14ac:dyDescent="0.25">
      <c r="B830" s="201"/>
      <c r="C830" s="202"/>
      <c r="D830" s="201"/>
      <c r="E830" s="201"/>
      <c r="F830" s="204"/>
    </row>
    <row r="831" spans="2:6" x14ac:dyDescent="0.25">
      <c r="B831" s="201"/>
      <c r="C831" s="202"/>
      <c r="D831" s="201"/>
      <c r="E831" s="201"/>
      <c r="F831" s="204"/>
    </row>
    <row r="832" spans="2:6" x14ac:dyDescent="0.25">
      <c r="B832" s="201"/>
      <c r="C832" s="202"/>
      <c r="D832" s="201"/>
      <c r="E832" s="201"/>
      <c r="F832" s="204"/>
    </row>
    <row r="833" spans="2:6" x14ac:dyDescent="0.25">
      <c r="B833" s="201"/>
      <c r="C833" s="202"/>
      <c r="D833" s="201"/>
      <c r="E833" s="201"/>
      <c r="F833" s="204"/>
    </row>
    <row r="834" spans="2:6" x14ac:dyDescent="0.25">
      <c r="B834" s="201"/>
      <c r="C834" s="202"/>
      <c r="D834" s="201"/>
      <c r="E834" s="201"/>
      <c r="F834" s="204"/>
    </row>
    <row r="835" spans="2:6" x14ac:dyDescent="0.25">
      <c r="B835" s="201"/>
      <c r="C835" s="202"/>
      <c r="D835" s="201"/>
      <c r="E835" s="201"/>
      <c r="F835" s="204"/>
    </row>
    <row r="836" spans="2:6" x14ac:dyDescent="0.25">
      <c r="B836" s="201"/>
      <c r="C836" s="202"/>
      <c r="D836" s="201"/>
      <c r="E836" s="201"/>
      <c r="F836" s="204"/>
    </row>
    <row r="837" spans="2:6" x14ac:dyDescent="0.25">
      <c r="B837" s="201"/>
      <c r="C837" s="202"/>
      <c r="D837" s="201"/>
      <c r="E837" s="201"/>
      <c r="F837" s="204"/>
    </row>
    <row r="838" spans="2:6" x14ac:dyDescent="0.25">
      <c r="B838" s="201"/>
      <c r="C838" s="202"/>
      <c r="D838" s="201"/>
      <c r="E838" s="201"/>
      <c r="F838" s="204"/>
    </row>
    <row r="839" spans="2:6" x14ac:dyDescent="0.25">
      <c r="B839" s="201"/>
      <c r="C839" s="202"/>
      <c r="D839" s="201"/>
      <c r="E839" s="201"/>
      <c r="F839" s="204"/>
    </row>
    <row r="840" spans="2:6" x14ac:dyDescent="0.25">
      <c r="B840" s="201"/>
      <c r="C840" s="202"/>
      <c r="D840" s="201"/>
      <c r="E840" s="201"/>
      <c r="F840" s="204"/>
    </row>
    <row r="841" spans="2:6" x14ac:dyDescent="0.25">
      <c r="B841" s="201"/>
      <c r="C841" s="202"/>
      <c r="D841" s="201"/>
      <c r="E841" s="201"/>
      <c r="F841" s="204"/>
    </row>
    <row r="842" spans="2:6" x14ac:dyDescent="0.25">
      <c r="B842" s="201"/>
      <c r="C842" s="202"/>
      <c r="D842" s="201"/>
      <c r="E842" s="201"/>
      <c r="F842" s="204"/>
    </row>
    <row r="843" spans="2:6" x14ac:dyDescent="0.25">
      <c r="B843" s="201"/>
      <c r="C843" s="202"/>
      <c r="D843" s="201"/>
      <c r="E843" s="201"/>
      <c r="F843" s="204"/>
    </row>
    <row r="844" spans="2:6" x14ac:dyDescent="0.25">
      <c r="B844" s="201"/>
      <c r="C844" s="202"/>
      <c r="D844" s="201"/>
      <c r="E844" s="201"/>
      <c r="F844" s="204"/>
    </row>
    <row r="845" spans="2:6" x14ac:dyDescent="0.25">
      <c r="B845" s="201"/>
      <c r="C845" s="202"/>
      <c r="D845" s="201"/>
      <c r="E845" s="201"/>
      <c r="F845" s="204"/>
    </row>
    <row r="846" spans="2:6" x14ac:dyDescent="0.25">
      <c r="B846" s="201"/>
      <c r="C846" s="202"/>
      <c r="D846" s="201"/>
      <c r="E846" s="201"/>
      <c r="F846" s="204"/>
    </row>
    <row r="847" spans="2:6" x14ac:dyDescent="0.25">
      <c r="B847" s="201"/>
      <c r="C847" s="202"/>
      <c r="D847" s="201"/>
      <c r="E847" s="201"/>
      <c r="F847" s="204"/>
    </row>
    <row r="848" spans="2:6" x14ac:dyDescent="0.25">
      <c r="B848" s="201"/>
      <c r="C848" s="202"/>
      <c r="D848" s="201"/>
      <c r="E848" s="201"/>
      <c r="F848" s="204"/>
    </row>
    <row r="849" spans="2:6" x14ac:dyDescent="0.25">
      <c r="B849" s="201"/>
      <c r="C849" s="202"/>
      <c r="D849" s="201"/>
      <c r="E849" s="201"/>
      <c r="F849" s="204"/>
    </row>
    <row r="850" spans="2:6" x14ac:dyDescent="0.25">
      <c r="B850" s="201"/>
      <c r="C850" s="202"/>
      <c r="D850" s="201"/>
      <c r="E850" s="201"/>
      <c r="F850" s="204"/>
    </row>
    <row r="851" spans="2:6" x14ac:dyDescent="0.25">
      <c r="B851" s="201"/>
      <c r="C851" s="202"/>
      <c r="D851" s="201"/>
      <c r="E851" s="201"/>
      <c r="F851" s="204"/>
    </row>
    <row r="852" spans="2:6" x14ac:dyDescent="0.25">
      <c r="B852" s="201"/>
      <c r="C852" s="202"/>
      <c r="D852" s="201"/>
      <c r="E852" s="201"/>
      <c r="F852" s="204"/>
    </row>
    <row r="853" spans="2:6" x14ac:dyDescent="0.25">
      <c r="B853" s="201"/>
      <c r="C853" s="202"/>
      <c r="D853" s="201"/>
      <c r="E853" s="201"/>
      <c r="F853" s="204"/>
    </row>
    <row r="854" spans="2:6" x14ac:dyDescent="0.25">
      <c r="B854" s="201"/>
      <c r="C854" s="202"/>
      <c r="D854" s="201"/>
      <c r="E854" s="201"/>
      <c r="F854" s="204"/>
    </row>
    <row r="855" spans="2:6" x14ac:dyDescent="0.25">
      <c r="B855" s="201"/>
      <c r="C855" s="202"/>
      <c r="D855" s="201"/>
      <c r="E855" s="201"/>
      <c r="F855" s="204"/>
    </row>
    <row r="856" spans="2:6" x14ac:dyDescent="0.25">
      <c r="B856" s="201"/>
      <c r="C856" s="202"/>
      <c r="D856" s="201"/>
      <c r="E856" s="201"/>
      <c r="F856" s="204"/>
    </row>
    <row r="857" spans="2:6" x14ac:dyDescent="0.25">
      <c r="B857" s="201"/>
      <c r="C857" s="202"/>
      <c r="D857" s="201"/>
      <c r="E857" s="201"/>
      <c r="F857" s="204"/>
    </row>
    <row r="858" spans="2:6" x14ac:dyDescent="0.25">
      <c r="B858" s="201"/>
      <c r="C858" s="202"/>
      <c r="D858" s="201"/>
      <c r="E858" s="201"/>
      <c r="F858" s="204"/>
    </row>
    <row r="859" spans="2:6" x14ac:dyDescent="0.25">
      <c r="B859" s="201"/>
      <c r="C859" s="202"/>
      <c r="D859" s="201"/>
      <c r="E859" s="201"/>
      <c r="F859" s="204"/>
    </row>
    <row r="860" spans="2:6" x14ac:dyDescent="0.25">
      <c r="B860" s="201"/>
      <c r="C860" s="202"/>
      <c r="D860" s="201"/>
      <c r="E860" s="201"/>
      <c r="F860" s="204"/>
    </row>
    <row r="861" spans="2:6" x14ac:dyDescent="0.25">
      <c r="B861" s="201"/>
      <c r="C861" s="202"/>
      <c r="D861" s="201"/>
      <c r="E861" s="201"/>
      <c r="F861" s="204"/>
    </row>
    <row r="862" spans="2:6" x14ac:dyDescent="0.25">
      <c r="B862" s="201"/>
      <c r="C862" s="202"/>
      <c r="D862" s="201"/>
      <c r="E862" s="201"/>
      <c r="F862" s="204"/>
    </row>
    <row r="863" spans="2:6" x14ac:dyDescent="0.25">
      <c r="B863" s="201"/>
      <c r="C863" s="202"/>
      <c r="D863" s="201"/>
      <c r="E863" s="201"/>
      <c r="F863" s="204"/>
    </row>
    <row r="864" spans="2:6" x14ac:dyDescent="0.25">
      <c r="B864" s="201"/>
      <c r="C864" s="202"/>
      <c r="D864" s="201"/>
      <c r="E864" s="201"/>
      <c r="F864" s="204"/>
    </row>
    <row r="865" spans="2:6" x14ac:dyDescent="0.25">
      <c r="B865" s="201"/>
      <c r="C865" s="202"/>
      <c r="D865" s="201"/>
      <c r="E865" s="201"/>
      <c r="F865" s="204"/>
    </row>
    <row r="866" spans="2:6" x14ac:dyDescent="0.25">
      <c r="B866" s="201"/>
      <c r="C866" s="202"/>
      <c r="D866" s="201"/>
      <c r="E866" s="201"/>
      <c r="F866" s="204"/>
    </row>
    <row r="867" spans="2:6" x14ac:dyDescent="0.25">
      <c r="B867" s="201"/>
      <c r="C867" s="202"/>
      <c r="D867" s="201"/>
      <c r="E867" s="201"/>
      <c r="F867" s="204"/>
    </row>
    <row r="868" spans="2:6" x14ac:dyDescent="0.25">
      <c r="B868" s="201"/>
      <c r="C868" s="202"/>
      <c r="D868" s="201"/>
      <c r="E868" s="201"/>
      <c r="F868" s="204"/>
    </row>
    <row r="869" spans="2:6" x14ac:dyDescent="0.25">
      <c r="B869" s="201"/>
      <c r="C869" s="202"/>
      <c r="D869" s="201"/>
      <c r="E869" s="201"/>
      <c r="F869" s="204"/>
    </row>
    <row r="870" spans="2:6" x14ac:dyDescent="0.25">
      <c r="B870" s="201"/>
      <c r="C870" s="202"/>
      <c r="D870" s="201"/>
      <c r="E870" s="201"/>
      <c r="F870" s="204"/>
    </row>
    <row r="871" spans="2:6" x14ac:dyDescent="0.25">
      <c r="B871" s="201"/>
      <c r="C871" s="202"/>
      <c r="D871" s="201"/>
      <c r="E871" s="201"/>
      <c r="F871" s="204"/>
    </row>
    <row r="872" spans="2:6" x14ac:dyDescent="0.25">
      <c r="B872" s="201"/>
      <c r="C872" s="202"/>
      <c r="D872" s="201"/>
      <c r="E872" s="201"/>
      <c r="F872" s="204"/>
    </row>
    <row r="873" spans="2:6" x14ac:dyDescent="0.25">
      <c r="B873" s="201"/>
      <c r="C873" s="202"/>
      <c r="D873" s="201"/>
      <c r="E873" s="201"/>
      <c r="F873" s="204"/>
    </row>
    <row r="874" spans="2:6" x14ac:dyDescent="0.25">
      <c r="B874" s="201"/>
      <c r="C874" s="202"/>
      <c r="D874" s="201"/>
      <c r="E874" s="201"/>
      <c r="F874" s="204"/>
    </row>
    <row r="875" spans="2:6" x14ac:dyDescent="0.25">
      <c r="B875" s="201"/>
      <c r="C875" s="202"/>
      <c r="D875" s="201"/>
      <c r="E875" s="201"/>
      <c r="F875" s="204"/>
    </row>
    <row r="876" spans="2:6" x14ac:dyDescent="0.25">
      <c r="B876" s="201"/>
      <c r="C876" s="202"/>
      <c r="D876" s="201"/>
      <c r="E876" s="201"/>
      <c r="F876" s="204"/>
    </row>
    <row r="877" spans="2:6" x14ac:dyDescent="0.25">
      <c r="B877" s="201"/>
      <c r="C877" s="202"/>
      <c r="D877" s="201"/>
      <c r="E877" s="201"/>
      <c r="F877" s="204"/>
    </row>
    <row r="878" spans="2:6" x14ac:dyDescent="0.25">
      <c r="B878" s="201"/>
      <c r="C878" s="202"/>
      <c r="D878" s="201"/>
      <c r="E878" s="201"/>
      <c r="F878" s="204"/>
    </row>
    <row r="879" spans="2:6" x14ac:dyDescent="0.25">
      <c r="B879" s="201"/>
      <c r="C879" s="202"/>
      <c r="D879" s="201"/>
      <c r="E879" s="201"/>
      <c r="F879" s="204"/>
    </row>
    <row r="880" spans="2:6" x14ac:dyDescent="0.25">
      <c r="B880" s="201"/>
      <c r="C880" s="202"/>
      <c r="D880" s="201"/>
      <c r="E880" s="201"/>
      <c r="F880" s="204"/>
    </row>
    <row r="881" spans="2:6" x14ac:dyDescent="0.25">
      <c r="B881" s="201"/>
      <c r="C881" s="202"/>
      <c r="D881" s="201"/>
      <c r="E881" s="201"/>
      <c r="F881" s="204"/>
    </row>
    <row r="882" spans="2:6" x14ac:dyDescent="0.25">
      <c r="B882" s="201"/>
      <c r="C882" s="202"/>
      <c r="D882" s="201"/>
      <c r="E882" s="201"/>
      <c r="F882" s="204"/>
    </row>
    <row r="883" spans="2:6" x14ac:dyDescent="0.25">
      <c r="B883" s="201"/>
      <c r="C883" s="202"/>
      <c r="D883" s="201"/>
      <c r="E883" s="201"/>
      <c r="F883" s="204"/>
    </row>
    <row r="884" spans="2:6" x14ac:dyDescent="0.25">
      <c r="B884" s="201"/>
      <c r="C884" s="202"/>
      <c r="D884" s="201"/>
      <c r="E884" s="201"/>
      <c r="F884" s="204"/>
    </row>
    <row r="885" spans="2:6" x14ac:dyDescent="0.25">
      <c r="B885" s="201"/>
      <c r="C885" s="202"/>
      <c r="D885" s="201"/>
      <c r="E885" s="201"/>
      <c r="F885" s="204"/>
    </row>
    <row r="886" spans="2:6" x14ac:dyDescent="0.25">
      <c r="B886" s="201"/>
      <c r="C886" s="202"/>
      <c r="D886" s="201"/>
      <c r="E886" s="201"/>
      <c r="F886" s="204"/>
    </row>
    <row r="887" spans="2:6" x14ac:dyDescent="0.25">
      <c r="B887" s="201"/>
      <c r="C887" s="202"/>
      <c r="D887" s="201"/>
      <c r="E887" s="201"/>
      <c r="F887" s="204"/>
    </row>
    <row r="888" spans="2:6" x14ac:dyDescent="0.25">
      <c r="B888" s="201"/>
      <c r="C888" s="202"/>
      <c r="D888" s="201"/>
      <c r="E888" s="201"/>
      <c r="F888" s="204"/>
    </row>
    <row r="889" spans="2:6" x14ac:dyDescent="0.25">
      <c r="B889" s="201"/>
      <c r="C889" s="202"/>
      <c r="D889" s="201"/>
      <c r="E889" s="201"/>
      <c r="F889" s="204"/>
    </row>
    <row r="890" spans="2:6" x14ac:dyDescent="0.25">
      <c r="B890" s="201"/>
      <c r="C890" s="202"/>
      <c r="D890" s="201"/>
      <c r="E890" s="201"/>
      <c r="F890" s="204"/>
    </row>
    <row r="891" spans="2:6" x14ac:dyDescent="0.25">
      <c r="B891" s="201"/>
      <c r="C891" s="202"/>
      <c r="D891" s="201"/>
      <c r="E891" s="201"/>
      <c r="F891" s="204"/>
    </row>
    <row r="892" spans="2:6" x14ac:dyDescent="0.25">
      <c r="B892" s="201"/>
      <c r="C892" s="202"/>
      <c r="D892" s="201"/>
      <c r="E892" s="201"/>
      <c r="F892" s="204"/>
    </row>
    <row r="893" spans="2:6" x14ac:dyDescent="0.25">
      <c r="B893" s="201"/>
      <c r="C893" s="202"/>
      <c r="D893" s="201"/>
      <c r="E893" s="201"/>
      <c r="F893" s="204"/>
    </row>
    <row r="894" spans="2:6" x14ac:dyDescent="0.25">
      <c r="B894" s="201"/>
      <c r="C894" s="202"/>
      <c r="D894" s="201"/>
      <c r="E894" s="201"/>
      <c r="F894" s="204"/>
    </row>
    <row r="895" spans="2:6" x14ac:dyDescent="0.25">
      <c r="B895" s="201"/>
      <c r="C895" s="202"/>
      <c r="D895" s="201"/>
      <c r="E895" s="201"/>
      <c r="F895" s="204"/>
    </row>
    <row r="896" spans="2:6" x14ac:dyDescent="0.25">
      <c r="B896" s="201"/>
      <c r="C896" s="202"/>
      <c r="D896" s="201"/>
      <c r="E896" s="201"/>
      <c r="F896" s="204"/>
    </row>
    <row r="897" spans="2:6" x14ac:dyDescent="0.25">
      <c r="B897" s="201"/>
      <c r="C897" s="202"/>
      <c r="D897" s="201"/>
      <c r="E897" s="201"/>
      <c r="F897" s="204"/>
    </row>
    <row r="898" spans="2:6" x14ac:dyDescent="0.25">
      <c r="B898" s="201"/>
      <c r="C898" s="202"/>
      <c r="D898" s="201"/>
      <c r="E898" s="201"/>
      <c r="F898" s="204"/>
    </row>
    <row r="899" spans="2:6" x14ac:dyDescent="0.25">
      <c r="B899" s="201"/>
      <c r="C899" s="202"/>
      <c r="D899" s="201"/>
      <c r="E899" s="201"/>
      <c r="F899" s="204"/>
    </row>
    <row r="900" spans="2:6" x14ac:dyDescent="0.25">
      <c r="B900" s="201"/>
      <c r="C900" s="202"/>
      <c r="D900" s="201"/>
      <c r="E900" s="201"/>
      <c r="F900" s="204"/>
    </row>
    <row r="901" spans="2:6" x14ac:dyDescent="0.25">
      <c r="B901" s="201"/>
      <c r="C901" s="202"/>
      <c r="D901" s="201"/>
      <c r="E901" s="201"/>
      <c r="F901" s="204"/>
    </row>
    <row r="902" spans="2:6" x14ac:dyDescent="0.25">
      <c r="B902" s="201"/>
      <c r="C902" s="202"/>
      <c r="D902" s="201"/>
      <c r="E902" s="201"/>
      <c r="F902" s="204"/>
    </row>
    <row r="903" spans="2:6" x14ac:dyDescent="0.25">
      <c r="B903" s="201"/>
      <c r="C903" s="202"/>
      <c r="D903" s="201"/>
      <c r="E903" s="201"/>
      <c r="F903" s="204"/>
    </row>
    <row r="904" spans="2:6" x14ac:dyDescent="0.25">
      <c r="B904" s="201"/>
      <c r="C904" s="202"/>
      <c r="D904" s="201"/>
      <c r="E904" s="201"/>
      <c r="F904" s="204"/>
    </row>
    <row r="905" spans="2:6" x14ac:dyDescent="0.25">
      <c r="B905" s="201"/>
      <c r="C905" s="202"/>
      <c r="D905" s="201"/>
      <c r="E905" s="201"/>
      <c r="F905" s="204"/>
    </row>
    <row r="906" spans="2:6" x14ac:dyDescent="0.25">
      <c r="B906" s="201"/>
      <c r="C906" s="202"/>
      <c r="D906" s="201"/>
      <c r="E906" s="201"/>
      <c r="F906" s="204"/>
    </row>
    <row r="907" spans="2:6" x14ac:dyDescent="0.25">
      <c r="B907" s="201"/>
      <c r="C907" s="202"/>
      <c r="D907" s="201"/>
      <c r="E907" s="201"/>
      <c r="F907" s="204"/>
    </row>
    <row r="908" spans="2:6" x14ac:dyDescent="0.25">
      <c r="B908" s="201"/>
      <c r="C908" s="202"/>
      <c r="D908" s="201"/>
      <c r="E908" s="201"/>
      <c r="F908" s="204"/>
    </row>
    <row r="909" spans="2:6" x14ac:dyDescent="0.25">
      <c r="B909" s="201"/>
      <c r="C909" s="202"/>
      <c r="D909" s="201"/>
      <c r="E909" s="201"/>
      <c r="F909" s="204"/>
    </row>
    <row r="910" spans="2:6" x14ac:dyDescent="0.25">
      <c r="B910" s="201"/>
      <c r="C910" s="202"/>
      <c r="D910" s="201"/>
      <c r="E910" s="201"/>
      <c r="F910" s="204"/>
    </row>
    <row r="911" spans="2:6" x14ac:dyDescent="0.25">
      <c r="B911" s="201"/>
      <c r="C911" s="202"/>
      <c r="D911" s="201"/>
      <c r="E911" s="201"/>
      <c r="F911" s="204"/>
    </row>
    <row r="912" spans="2:6" x14ac:dyDescent="0.25">
      <c r="B912" s="201"/>
      <c r="C912" s="202"/>
      <c r="D912" s="201"/>
      <c r="E912" s="201"/>
      <c r="F912" s="204"/>
    </row>
    <row r="913" spans="2:6" x14ac:dyDescent="0.25">
      <c r="B913" s="201"/>
      <c r="C913" s="202"/>
      <c r="D913" s="201"/>
      <c r="E913" s="201"/>
      <c r="F913" s="204"/>
    </row>
    <row r="914" spans="2:6" x14ac:dyDescent="0.25">
      <c r="B914" s="201"/>
      <c r="C914" s="202"/>
      <c r="D914" s="201"/>
      <c r="E914" s="201"/>
      <c r="F914" s="204"/>
    </row>
    <row r="915" spans="2:6" x14ac:dyDescent="0.25">
      <c r="B915" s="201"/>
      <c r="C915" s="202"/>
      <c r="D915" s="201"/>
      <c r="E915" s="201"/>
      <c r="F915" s="204"/>
    </row>
    <row r="916" spans="2:6" x14ac:dyDescent="0.25">
      <c r="B916" s="201"/>
      <c r="C916" s="202"/>
      <c r="D916" s="201"/>
      <c r="E916" s="201"/>
      <c r="F916" s="204"/>
    </row>
    <row r="917" spans="2:6" x14ac:dyDescent="0.25">
      <c r="B917" s="201"/>
      <c r="C917" s="202"/>
      <c r="D917" s="201"/>
      <c r="E917" s="201"/>
      <c r="F917" s="204"/>
    </row>
    <row r="918" spans="2:6" x14ac:dyDescent="0.25">
      <c r="B918" s="201"/>
      <c r="C918" s="202"/>
      <c r="D918" s="201"/>
      <c r="E918" s="201"/>
      <c r="F918" s="204"/>
    </row>
    <row r="919" spans="2:6" x14ac:dyDescent="0.25">
      <c r="B919" s="201"/>
      <c r="C919" s="202"/>
      <c r="D919" s="201"/>
      <c r="E919" s="201"/>
      <c r="F919" s="204"/>
    </row>
    <row r="920" spans="2:6" x14ac:dyDescent="0.25">
      <c r="B920" s="201"/>
      <c r="C920" s="202"/>
      <c r="D920" s="201"/>
      <c r="E920" s="201"/>
      <c r="F920" s="204"/>
    </row>
    <row r="921" spans="2:6" x14ac:dyDescent="0.25">
      <c r="B921" s="201"/>
      <c r="C921" s="202"/>
      <c r="D921" s="201"/>
      <c r="E921" s="201"/>
      <c r="F921" s="204"/>
    </row>
    <row r="922" spans="2:6" x14ac:dyDescent="0.25">
      <c r="B922" s="201"/>
      <c r="C922" s="202"/>
      <c r="D922" s="201"/>
      <c r="E922" s="201"/>
      <c r="F922" s="204"/>
    </row>
    <row r="923" spans="2:6" x14ac:dyDescent="0.25">
      <c r="B923" s="201"/>
      <c r="C923" s="202"/>
      <c r="D923" s="201"/>
      <c r="E923" s="201"/>
      <c r="F923" s="204"/>
    </row>
    <row r="924" spans="2:6" x14ac:dyDescent="0.25">
      <c r="B924" s="201"/>
      <c r="C924" s="202"/>
      <c r="D924" s="201"/>
      <c r="E924" s="201"/>
      <c r="F924" s="204"/>
    </row>
    <row r="925" spans="2:6" x14ac:dyDescent="0.25">
      <c r="B925" s="201"/>
      <c r="C925" s="202"/>
      <c r="D925" s="201"/>
      <c r="E925" s="201"/>
      <c r="F925" s="204"/>
    </row>
    <row r="926" spans="2:6" x14ac:dyDescent="0.25">
      <c r="B926" s="201"/>
      <c r="C926" s="202"/>
      <c r="D926" s="201"/>
      <c r="E926" s="201"/>
      <c r="F926" s="204"/>
    </row>
    <row r="927" spans="2:6" x14ac:dyDescent="0.25">
      <c r="B927" s="201"/>
      <c r="C927" s="202"/>
      <c r="D927" s="201"/>
      <c r="E927" s="201"/>
      <c r="F927" s="204"/>
    </row>
    <row r="928" spans="2:6" x14ac:dyDescent="0.25">
      <c r="B928" s="201"/>
      <c r="C928" s="202"/>
      <c r="D928" s="201"/>
      <c r="E928" s="201"/>
      <c r="F928" s="204"/>
    </row>
    <row r="929" spans="2:6" x14ac:dyDescent="0.25">
      <c r="B929" s="201"/>
      <c r="C929" s="202"/>
      <c r="D929" s="201"/>
      <c r="E929" s="201"/>
      <c r="F929" s="204"/>
    </row>
    <row r="930" spans="2:6" x14ac:dyDescent="0.25">
      <c r="B930" s="201"/>
      <c r="C930" s="202"/>
      <c r="D930" s="201"/>
      <c r="E930" s="201"/>
      <c r="F930" s="204"/>
    </row>
    <row r="931" spans="2:6" x14ac:dyDescent="0.25">
      <c r="B931" s="201"/>
      <c r="C931" s="202"/>
      <c r="D931" s="201"/>
      <c r="E931" s="201"/>
      <c r="F931" s="204"/>
    </row>
    <row r="932" spans="2:6" x14ac:dyDescent="0.25">
      <c r="B932" s="201"/>
      <c r="C932" s="202"/>
      <c r="D932" s="201"/>
      <c r="E932" s="201"/>
      <c r="F932" s="204"/>
    </row>
    <row r="933" spans="2:6" x14ac:dyDescent="0.25">
      <c r="B933" s="201"/>
      <c r="C933" s="202"/>
      <c r="D933" s="201"/>
      <c r="E933" s="201"/>
      <c r="F933" s="204"/>
    </row>
    <row r="934" spans="2:6" x14ac:dyDescent="0.25">
      <c r="B934" s="201"/>
      <c r="C934" s="202"/>
      <c r="D934" s="201"/>
      <c r="E934" s="201"/>
      <c r="F934" s="204"/>
    </row>
    <row r="935" spans="2:6" x14ac:dyDescent="0.25">
      <c r="B935" s="201"/>
      <c r="C935" s="202"/>
      <c r="D935" s="201"/>
      <c r="E935" s="201"/>
      <c r="F935" s="204"/>
    </row>
    <row r="936" spans="2:6" x14ac:dyDescent="0.25">
      <c r="B936" s="201"/>
      <c r="C936" s="202"/>
      <c r="D936" s="201"/>
      <c r="E936" s="201"/>
      <c r="F936" s="204"/>
    </row>
    <row r="937" spans="2:6" x14ac:dyDescent="0.25">
      <c r="B937" s="201"/>
      <c r="C937" s="202"/>
      <c r="D937" s="201"/>
      <c r="E937" s="201"/>
      <c r="F937" s="204"/>
    </row>
    <row r="938" spans="2:6" x14ac:dyDescent="0.25">
      <c r="B938" s="201"/>
      <c r="C938" s="202"/>
      <c r="D938" s="201"/>
      <c r="E938" s="201"/>
      <c r="F938" s="204"/>
    </row>
    <row r="939" spans="2:6" x14ac:dyDescent="0.25">
      <c r="B939" s="201"/>
      <c r="C939" s="202"/>
      <c r="D939" s="201"/>
      <c r="E939" s="201"/>
      <c r="F939" s="204"/>
    </row>
    <row r="940" spans="2:6" x14ac:dyDescent="0.25">
      <c r="B940" s="201"/>
      <c r="C940" s="202"/>
      <c r="D940" s="201"/>
      <c r="E940" s="201"/>
      <c r="F940" s="204"/>
    </row>
    <row r="941" spans="2:6" x14ac:dyDescent="0.25">
      <c r="B941" s="201"/>
      <c r="C941" s="202"/>
      <c r="D941" s="201"/>
      <c r="E941" s="201"/>
      <c r="F941" s="204"/>
    </row>
    <row r="942" spans="2:6" x14ac:dyDescent="0.25">
      <c r="B942" s="201"/>
      <c r="C942" s="202"/>
      <c r="D942" s="201"/>
      <c r="E942" s="201"/>
      <c r="F942" s="204"/>
    </row>
    <row r="943" spans="2:6" x14ac:dyDescent="0.25">
      <c r="B943" s="201"/>
      <c r="C943" s="202"/>
      <c r="D943" s="201"/>
      <c r="E943" s="201"/>
      <c r="F943" s="204"/>
    </row>
    <row r="944" spans="2:6" x14ac:dyDescent="0.25">
      <c r="B944" s="201"/>
      <c r="C944" s="202"/>
      <c r="D944" s="201"/>
      <c r="E944" s="201"/>
      <c r="F944" s="204"/>
    </row>
    <row r="945" spans="2:6" x14ac:dyDescent="0.25">
      <c r="B945" s="201"/>
      <c r="C945" s="202"/>
      <c r="D945" s="201"/>
      <c r="E945" s="201"/>
      <c r="F945" s="204"/>
    </row>
    <row r="946" spans="2:6" x14ac:dyDescent="0.25">
      <c r="B946" s="201"/>
      <c r="C946" s="202"/>
      <c r="D946" s="201"/>
      <c r="E946" s="201"/>
      <c r="F946" s="204"/>
    </row>
    <row r="947" spans="2:6" x14ac:dyDescent="0.25">
      <c r="B947" s="201"/>
      <c r="C947" s="202"/>
      <c r="D947" s="201"/>
      <c r="E947" s="201"/>
      <c r="F947" s="204"/>
    </row>
    <row r="948" spans="2:6" x14ac:dyDescent="0.25">
      <c r="B948" s="201"/>
      <c r="C948" s="202"/>
      <c r="D948" s="201"/>
      <c r="E948" s="201"/>
      <c r="F948" s="204"/>
    </row>
    <row r="949" spans="2:6" x14ac:dyDescent="0.25">
      <c r="B949" s="201"/>
      <c r="C949" s="202"/>
      <c r="D949" s="201"/>
      <c r="E949" s="201"/>
      <c r="F949" s="204"/>
    </row>
    <row r="950" spans="2:6" x14ac:dyDescent="0.25">
      <c r="B950" s="201"/>
      <c r="C950" s="202"/>
      <c r="D950" s="201"/>
      <c r="E950" s="201"/>
      <c r="F950" s="204"/>
    </row>
    <row r="951" spans="2:6" x14ac:dyDescent="0.25">
      <c r="B951" s="201"/>
      <c r="C951" s="202"/>
      <c r="D951" s="201"/>
      <c r="E951" s="201"/>
      <c r="F951" s="204"/>
    </row>
    <row r="952" spans="2:6" x14ac:dyDescent="0.25">
      <c r="B952" s="201"/>
      <c r="C952" s="202"/>
      <c r="D952" s="201"/>
      <c r="E952" s="201"/>
      <c r="F952" s="204"/>
    </row>
    <row r="953" spans="2:6" x14ac:dyDescent="0.25">
      <c r="B953" s="201"/>
      <c r="C953" s="202"/>
      <c r="D953" s="201"/>
      <c r="E953" s="201"/>
      <c r="F953" s="204"/>
    </row>
    <row r="954" spans="2:6" x14ac:dyDescent="0.25">
      <c r="B954" s="201"/>
      <c r="C954" s="202"/>
      <c r="D954" s="201"/>
      <c r="E954" s="201"/>
      <c r="F954" s="204"/>
    </row>
    <row r="955" spans="2:6" x14ac:dyDescent="0.25">
      <c r="B955" s="201"/>
      <c r="C955" s="202"/>
      <c r="D955" s="201"/>
      <c r="E955" s="201"/>
      <c r="F955" s="204"/>
    </row>
    <row r="956" spans="2:6" x14ac:dyDescent="0.25">
      <c r="B956" s="201"/>
      <c r="C956" s="202"/>
      <c r="D956" s="201"/>
      <c r="E956" s="201"/>
      <c r="F956" s="204"/>
    </row>
    <row r="957" spans="2:6" x14ac:dyDescent="0.25">
      <c r="B957" s="201"/>
      <c r="C957" s="202"/>
      <c r="D957" s="201"/>
      <c r="E957" s="201"/>
      <c r="F957" s="204"/>
    </row>
    <row r="958" spans="2:6" x14ac:dyDescent="0.25">
      <c r="B958" s="201"/>
      <c r="C958" s="202"/>
      <c r="D958" s="201"/>
      <c r="E958" s="201"/>
      <c r="F958" s="204"/>
    </row>
    <row r="959" spans="2:6" x14ac:dyDescent="0.25">
      <c r="B959" s="201"/>
      <c r="C959" s="202"/>
      <c r="D959" s="201"/>
      <c r="E959" s="201"/>
      <c r="F959" s="204"/>
    </row>
    <row r="960" spans="2:6" x14ac:dyDescent="0.25">
      <c r="B960" s="201"/>
      <c r="C960" s="202"/>
      <c r="D960" s="201"/>
      <c r="E960" s="201"/>
      <c r="F960" s="204"/>
    </row>
    <row r="961" spans="2:6" x14ac:dyDescent="0.25">
      <c r="B961" s="201"/>
      <c r="C961" s="202"/>
      <c r="D961" s="201"/>
      <c r="E961" s="201"/>
      <c r="F961" s="204"/>
    </row>
    <row r="962" spans="2:6" x14ac:dyDescent="0.25">
      <c r="B962" s="201"/>
      <c r="C962" s="202"/>
      <c r="D962" s="201"/>
      <c r="E962" s="201"/>
      <c r="F962" s="204"/>
    </row>
    <row r="963" spans="2:6" x14ac:dyDescent="0.25">
      <c r="B963" s="201"/>
      <c r="C963" s="202"/>
      <c r="D963" s="201"/>
      <c r="E963" s="201"/>
      <c r="F963" s="204"/>
    </row>
    <row r="964" spans="2:6" x14ac:dyDescent="0.25">
      <c r="B964" s="201"/>
      <c r="C964" s="202"/>
      <c r="D964" s="201"/>
      <c r="E964" s="201"/>
      <c r="F964" s="204"/>
    </row>
    <row r="965" spans="2:6" x14ac:dyDescent="0.25">
      <c r="B965" s="201"/>
      <c r="C965" s="202"/>
      <c r="D965" s="201"/>
      <c r="E965" s="201"/>
      <c r="F965" s="204"/>
    </row>
    <row r="966" spans="2:6" x14ac:dyDescent="0.25">
      <c r="B966" s="201"/>
      <c r="C966" s="202"/>
      <c r="D966" s="201"/>
      <c r="E966" s="201"/>
      <c r="F966" s="204"/>
    </row>
    <row r="967" spans="2:6" x14ac:dyDescent="0.25">
      <c r="B967" s="201"/>
      <c r="C967" s="202"/>
      <c r="D967" s="201"/>
      <c r="E967" s="201"/>
      <c r="F967" s="204"/>
    </row>
    <row r="968" spans="2:6" x14ac:dyDescent="0.25">
      <c r="B968" s="201"/>
      <c r="C968" s="202"/>
      <c r="D968" s="201"/>
      <c r="E968" s="201"/>
      <c r="F968" s="204"/>
    </row>
    <row r="969" spans="2:6" x14ac:dyDescent="0.25">
      <c r="B969" s="201"/>
      <c r="C969" s="202"/>
      <c r="D969" s="201"/>
      <c r="E969" s="201"/>
      <c r="F969" s="204"/>
    </row>
    <row r="970" spans="2:6" x14ac:dyDescent="0.25">
      <c r="B970" s="201"/>
      <c r="C970" s="202"/>
      <c r="D970" s="201"/>
      <c r="E970" s="201"/>
      <c r="F970" s="204"/>
    </row>
    <row r="971" spans="2:6" x14ac:dyDescent="0.25">
      <c r="B971" s="201"/>
      <c r="C971" s="202"/>
      <c r="D971" s="201"/>
      <c r="E971" s="201"/>
      <c r="F971" s="204"/>
    </row>
    <row r="972" spans="2:6" x14ac:dyDescent="0.25">
      <c r="B972" s="201"/>
      <c r="C972" s="202"/>
      <c r="D972" s="201"/>
      <c r="E972" s="201"/>
      <c r="F972" s="204"/>
    </row>
    <row r="973" spans="2:6" x14ac:dyDescent="0.25">
      <c r="B973" s="201"/>
      <c r="C973" s="202"/>
      <c r="D973" s="201"/>
      <c r="E973" s="201"/>
      <c r="F973" s="204"/>
    </row>
    <row r="974" spans="2:6" x14ac:dyDescent="0.25">
      <c r="B974" s="201"/>
      <c r="C974" s="202"/>
      <c r="D974" s="201"/>
      <c r="E974" s="201"/>
      <c r="F974" s="204"/>
    </row>
    <row r="975" spans="2:6" x14ac:dyDescent="0.25">
      <c r="B975" s="201"/>
      <c r="C975" s="202"/>
      <c r="D975" s="201"/>
      <c r="E975" s="201"/>
      <c r="F975" s="204"/>
    </row>
    <row r="976" spans="2:6" x14ac:dyDescent="0.25">
      <c r="B976" s="201"/>
      <c r="C976" s="202"/>
      <c r="D976" s="201"/>
      <c r="E976" s="201"/>
      <c r="F976" s="204"/>
    </row>
    <row r="977" spans="2:6" x14ac:dyDescent="0.25">
      <c r="B977" s="201"/>
      <c r="C977" s="202"/>
      <c r="D977" s="201"/>
      <c r="E977" s="201"/>
      <c r="F977" s="204"/>
    </row>
    <row r="978" spans="2:6" x14ac:dyDescent="0.25">
      <c r="B978" s="201"/>
      <c r="C978" s="202"/>
      <c r="D978" s="201"/>
      <c r="E978" s="201"/>
      <c r="F978" s="204"/>
    </row>
    <row r="979" spans="2:6" x14ac:dyDescent="0.25">
      <c r="B979" s="201"/>
      <c r="C979" s="202"/>
      <c r="D979" s="201"/>
      <c r="E979" s="201"/>
      <c r="F979" s="204"/>
    </row>
    <row r="980" spans="2:6" x14ac:dyDescent="0.25">
      <c r="B980" s="201"/>
      <c r="C980" s="202"/>
      <c r="D980" s="201"/>
      <c r="E980" s="201"/>
      <c r="F980" s="204"/>
    </row>
    <row r="981" spans="2:6" x14ac:dyDescent="0.25">
      <c r="B981" s="201"/>
      <c r="C981" s="202"/>
      <c r="D981" s="201"/>
      <c r="E981" s="201"/>
      <c r="F981" s="204"/>
    </row>
    <row r="982" spans="2:6" x14ac:dyDescent="0.25">
      <c r="B982" s="201"/>
      <c r="C982" s="202"/>
      <c r="D982" s="201"/>
      <c r="E982" s="201"/>
      <c r="F982" s="204"/>
    </row>
    <row r="983" spans="2:6" x14ac:dyDescent="0.25">
      <c r="B983" s="201"/>
      <c r="C983" s="202"/>
      <c r="D983" s="201"/>
      <c r="E983" s="201"/>
      <c r="F983" s="204"/>
    </row>
    <row r="984" spans="2:6" x14ac:dyDescent="0.25">
      <c r="B984" s="201"/>
      <c r="C984" s="202"/>
      <c r="D984" s="201"/>
      <c r="E984" s="201"/>
      <c r="F984" s="204"/>
    </row>
    <row r="985" spans="2:6" x14ac:dyDescent="0.25">
      <c r="B985" s="201"/>
      <c r="C985" s="202"/>
      <c r="D985" s="201"/>
      <c r="E985" s="201"/>
      <c r="F985" s="204"/>
    </row>
    <row r="986" spans="2:6" x14ac:dyDescent="0.25">
      <c r="B986" s="201"/>
      <c r="C986" s="202"/>
      <c r="D986" s="201"/>
      <c r="E986" s="201"/>
      <c r="F986" s="204"/>
    </row>
    <row r="987" spans="2:6" x14ac:dyDescent="0.25">
      <c r="B987" s="201"/>
      <c r="C987" s="202"/>
      <c r="D987" s="201"/>
      <c r="E987" s="201"/>
      <c r="F987" s="204"/>
    </row>
    <row r="988" spans="2:6" x14ac:dyDescent="0.25">
      <c r="B988" s="201"/>
      <c r="C988" s="202"/>
      <c r="D988" s="201"/>
      <c r="E988" s="201"/>
      <c r="F988" s="204"/>
    </row>
    <row r="989" spans="2:6" x14ac:dyDescent="0.25">
      <c r="B989" s="201"/>
      <c r="C989" s="202"/>
      <c r="D989" s="201"/>
      <c r="E989" s="201"/>
      <c r="F989" s="204"/>
    </row>
    <row r="990" spans="2:6" x14ac:dyDescent="0.25">
      <c r="B990" s="201"/>
      <c r="C990" s="202"/>
      <c r="D990" s="201"/>
      <c r="E990" s="201"/>
      <c r="F990" s="204"/>
    </row>
    <row r="991" spans="2:6" x14ac:dyDescent="0.25">
      <c r="B991" s="201"/>
      <c r="C991" s="202"/>
      <c r="D991" s="201"/>
      <c r="E991" s="201"/>
      <c r="F991" s="204"/>
    </row>
    <row r="992" spans="2:6" x14ac:dyDescent="0.25">
      <c r="B992" s="201"/>
      <c r="C992" s="202"/>
      <c r="D992" s="201"/>
      <c r="E992" s="201"/>
      <c r="F992" s="204"/>
    </row>
    <row r="993" spans="2:6" x14ac:dyDescent="0.25">
      <c r="B993" s="201"/>
      <c r="C993" s="202"/>
      <c r="D993" s="201"/>
      <c r="E993" s="201"/>
      <c r="F993" s="204"/>
    </row>
    <row r="994" spans="2:6" x14ac:dyDescent="0.25">
      <c r="B994" s="201"/>
      <c r="C994" s="202"/>
      <c r="D994" s="201"/>
      <c r="E994" s="201"/>
      <c r="F994" s="204"/>
    </row>
    <row r="995" spans="2:6" x14ac:dyDescent="0.25">
      <c r="B995" s="201"/>
      <c r="C995" s="202"/>
      <c r="D995" s="201"/>
      <c r="E995" s="201"/>
      <c r="F995" s="204"/>
    </row>
    <row r="996" spans="2:6" x14ac:dyDescent="0.25">
      <c r="B996" s="201"/>
      <c r="C996" s="202"/>
      <c r="D996" s="201"/>
      <c r="E996" s="201"/>
      <c r="F996" s="204"/>
    </row>
    <row r="997" spans="2:6" x14ac:dyDescent="0.25">
      <c r="B997" s="201"/>
      <c r="C997" s="202"/>
      <c r="D997" s="201"/>
      <c r="E997" s="201"/>
      <c r="F997" s="204"/>
    </row>
    <row r="998" spans="2:6" x14ac:dyDescent="0.25">
      <c r="B998" s="201"/>
      <c r="C998" s="202"/>
      <c r="D998" s="201"/>
      <c r="E998" s="201"/>
      <c r="F998" s="204"/>
    </row>
    <row r="999" spans="2:6" x14ac:dyDescent="0.25">
      <c r="B999" s="201"/>
      <c r="C999" s="202"/>
      <c r="D999" s="201"/>
      <c r="E999" s="201"/>
      <c r="F999" s="204"/>
    </row>
    <row r="1000" spans="2:6" x14ac:dyDescent="0.25">
      <c r="B1000" s="201"/>
      <c r="C1000" s="202"/>
      <c r="D1000" s="201"/>
      <c r="E1000" s="201"/>
      <c r="F1000" s="204"/>
    </row>
    <row r="1001" spans="2:6" x14ac:dyDescent="0.25">
      <c r="B1001" s="201"/>
      <c r="C1001" s="202"/>
      <c r="D1001" s="201"/>
      <c r="E1001" s="201"/>
      <c r="F1001" s="204"/>
    </row>
    <row r="1002" spans="2:6" x14ac:dyDescent="0.25">
      <c r="B1002" s="201"/>
      <c r="C1002" s="202"/>
      <c r="D1002" s="201"/>
      <c r="E1002" s="201"/>
      <c r="F1002" s="204"/>
    </row>
    <row r="1003" spans="2:6" x14ac:dyDescent="0.25">
      <c r="B1003" s="201"/>
      <c r="C1003" s="202"/>
      <c r="D1003" s="201"/>
      <c r="E1003" s="201"/>
      <c r="F1003" s="204"/>
    </row>
    <row r="1004" spans="2:6" x14ac:dyDescent="0.25">
      <c r="B1004" s="201"/>
      <c r="C1004" s="202"/>
      <c r="D1004" s="201"/>
      <c r="E1004" s="201"/>
      <c r="F1004" s="204"/>
    </row>
    <row r="1005" spans="2:6" x14ac:dyDescent="0.25">
      <c r="B1005" s="201"/>
      <c r="C1005" s="202"/>
      <c r="D1005" s="201"/>
      <c r="E1005" s="201"/>
      <c r="F1005" s="204"/>
    </row>
    <row r="1006" spans="2:6" x14ac:dyDescent="0.25">
      <c r="B1006" s="201"/>
      <c r="C1006" s="202"/>
      <c r="D1006" s="201"/>
      <c r="E1006" s="201"/>
      <c r="F1006" s="204"/>
    </row>
    <row r="1007" spans="2:6" x14ac:dyDescent="0.25">
      <c r="B1007" s="201"/>
      <c r="C1007" s="202"/>
      <c r="D1007" s="201"/>
      <c r="E1007" s="201"/>
      <c r="F1007" s="204"/>
    </row>
    <row r="1008" spans="2:6" x14ac:dyDescent="0.25">
      <c r="B1008" s="201"/>
      <c r="C1008" s="202"/>
      <c r="D1008" s="201"/>
      <c r="E1008" s="201"/>
      <c r="F1008" s="204"/>
    </row>
    <row r="1009" spans="2:6" x14ac:dyDescent="0.25">
      <c r="B1009" s="201"/>
      <c r="C1009" s="202"/>
      <c r="D1009" s="201"/>
      <c r="E1009" s="201"/>
      <c r="F1009" s="204"/>
    </row>
    <row r="1010" spans="2:6" x14ac:dyDescent="0.25">
      <c r="B1010" s="201"/>
      <c r="C1010" s="202"/>
      <c r="D1010" s="201"/>
      <c r="E1010" s="201"/>
      <c r="F1010" s="204"/>
    </row>
    <row r="1011" spans="2:6" x14ac:dyDescent="0.25">
      <c r="B1011" s="201"/>
      <c r="C1011" s="202"/>
      <c r="D1011" s="201"/>
      <c r="E1011" s="201"/>
      <c r="F1011" s="204"/>
    </row>
    <row r="1012" spans="2:6" x14ac:dyDescent="0.25">
      <c r="B1012" s="201"/>
      <c r="C1012" s="202"/>
      <c r="D1012" s="201"/>
      <c r="E1012" s="201"/>
      <c r="F1012" s="204"/>
    </row>
    <row r="1013" spans="2:6" x14ac:dyDescent="0.25">
      <c r="B1013" s="201"/>
      <c r="C1013" s="202"/>
      <c r="D1013" s="201"/>
      <c r="E1013" s="201"/>
      <c r="F1013" s="204"/>
    </row>
    <row r="1014" spans="2:6" x14ac:dyDescent="0.25">
      <c r="B1014" s="201"/>
      <c r="C1014" s="202"/>
      <c r="D1014" s="201"/>
      <c r="E1014" s="201"/>
      <c r="F1014" s="204"/>
    </row>
    <row r="1015" spans="2:6" x14ac:dyDescent="0.25">
      <c r="B1015" s="201"/>
      <c r="C1015" s="202"/>
      <c r="D1015" s="201"/>
      <c r="E1015" s="201"/>
      <c r="F1015" s="204"/>
    </row>
    <row r="1016" spans="2:6" x14ac:dyDescent="0.25">
      <c r="B1016" s="201"/>
      <c r="C1016" s="202"/>
      <c r="D1016" s="201"/>
      <c r="E1016" s="201"/>
      <c r="F1016" s="204"/>
    </row>
    <row r="1017" spans="2:6" x14ac:dyDescent="0.25">
      <c r="B1017" s="201"/>
      <c r="C1017" s="202"/>
      <c r="D1017" s="201"/>
      <c r="E1017" s="201"/>
      <c r="F1017" s="204"/>
    </row>
    <row r="1018" spans="2:6" x14ac:dyDescent="0.25">
      <c r="B1018" s="201"/>
      <c r="C1018" s="202"/>
      <c r="D1018" s="201"/>
      <c r="E1018" s="201"/>
      <c r="F1018" s="204"/>
    </row>
    <row r="1019" spans="2:6" x14ac:dyDescent="0.25">
      <c r="B1019" s="201"/>
      <c r="C1019" s="202"/>
      <c r="D1019" s="201"/>
      <c r="E1019" s="201"/>
      <c r="F1019" s="204"/>
    </row>
    <row r="1020" spans="2:6" x14ac:dyDescent="0.25">
      <c r="B1020" s="201"/>
      <c r="C1020" s="202"/>
      <c r="D1020" s="201"/>
      <c r="E1020" s="201"/>
      <c r="F1020" s="204"/>
    </row>
    <row r="1021" spans="2:6" x14ac:dyDescent="0.25">
      <c r="B1021" s="201"/>
      <c r="C1021" s="202"/>
      <c r="D1021" s="201"/>
      <c r="E1021" s="201"/>
      <c r="F1021" s="204"/>
    </row>
    <row r="1022" spans="2:6" x14ac:dyDescent="0.25">
      <c r="B1022" s="201"/>
      <c r="C1022" s="202"/>
      <c r="D1022" s="201"/>
      <c r="E1022" s="201"/>
      <c r="F1022" s="204"/>
    </row>
    <row r="1023" spans="2:6" x14ac:dyDescent="0.25">
      <c r="B1023" s="201"/>
      <c r="C1023" s="202"/>
      <c r="D1023" s="201"/>
      <c r="E1023" s="201"/>
      <c r="F1023" s="204"/>
    </row>
    <row r="1024" spans="2:6" x14ac:dyDescent="0.25">
      <c r="B1024" s="201"/>
      <c r="C1024" s="202"/>
      <c r="D1024" s="201"/>
      <c r="E1024" s="201"/>
      <c r="F1024" s="204"/>
    </row>
    <row r="1025" spans="2:6" x14ac:dyDescent="0.25">
      <c r="B1025" s="201"/>
      <c r="C1025" s="202"/>
      <c r="D1025" s="201"/>
      <c r="E1025" s="201"/>
      <c r="F1025" s="204"/>
    </row>
    <row r="1026" spans="2:6" x14ac:dyDescent="0.25">
      <c r="B1026" s="201"/>
      <c r="C1026" s="202"/>
      <c r="D1026" s="201"/>
      <c r="E1026" s="201"/>
      <c r="F1026" s="204"/>
    </row>
    <row r="1027" spans="2:6" x14ac:dyDescent="0.25">
      <c r="B1027" s="201"/>
      <c r="C1027" s="202"/>
      <c r="D1027" s="201"/>
      <c r="E1027" s="201"/>
      <c r="F1027" s="204"/>
    </row>
    <row r="1028" spans="2:6" x14ac:dyDescent="0.25">
      <c r="B1028" s="201"/>
      <c r="C1028" s="202"/>
      <c r="D1028" s="201"/>
      <c r="E1028" s="201"/>
      <c r="F1028" s="204"/>
    </row>
    <row r="1029" spans="2:6" x14ac:dyDescent="0.25">
      <c r="B1029" s="201"/>
      <c r="C1029" s="202"/>
      <c r="D1029" s="201"/>
      <c r="E1029" s="201"/>
      <c r="F1029" s="204"/>
    </row>
    <row r="1030" spans="2:6" x14ac:dyDescent="0.25">
      <c r="B1030" s="201"/>
      <c r="C1030" s="202"/>
      <c r="D1030" s="201"/>
      <c r="E1030" s="201"/>
      <c r="F1030" s="204"/>
    </row>
    <row r="1031" spans="2:6" x14ac:dyDescent="0.25">
      <c r="B1031" s="201"/>
      <c r="C1031" s="202"/>
      <c r="D1031" s="201"/>
      <c r="E1031" s="201"/>
      <c r="F1031" s="204"/>
    </row>
    <row r="1032" spans="2:6" x14ac:dyDescent="0.25">
      <c r="B1032" s="201"/>
      <c r="C1032" s="202"/>
      <c r="D1032" s="201"/>
      <c r="E1032" s="201"/>
      <c r="F1032" s="204"/>
    </row>
    <row r="1033" spans="2:6" x14ac:dyDescent="0.25">
      <c r="B1033" s="201"/>
      <c r="C1033" s="202"/>
      <c r="D1033" s="201"/>
      <c r="E1033" s="201"/>
      <c r="F1033" s="204"/>
    </row>
    <row r="1034" spans="2:6" x14ac:dyDescent="0.25">
      <c r="B1034" s="201"/>
      <c r="C1034" s="202"/>
      <c r="D1034" s="201"/>
      <c r="E1034" s="201"/>
      <c r="F1034" s="204"/>
    </row>
    <row r="1035" spans="2:6" x14ac:dyDescent="0.25">
      <c r="B1035" s="201"/>
      <c r="C1035" s="202"/>
      <c r="D1035" s="201"/>
      <c r="E1035" s="201"/>
      <c r="F1035" s="204"/>
    </row>
    <row r="1036" spans="2:6" x14ac:dyDescent="0.25">
      <c r="B1036" s="201"/>
      <c r="C1036" s="202"/>
      <c r="D1036" s="201"/>
      <c r="E1036" s="201"/>
      <c r="F1036" s="204"/>
    </row>
    <row r="1037" spans="2:6" x14ac:dyDescent="0.25">
      <c r="B1037" s="201"/>
      <c r="C1037" s="202"/>
      <c r="D1037" s="201"/>
      <c r="E1037" s="201"/>
      <c r="F1037" s="204"/>
    </row>
    <row r="1038" spans="2:6" x14ac:dyDescent="0.25">
      <c r="B1038" s="201"/>
      <c r="C1038" s="202"/>
      <c r="D1038" s="201"/>
      <c r="E1038" s="201"/>
      <c r="F1038" s="204"/>
    </row>
    <row r="1039" spans="2:6" x14ac:dyDescent="0.25">
      <c r="B1039" s="201"/>
      <c r="C1039" s="202"/>
      <c r="D1039" s="201"/>
      <c r="E1039" s="201"/>
      <c r="F1039" s="204"/>
    </row>
    <row r="1040" spans="2:6" x14ac:dyDescent="0.25">
      <c r="B1040" s="201"/>
      <c r="C1040" s="202"/>
      <c r="D1040" s="201"/>
      <c r="E1040" s="201"/>
      <c r="F1040" s="204"/>
    </row>
    <row r="1041" spans="2:2" x14ac:dyDescent="0.25">
      <c r="B1041" s="201"/>
    </row>
    <row r="1042" spans="2:2" x14ac:dyDescent="0.25">
      <c r="B1042" s="201"/>
    </row>
    <row r="1043" spans="2:2" x14ac:dyDescent="0.25">
      <c r="B1043" s="201"/>
    </row>
    <row r="1044" spans="2:2" x14ac:dyDescent="0.25">
      <c r="B1044" s="201"/>
    </row>
    <row r="1045" spans="2:2" x14ac:dyDescent="0.25">
      <c r="B1045" s="201"/>
    </row>
    <row r="1046" spans="2:2" x14ac:dyDescent="0.25">
      <c r="B1046" s="201"/>
    </row>
    <row r="1047" spans="2:2" x14ac:dyDescent="0.25">
      <c r="B1047" s="201"/>
    </row>
    <row r="1048" spans="2:2" x14ac:dyDescent="0.25">
      <c r="B1048" s="201"/>
    </row>
  </sheetData>
  <sheetProtection algorithmName="SHA-512" hashValue="uWsGBWnaOoIR9134hQeYvfd5KS1lmIO6NsxAgmNG+1D7azPN/KEtIFbsjYlFwwwKY/etNlJEtwuYblpT2+KJ+Q==" saltValue="+UHzbhMoKK0YjOSa5SdZXg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139"/>
  <sheetViews>
    <sheetView topLeftCell="A75" zoomScale="85" zoomScaleNormal="85" workbookViewId="0">
      <selection activeCell="J90" sqref="J90"/>
    </sheetView>
  </sheetViews>
  <sheetFormatPr defaultRowHeight="15" x14ac:dyDescent="0.25"/>
  <cols>
    <col min="6" max="6" width="6.7109375" customWidth="1"/>
    <col min="7" max="7" width="26" customWidth="1"/>
    <col min="12" max="12" width="14.28515625" customWidth="1"/>
    <col min="16" max="16" width="22.5703125" customWidth="1"/>
    <col min="18" max="19" width="7.140625" customWidth="1"/>
    <col min="20" max="20" width="6.7109375" style="1" customWidth="1"/>
    <col min="21" max="21" width="9.140625" style="103"/>
  </cols>
  <sheetData>
    <row r="1" spans="1:23" x14ac:dyDescent="0.25">
      <c r="B1" t="s">
        <v>0</v>
      </c>
      <c r="L1" t="s">
        <v>1</v>
      </c>
      <c r="P1" t="s">
        <v>2</v>
      </c>
      <c r="Q1" t="s">
        <v>3</v>
      </c>
    </row>
    <row r="2" spans="1:23" x14ac:dyDescent="0.25">
      <c r="B2" t="s">
        <v>4</v>
      </c>
      <c r="C2" t="s">
        <v>5</v>
      </c>
      <c r="D2" t="s">
        <v>6</v>
      </c>
      <c r="E2" t="s">
        <v>7</v>
      </c>
      <c r="F2" t="s">
        <v>8</v>
      </c>
      <c r="J2" t="s">
        <v>9</v>
      </c>
      <c r="L2" t="s">
        <v>10</v>
      </c>
      <c r="P2" t="s">
        <v>11</v>
      </c>
      <c r="W2" t="s">
        <v>12</v>
      </c>
    </row>
    <row r="3" spans="1:23" x14ac:dyDescent="0.25">
      <c r="B3" t="s">
        <v>13</v>
      </c>
      <c r="F3" t="s">
        <v>9</v>
      </c>
      <c r="H3" s="169" t="s">
        <v>14</v>
      </c>
      <c r="I3" s="169" t="s">
        <v>15</v>
      </c>
      <c r="J3" s="169" t="s">
        <v>16</v>
      </c>
      <c r="L3" t="s">
        <v>17</v>
      </c>
      <c r="P3" t="s">
        <v>18</v>
      </c>
      <c r="W3" t="s">
        <v>19</v>
      </c>
    </row>
    <row r="4" spans="1:23" x14ac:dyDescent="0.25">
      <c r="A4">
        <v>1</v>
      </c>
      <c r="B4" s="108" t="s">
        <v>25</v>
      </c>
      <c r="C4" s="108" t="s">
        <v>25</v>
      </c>
      <c r="D4" s="108" t="s">
        <v>25</v>
      </c>
      <c r="E4" s="108" t="s">
        <v>25</v>
      </c>
      <c r="F4" s="108" t="s">
        <v>26</v>
      </c>
      <c r="G4" s="108" t="s">
        <v>27</v>
      </c>
      <c r="H4" s="168" t="str">
        <f t="shared" ref="H4:H19" si="0">IF(I4&lt;16,CONCATENATE("0",DEC2HEX(I4)),DEC2HEX(I4))</f>
        <v>00</v>
      </c>
      <c r="I4">
        <v>0</v>
      </c>
      <c r="J4" s="152" t="s">
        <v>21</v>
      </c>
      <c r="K4" s="170" t="s">
        <v>22</v>
      </c>
      <c r="L4" s="170" t="s">
        <v>23</v>
      </c>
      <c r="M4" s="170"/>
      <c r="P4" t="s">
        <v>24</v>
      </c>
    </row>
    <row r="5" spans="1:23" x14ac:dyDescent="0.25">
      <c r="A5">
        <f>A4+1</f>
        <v>2</v>
      </c>
      <c r="B5" s="108" t="s">
        <v>25</v>
      </c>
      <c r="C5" s="108" t="s">
        <v>25</v>
      </c>
      <c r="D5" s="108" t="s">
        <v>25</v>
      </c>
      <c r="E5" s="108" t="s">
        <v>25</v>
      </c>
      <c r="F5" s="108" t="s">
        <v>26</v>
      </c>
      <c r="G5" s="108" t="s">
        <v>27</v>
      </c>
      <c r="H5" s="168" t="str">
        <f t="shared" si="0"/>
        <v>01</v>
      </c>
      <c r="I5">
        <v>1</v>
      </c>
      <c r="J5" s="152" t="s">
        <v>21</v>
      </c>
      <c r="K5" s="170"/>
      <c r="L5" s="170" t="s">
        <v>28</v>
      </c>
      <c r="M5" s="170"/>
      <c r="P5" t="s">
        <v>29</v>
      </c>
    </row>
    <row r="6" spans="1:23" x14ac:dyDescent="0.25">
      <c r="A6">
        <f t="shared" ref="A6:A23" si="1">A5+1</f>
        <v>3</v>
      </c>
      <c r="B6" s="208" t="s">
        <v>20</v>
      </c>
      <c r="C6" s="208" t="s">
        <v>1653</v>
      </c>
      <c r="D6" s="208" t="s">
        <v>1654</v>
      </c>
      <c r="E6" s="208" t="s">
        <v>20</v>
      </c>
      <c r="F6" s="208" t="s">
        <v>1655</v>
      </c>
      <c r="G6" s="209" t="s">
        <v>1656</v>
      </c>
      <c r="H6" s="168" t="str">
        <f t="shared" si="0"/>
        <v>02</v>
      </c>
      <c r="I6">
        <f>I5+1</f>
        <v>2</v>
      </c>
      <c r="J6" s="152" t="s">
        <v>21</v>
      </c>
      <c r="K6" s="170"/>
      <c r="L6" s="170" t="s">
        <v>30</v>
      </c>
      <c r="M6" s="170" t="s">
        <v>31</v>
      </c>
      <c r="P6" t="s">
        <v>32</v>
      </c>
    </row>
    <row r="7" spans="1:23" x14ac:dyDescent="0.25">
      <c r="A7">
        <f t="shared" si="1"/>
        <v>4</v>
      </c>
      <c r="B7" s="109" t="s">
        <v>20</v>
      </c>
      <c r="C7" s="109" t="s">
        <v>1782</v>
      </c>
      <c r="D7" s="109" t="s">
        <v>1783</v>
      </c>
      <c r="E7" s="109" t="s">
        <v>20</v>
      </c>
      <c r="F7" s="109" t="s">
        <v>1784</v>
      </c>
      <c r="G7" s="109" t="s">
        <v>1785</v>
      </c>
      <c r="H7" s="168" t="str">
        <f t="shared" si="0"/>
        <v>03</v>
      </c>
      <c r="I7">
        <f t="shared" ref="I7:I70" si="2">I6+1</f>
        <v>3</v>
      </c>
      <c r="J7" s="152" t="s">
        <v>21</v>
      </c>
      <c r="K7" s="170"/>
      <c r="L7" s="170" t="s">
        <v>30</v>
      </c>
      <c r="M7" s="170" t="s">
        <v>33</v>
      </c>
    </row>
    <row r="8" spans="1:23" x14ac:dyDescent="0.25">
      <c r="A8">
        <f t="shared" si="1"/>
        <v>5</v>
      </c>
      <c r="B8" s="108" t="s">
        <v>25</v>
      </c>
      <c r="C8" s="108" t="s">
        <v>25</v>
      </c>
      <c r="D8" s="108" t="s">
        <v>25</v>
      </c>
      <c r="E8" s="108" t="s">
        <v>25</v>
      </c>
      <c r="F8" s="108" t="s">
        <v>26</v>
      </c>
      <c r="G8" s="108" t="s">
        <v>27</v>
      </c>
      <c r="H8" s="168" t="str">
        <f t="shared" si="0"/>
        <v>04</v>
      </c>
      <c r="I8">
        <f t="shared" si="2"/>
        <v>4</v>
      </c>
      <c r="J8" s="152" t="s">
        <v>21</v>
      </c>
      <c r="K8" s="170"/>
      <c r="L8" s="170" t="s">
        <v>30</v>
      </c>
      <c r="M8" s="170" t="s">
        <v>35</v>
      </c>
      <c r="P8" t="s">
        <v>36</v>
      </c>
    </row>
    <row r="9" spans="1:23" x14ac:dyDescent="0.25">
      <c r="A9">
        <f t="shared" si="1"/>
        <v>6</v>
      </c>
      <c r="B9" s="108" t="s">
        <v>25</v>
      </c>
      <c r="C9" s="108" t="s">
        <v>25</v>
      </c>
      <c r="D9" s="108" t="s">
        <v>25</v>
      </c>
      <c r="E9" s="108" t="s">
        <v>25</v>
      </c>
      <c r="F9" s="108" t="s">
        <v>26</v>
      </c>
      <c r="G9" s="108" t="s">
        <v>27</v>
      </c>
      <c r="H9" s="168" t="str">
        <f t="shared" si="0"/>
        <v>05</v>
      </c>
      <c r="I9">
        <f t="shared" si="2"/>
        <v>5</v>
      </c>
      <c r="J9" s="152" t="s">
        <v>21</v>
      </c>
      <c r="K9" s="170"/>
      <c r="L9" s="170" t="s">
        <v>37</v>
      </c>
      <c r="M9" s="170" t="s">
        <v>38</v>
      </c>
      <c r="N9" s="233"/>
      <c r="P9">
        <v>1</v>
      </c>
      <c r="Q9" t="s">
        <v>39</v>
      </c>
    </row>
    <row r="10" spans="1:23" x14ac:dyDescent="0.25">
      <c r="A10">
        <f t="shared" si="1"/>
        <v>7</v>
      </c>
      <c r="B10" s="108" t="s">
        <v>25</v>
      </c>
      <c r="C10" s="108" t="s">
        <v>25</v>
      </c>
      <c r="D10" s="108" t="s">
        <v>25</v>
      </c>
      <c r="E10" s="108" t="s">
        <v>25</v>
      </c>
      <c r="F10" s="108" t="s">
        <v>26</v>
      </c>
      <c r="G10" s="108" t="s">
        <v>27</v>
      </c>
      <c r="H10" s="168" t="str">
        <f t="shared" si="0"/>
        <v>06</v>
      </c>
      <c r="I10">
        <f t="shared" si="2"/>
        <v>6</v>
      </c>
      <c r="J10" s="152" t="s">
        <v>21</v>
      </c>
      <c r="K10" s="170"/>
      <c r="L10" s="170" t="s">
        <v>37</v>
      </c>
      <c r="M10" s="170" t="s">
        <v>40</v>
      </c>
      <c r="P10">
        <v>2</v>
      </c>
      <c r="Q10" t="s">
        <v>41</v>
      </c>
    </row>
    <row r="11" spans="1:23" x14ac:dyDescent="0.25">
      <c r="A11">
        <f t="shared" si="1"/>
        <v>8</v>
      </c>
      <c r="B11" s="109" t="s">
        <v>20</v>
      </c>
      <c r="C11" s="109" t="s">
        <v>42</v>
      </c>
      <c r="D11" s="109" t="s">
        <v>1651</v>
      </c>
      <c r="E11" s="109" t="s">
        <v>20</v>
      </c>
      <c r="F11" s="109" t="s">
        <v>1687</v>
      </c>
      <c r="G11" s="109" t="s">
        <v>43</v>
      </c>
      <c r="H11" s="168" t="str">
        <f t="shared" si="0"/>
        <v>07</v>
      </c>
      <c r="I11">
        <f t="shared" si="2"/>
        <v>7</v>
      </c>
      <c r="J11" s="152" t="s">
        <v>21</v>
      </c>
      <c r="K11" s="170"/>
      <c r="L11" s="170" t="s">
        <v>37</v>
      </c>
      <c r="M11" s="170" t="s">
        <v>44</v>
      </c>
      <c r="N11" s="233"/>
      <c r="P11">
        <v>3</v>
      </c>
      <c r="Q11" t="s">
        <v>45</v>
      </c>
    </row>
    <row r="12" spans="1:23" x14ac:dyDescent="0.25">
      <c r="A12">
        <f t="shared" si="1"/>
        <v>9</v>
      </c>
      <c r="B12" s="108" t="s">
        <v>25</v>
      </c>
      <c r="C12" s="108" t="s">
        <v>25</v>
      </c>
      <c r="D12" s="108" t="s">
        <v>25</v>
      </c>
      <c r="E12" s="108" t="s">
        <v>25</v>
      </c>
      <c r="F12" s="108" t="s">
        <v>26</v>
      </c>
      <c r="G12" s="108" t="s">
        <v>27</v>
      </c>
      <c r="H12" s="168" t="str">
        <f t="shared" si="0"/>
        <v>08</v>
      </c>
      <c r="I12">
        <f t="shared" si="2"/>
        <v>8</v>
      </c>
      <c r="J12" s="152" t="s">
        <v>21</v>
      </c>
      <c r="K12" s="170"/>
      <c r="L12" s="170" t="s">
        <v>37</v>
      </c>
      <c r="M12" s="170" t="s">
        <v>46</v>
      </c>
      <c r="P12">
        <v>4</v>
      </c>
      <c r="Q12" t="s">
        <v>47</v>
      </c>
    </row>
    <row r="13" spans="1:23" x14ac:dyDescent="0.25">
      <c r="A13">
        <f t="shared" si="1"/>
        <v>10</v>
      </c>
      <c r="B13" s="108" t="s">
        <v>25</v>
      </c>
      <c r="C13" s="108" t="s">
        <v>25</v>
      </c>
      <c r="D13" s="108" t="s">
        <v>25</v>
      </c>
      <c r="E13" s="108" t="s">
        <v>25</v>
      </c>
      <c r="F13" s="108" t="s">
        <v>26</v>
      </c>
      <c r="G13" s="108" t="s">
        <v>27</v>
      </c>
      <c r="H13" s="168" t="str">
        <f t="shared" si="0"/>
        <v>09</v>
      </c>
      <c r="I13">
        <f t="shared" si="2"/>
        <v>9</v>
      </c>
      <c r="J13" s="152" t="s">
        <v>21</v>
      </c>
      <c r="K13" s="170"/>
      <c r="L13" s="170" t="s">
        <v>37</v>
      </c>
      <c r="M13" s="170" t="s">
        <v>48</v>
      </c>
      <c r="P13">
        <v>5</v>
      </c>
      <c r="Q13" t="s">
        <v>49</v>
      </c>
    </row>
    <row r="14" spans="1:23" x14ac:dyDescent="0.25">
      <c r="A14">
        <f t="shared" si="1"/>
        <v>11</v>
      </c>
      <c r="B14" s="108" t="s">
        <v>25</v>
      </c>
      <c r="C14" s="108" t="s">
        <v>25</v>
      </c>
      <c r="D14" s="108" t="s">
        <v>25</v>
      </c>
      <c r="E14" s="108" t="s">
        <v>25</v>
      </c>
      <c r="F14" s="108" t="s">
        <v>26</v>
      </c>
      <c r="G14" s="108" t="s">
        <v>27</v>
      </c>
      <c r="H14" s="168" t="str">
        <f t="shared" si="0"/>
        <v>0A</v>
      </c>
      <c r="I14">
        <f t="shared" si="2"/>
        <v>10</v>
      </c>
      <c r="J14" s="152" t="s">
        <v>21</v>
      </c>
      <c r="K14" s="170"/>
      <c r="L14" s="170" t="s">
        <v>37</v>
      </c>
      <c r="M14" s="170" t="s">
        <v>50</v>
      </c>
      <c r="P14">
        <v>6</v>
      </c>
      <c r="Q14" t="s">
        <v>51</v>
      </c>
      <c r="S14" t="s">
        <v>52</v>
      </c>
    </row>
    <row r="15" spans="1:23" x14ac:dyDescent="0.25">
      <c r="A15">
        <f t="shared" si="1"/>
        <v>12</v>
      </c>
      <c r="B15" s="108" t="s">
        <v>25</v>
      </c>
      <c r="C15" s="108" t="s">
        <v>25</v>
      </c>
      <c r="D15" s="108" t="s">
        <v>25</v>
      </c>
      <c r="E15" s="108" t="s">
        <v>25</v>
      </c>
      <c r="F15" s="108" t="s">
        <v>26</v>
      </c>
      <c r="G15" s="108" t="s">
        <v>27</v>
      </c>
      <c r="H15" s="168" t="str">
        <f t="shared" si="0"/>
        <v>0B</v>
      </c>
      <c r="I15">
        <f t="shared" si="2"/>
        <v>11</v>
      </c>
      <c r="J15" s="152" t="s">
        <v>21</v>
      </c>
      <c r="K15" s="170"/>
      <c r="L15" s="170" t="s">
        <v>37</v>
      </c>
      <c r="M15" s="170" t="s">
        <v>53</v>
      </c>
      <c r="P15">
        <v>7</v>
      </c>
      <c r="Q15" t="s">
        <v>54</v>
      </c>
    </row>
    <row r="16" spans="1:23" x14ac:dyDescent="0.25">
      <c r="A16">
        <f t="shared" si="1"/>
        <v>13</v>
      </c>
      <c r="B16" s="108" t="s">
        <v>25</v>
      </c>
      <c r="C16" s="108" t="s">
        <v>25</v>
      </c>
      <c r="D16" s="108" t="s">
        <v>25</v>
      </c>
      <c r="E16" s="108" t="s">
        <v>25</v>
      </c>
      <c r="F16" s="108" t="s">
        <v>26</v>
      </c>
      <c r="G16" s="108" t="s">
        <v>27</v>
      </c>
      <c r="H16" s="168" t="str">
        <f t="shared" si="0"/>
        <v>0C</v>
      </c>
      <c r="I16">
        <f t="shared" si="2"/>
        <v>12</v>
      </c>
      <c r="J16" s="152" t="s">
        <v>21</v>
      </c>
      <c r="K16" s="170"/>
      <c r="L16" s="170" t="s">
        <v>37</v>
      </c>
      <c r="M16" s="170" t="s">
        <v>55</v>
      </c>
      <c r="P16">
        <v>8</v>
      </c>
      <c r="Q16" t="s">
        <v>56</v>
      </c>
    </row>
    <row r="17" spans="1:19" x14ac:dyDescent="0.25">
      <c r="A17">
        <f t="shared" si="1"/>
        <v>14</v>
      </c>
      <c r="B17" s="108" t="s">
        <v>25</v>
      </c>
      <c r="C17" s="108" t="s">
        <v>25</v>
      </c>
      <c r="D17" s="108" t="s">
        <v>25</v>
      </c>
      <c r="E17" s="108" t="s">
        <v>25</v>
      </c>
      <c r="F17" s="108" t="s">
        <v>26</v>
      </c>
      <c r="G17" s="108" t="s">
        <v>27</v>
      </c>
      <c r="H17" s="168" t="str">
        <f t="shared" si="0"/>
        <v>0D</v>
      </c>
      <c r="I17">
        <f t="shared" si="2"/>
        <v>13</v>
      </c>
      <c r="J17" s="152" t="s">
        <v>21</v>
      </c>
      <c r="K17" s="170"/>
      <c r="L17" s="170" t="s">
        <v>37</v>
      </c>
      <c r="M17" s="170" t="s">
        <v>57</v>
      </c>
      <c r="N17" s="233"/>
      <c r="P17">
        <v>9</v>
      </c>
      <c r="Q17" t="s">
        <v>58</v>
      </c>
    </row>
    <row r="18" spans="1:19" x14ac:dyDescent="0.25">
      <c r="A18">
        <f t="shared" si="1"/>
        <v>15</v>
      </c>
      <c r="B18" s="108" t="s">
        <v>25</v>
      </c>
      <c r="C18" s="108" t="s">
        <v>25</v>
      </c>
      <c r="D18" s="108" t="s">
        <v>25</v>
      </c>
      <c r="E18" s="108" t="s">
        <v>25</v>
      </c>
      <c r="F18" s="108" t="s">
        <v>26</v>
      </c>
      <c r="G18" s="108" t="s">
        <v>27</v>
      </c>
      <c r="H18" s="168" t="str">
        <f t="shared" si="0"/>
        <v>0E</v>
      </c>
      <c r="I18">
        <f t="shared" si="2"/>
        <v>14</v>
      </c>
      <c r="J18" s="152" t="s">
        <v>21</v>
      </c>
      <c r="K18" s="170"/>
      <c r="L18" s="170" t="s">
        <v>37</v>
      </c>
      <c r="M18" s="170" t="s">
        <v>59</v>
      </c>
      <c r="P18">
        <v>128</v>
      </c>
      <c r="Q18" t="s">
        <v>60</v>
      </c>
    </row>
    <row r="19" spans="1:19" x14ac:dyDescent="0.25">
      <c r="A19">
        <f t="shared" si="1"/>
        <v>16</v>
      </c>
      <c r="B19" s="108" t="s">
        <v>25</v>
      </c>
      <c r="C19" s="108" t="s">
        <v>25</v>
      </c>
      <c r="D19" s="108" t="s">
        <v>25</v>
      </c>
      <c r="E19" s="108" t="s">
        <v>25</v>
      </c>
      <c r="F19" s="108" t="s">
        <v>26</v>
      </c>
      <c r="G19" s="108" t="s">
        <v>27</v>
      </c>
      <c r="H19" s="168" t="str">
        <f t="shared" si="0"/>
        <v>0F</v>
      </c>
      <c r="I19">
        <f t="shared" si="2"/>
        <v>15</v>
      </c>
      <c r="J19" s="152" t="s">
        <v>21</v>
      </c>
      <c r="K19" s="170"/>
      <c r="L19" s="170" t="s">
        <v>37</v>
      </c>
      <c r="M19" s="170" t="s">
        <v>61</v>
      </c>
      <c r="N19" s="233"/>
      <c r="P19">
        <v>129</v>
      </c>
      <c r="Q19" t="s">
        <v>62</v>
      </c>
      <c r="S19" t="s">
        <v>63</v>
      </c>
    </row>
    <row r="20" spans="1:19" x14ac:dyDescent="0.25">
      <c r="A20">
        <f t="shared" si="1"/>
        <v>17</v>
      </c>
      <c r="B20" s="108" t="s">
        <v>25</v>
      </c>
      <c r="C20" s="108" t="s">
        <v>25</v>
      </c>
      <c r="D20" s="108" t="s">
        <v>25</v>
      </c>
      <c r="E20" s="108" t="s">
        <v>25</v>
      </c>
      <c r="F20" s="108" t="s">
        <v>26</v>
      </c>
      <c r="G20" s="108" t="s">
        <v>27</v>
      </c>
      <c r="H20" s="168" t="str">
        <f t="shared" ref="H20:H83" si="3">IF(I20&lt;16,CONCATENATE("0",DEC2HEX(I20)),DEC2HEX(I20))</f>
        <v>10</v>
      </c>
      <c r="I20">
        <f t="shared" si="2"/>
        <v>16</v>
      </c>
      <c r="J20" s="152" t="s">
        <v>21</v>
      </c>
      <c r="K20" s="170"/>
      <c r="L20" s="170" t="s">
        <v>37</v>
      </c>
      <c r="M20" s="170" t="s">
        <v>64</v>
      </c>
    </row>
    <row r="21" spans="1:19" x14ac:dyDescent="0.25">
      <c r="A21">
        <f t="shared" si="1"/>
        <v>18</v>
      </c>
      <c r="B21" s="108" t="s">
        <v>25</v>
      </c>
      <c r="C21" s="108" t="s">
        <v>25</v>
      </c>
      <c r="D21" s="108" t="s">
        <v>25</v>
      </c>
      <c r="E21" s="108" t="s">
        <v>25</v>
      </c>
      <c r="F21" s="108" t="s">
        <v>26</v>
      </c>
      <c r="G21" s="108" t="s">
        <v>27</v>
      </c>
      <c r="H21" s="168" t="str">
        <f t="shared" si="3"/>
        <v>11</v>
      </c>
      <c r="I21">
        <f t="shared" si="2"/>
        <v>17</v>
      </c>
      <c r="J21" s="152" t="s">
        <v>21</v>
      </c>
      <c r="K21" s="170"/>
      <c r="L21" s="170" t="s">
        <v>37</v>
      </c>
      <c r="M21" s="170" t="s">
        <v>65</v>
      </c>
      <c r="N21" s="233"/>
      <c r="P21" s="170" t="s">
        <v>6</v>
      </c>
      <c r="Q21" s="170" t="s">
        <v>66</v>
      </c>
      <c r="R21" s="170" t="s">
        <v>67</v>
      </c>
    </row>
    <row r="22" spans="1:19" x14ac:dyDescent="0.25">
      <c r="A22">
        <f t="shared" si="1"/>
        <v>19</v>
      </c>
      <c r="B22" s="108" t="s">
        <v>25</v>
      </c>
      <c r="C22" s="108" t="s">
        <v>25</v>
      </c>
      <c r="D22" s="108" t="s">
        <v>25</v>
      </c>
      <c r="E22" s="108" t="s">
        <v>25</v>
      </c>
      <c r="F22" s="108" t="s">
        <v>26</v>
      </c>
      <c r="G22" s="108" t="s">
        <v>27</v>
      </c>
      <c r="H22" s="168" t="str">
        <f t="shared" si="3"/>
        <v>12</v>
      </c>
      <c r="I22">
        <f t="shared" si="2"/>
        <v>18</v>
      </c>
      <c r="J22" s="152" t="s">
        <v>21</v>
      </c>
      <c r="K22" s="170"/>
      <c r="L22" s="170" t="s">
        <v>37</v>
      </c>
      <c r="M22" s="170" t="s">
        <v>68</v>
      </c>
      <c r="N22" s="233"/>
      <c r="Q22" t="s">
        <v>69</v>
      </c>
      <c r="R22" t="s">
        <v>70</v>
      </c>
    </row>
    <row r="23" spans="1:19" x14ac:dyDescent="0.25">
      <c r="A23">
        <f t="shared" si="1"/>
        <v>20</v>
      </c>
      <c r="B23" s="108" t="s">
        <v>25</v>
      </c>
      <c r="C23" s="108" t="s">
        <v>25</v>
      </c>
      <c r="D23" s="108" t="s">
        <v>25</v>
      </c>
      <c r="E23" s="108" t="s">
        <v>25</v>
      </c>
      <c r="F23" s="108" t="s">
        <v>26</v>
      </c>
      <c r="G23" s="108" t="s">
        <v>27</v>
      </c>
      <c r="H23" s="168" t="str">
        <f t="shared" si="3"/>
        <v>13</v>
      </c>
      <c r="I23">
        <f t="shared" si="2"/>
        <v>19</v>
      </c>
      <c r="J23" s="152" t="s">
        <v>21</v>
      </c>
      <c r="K23" s="170"/>
      <c r="L23" s="170" t="s">
        <v>37</v>
      </c>
      <c r="M23" s="170" t="s">
        <v>71</v>
      </c>
      <c r="N23" s="233"/>
    </row>
    <row r="24" spans="1:19" x14ac:dyDescent="0.25">
      <c r="H24" s="168" t="str">
        <f t="shared" si="3"/>
        <v>14</v>
      </c>
      <c r="I24">
        <f t="shared" si="2"/>
        <v>20</v>
      </c>
      <c r="J24" s="152" t="s">
        <v>21</v>
      </c>
      <c r="K24" s="170"/>
      <c r="L24" s="170" t="s">
        <v>37</v>
      </c>
      <c r="M24" s="170" t="s">
        <v>72</v>
      </c>
      <c r="N24" s="233"/>
    </row>
    <row r="25" spans="1:19" x14ac:dyDescent="0.25">
      <c r="H25" s="168" t="str">
        <f t="shared" si="3"/>
        <v>15</v>
      </c>
      <c r="I25">
        <f t="shared" si="2"/>
        <v>21</v>
      </c>
      <c r="J25" s="175" t="s">
        <v>2218</v>
      </c>
      <c r="K25" s="170"/>
      <c r="L25" s="170" t="s">
        <v>73</v>
      </c>
      <c r="M25" s="170" t="s">
        <v>74</v>
      </c>
      <c r="N25" s="152" t="s">
        <v>75</v>
      </c>
    </row>
    <row r="26" spans="1:19" x14ac:dyDescent="0.25">
      <c r="H26" s="168" t="str">
        <f t="shared" si="3"/>
        <v>16</v>
      </c>
      <c r="I26">
        <f t="shared" si="2"/>
        <v>22</v>
      </c>
      <c r="J26" s="152" t="s">
        <v>21</v>
      </c>
      <c r="K26" s="170"/>
      <c r="L26" s="170" t="s">
        <v>76</v>
      </c>
      <c r="M26" s="170"/>
    </row>
    <row r="27" spans="1:19" x14ac:dyDescent="0.25">
      <c r="H27" s="168" t="str">
        <f t="shared" si="3"/>
        <v>17</v>
      </c>
      <c r="I27">
        <f t="shared" si="2"/>
        <v>23</v>
      </c>
      <c r="J27" s="152" t="s">
        <v>21</v>
      </c>
      <c r="K27" s="170"/>
      <c r="L27" s="170" t="s">
        <v>76</v>
      </c>
      <c r="M27" s="170"/>
    </row>
    <row r="28" spans="1:19" x14ac:dyDescent="0.25">
      <c r="H28" s="168" t="str">
        <f t="shared" si="3"/>
        <v>18</v>
      </c>
      <c r="I28">
        <f t="shared" si="2"/>
        <v>24</v>
      </c>
      <c r="J28" s="152" t="s">
        <v>21</v>
      </c>
      <c r="K28" s="170"/>
      <c r="L28" s="170" t="s">
        <v>77</v>
      </c>
      <c r="M28" s="170" t="s">
        <v>78</v>
      </c>
    </row>
    <row r="29" spans="1:19" x14ac:dyDescent="0.25">
      <c r="H29" s="168" t="str">
        <f t="shared" si="3"/>
        <v>19</v>
      </c>
      <c r="I29">
        <f t="shared" si="2"/>
        <v>25</v>
      </c>
      <c r="J29" s="152" t="s">
        <v>21</v>
      </c>
      <c r="K29" s="170"/>
      <c r="L29" s="170" t="s">
        <v>79</v>
      </c>
      <c r="M29" s="170" t="s">
        <v>74</v>
      </c>
    </row>
    <row r="30" spans="1:19" x14ac:dyDescent="0.25">
      <c r="H30" s="168" t="str">
        <f t="shared" si="3"/>
        <v>1A</v>
      </c>
      <c r="I30">
        <f t="shared" si="2"/>
        <v>26</v>
      </c>
      <c r="J30" s="152" t="s">
        <v>21</v>
      </c>
      <c r="K30" s="170"/>
      <c r="L30" s="170" t="s">
        <v>79</v>
      </c>
      <c r="M30" s="170" t="s">
        <v>78</v>
      </c>
    </row>
    <row r="31" spans="1:19" x14ac:dyDescent="0.25">
      <c r="H31" s="168" t="str">
        <f t="shared" si="3"/>
        <v>1B</v>
      </c>
      <c r="I31">
        <f t="shared" si="2"/>
        <v>27</v>
      </c>
      <c r="J31" s="152" t="s">
        <v>21</v>
      </c>
      <c r="K31" s="170"/>
      <c r="L31" s="170" t="s">
        <v>80</v>
      </c>
      <c r="M31" s="170" t="s">
        <v>74</v>
      </c>
    </row>
    <row r="32" spans="1:19" x14ac:dyDescent="0.25">
      <c r="H32" s="168" t="str">
        <f t="shared" si="3"/>
        <v>1C</v>
      </c>
      <c r="I32">
        <f t="shared" si="2"/>
        <v>28</v>
      </c>
      <c r="J32" s="152" t="s">
        <v>21</v>
      </c>
      <c r="K32" s="170"/>
      <c r="L32" s="170" t="s">
        <v>80</v>
      </c>
      <c r="M32" s="170" t="s">
        <v>78</v>
      </c>
    </row>
    <row r="33" spans="8:14" x14ac:dyDescent="0.25">
      <c r="H33" s="168" t="str">
        <f t="shared" si="3"/>
        <v>1D</v>
      </c>
      <c r="I33">
        <f t="shared" si="2"/>
        <v>29</v>
      </c>
      <c r="J33" s="152" t="s">
        <v>21</v>
      </c>
      <c r="K33" s="170"/>
      <c r="L33" s="170" t="s">
        <v>81</v>
      </c>
      <c r="M33" s="170" t="s">
        <v>74</v>
      </c>
    </row>
    <row r="34" spans="8:14" x14ac:dyDescent="0.25">
      <c r="H34" s="168" t="str">
        <f t="shared" si="3"/>
        <v>1E</v>
      </c>
      <c r="I34">
        <f t="shared" si="2"/>
        <v>30</v>
      </c>
      <c r="J34" s="152" t="s">
        <v>21</v>
      </c>
      <c r="K34" s="170"/>
      <c r="L34" s="170" t="s">
        <v>81</v>
      </c>
      <c r="M34" s="170" t="s">
        <v>78</v>
      </c>
    </row>
    <row r="35" spans="8:14" x14ac:dyDescent="0.25">
      <c r="H35" s="168" t="str">
        <f t="shared" si="3"/>
        <v>1F</v>
      </c>
      <c r="I35">
        <f t="shared" si="2"/>
        <v>31</v>
      </c>
      <c r="J35" s="152" t="s">
        <v>21</v>
      </c>
      <c r="K35" s="170"/>
      <c r="L35" s="170" t="s">
        <v>82</v>
      </c>
      <c r="M35" s="170"/>
    </row>
    <row r="36" spans="8:14" x14ac:dyDescent="0.25">
      <c r="H36" s="168" t="str">
        <f t="shared" si="3"/>
        <v>20</v>
      </c>
      <c r="I36">
        <f t="shared" si="2"/>
        <v>32</v>
      </c>
      <c r="J36" s="152" t="s">
        <v>21</v>
      </c>
      <c r="K36" s="170"/>
      <c r="L36" s="170" t="s">
        <v>83</v>
      </c>
      <c r="M36" s="170"/>
    </row>
    <row r="37" spans="8:14" x14ac:dyDescent="0.25">
      <c r="H37" s="168" t="str">
        <f t="shared" si="3"/>
        <v>21</v>
      </c>
      <c r="I37">
        <f t="shared" si="2"/>
        <v>33</v>
      </c>
      <c r="J37" s="152" t="s">
        <v>21</v>
      </c>
      <c r="K37" s="170" t="s">
        <v>84</v>
      </c>
      <c r="L37" s="170" t="s">
        <v>85</v>
      </c>
      <c r="M37" s="170"/>
    </row>
    <row r="38" spans="8:14" x14ac:dyDescent="0.25">
      <c r="H38" s="168" t="str">
        <f t="shared" si="3"/>
        <v>22</v>
      </c>
      <c r="I38">
        <f t="shared" si="2"/>
        <v>34</v>
      </c>
      <c r="J38" s="152" t="s">
        <v>21</v>
      </c>
      <c r="K38" s="170"/>
      <c r="L38" s="170" t="s">
        <v>87</v>
      </c>
      <c r="M38" s="170"/>
      <c r="N38" s="233"/>
    </row>
    <row r="39" spans="8:14" x14ac:dyDescent="0.25">
      <c r="H39" s="168" t="str">
        <f t="shared" si="3"/>
        <v>23</v>
      </c>
      <c r="I39">
        <f t="shared" si="2"/>
        <v>35</v>
      </c>
      <c r="J39" s="152" t="s">
        <v>21</v>
      </c>
      <c r="K39" s="170"/>
      <c r="L39" s="170" t="s">
        <v>88</v>
      </c>
      <c r="M39" s="170"/>
    </row>
    <row r="40" spans="8:14" x14ac:dyDescent="0.25">
      <c r="H40" s="168" t="str">
        <f t="shared" si="3"/>
        <v>24</v>
      </c>
      <c r="I40">
        <f t="shared" si="2"/>
        <v>36</v>
      </c>
      <c r="J40" s="152" t="s">
        <v>21</v>
      </c>
      <c r="K40" s="170"/>
      <c r="L40" s="170" t="s">
        <v>82</v>
      </c>
      <c r="M40" s="170"/>
    </row>
    <row r="41" spans="8:14" x14ac:dyDescent="0.25">
      <c r="H41" s="168" t="str">
        <f t="shared" si="3"/>
        <v>25</v>
      </c>
      <c r="I41">
        <f t="shared" si="2"/>
        <v>37</v>
      </c>
      <c r="J41" s="152" t="s">
        <v>21</v>
      </c>
      <c r="K41" s="170"/>
      <c r="L41" s="170" t="s">
        <v>83</v>
      </c>
      <c r="M41" s="170"/>
    </row>
    <row r="42" spans="8:14" x14ac:dyDescent="0.25">
      <c r="H42" s="168" t="str">
        <f t="shared" si="3"/>
        <v>26</v>
      </c>
      <c r="I42">
        <f t="shared" si="2"/>
        <v>38</v>
      </c>
      <c r="J42" s="152" t="s">
        <v>21</v>
      </c>
      <c r="K42" s="170"/>
      <c r="L42" s="170" t="s">
        <v>89</v>
      </c>
      <c r="M42" s="170"/>
    </row>
    <row r="43" spans="8:14" x14ac:dyDescent="0.25">
      <c r="H43" s="168" t="str">
        <f t="shared" si="3"/>
        <v>27</v>
      </c>
      <c r="I43">
        <f t="shared" si="2"/>
        <v>39</v>
      </c>
      <c r="J43" s="152" t="s">
        <v>21</v>
      </c>
      <c r="K43" s="170"/>
      <c r="L43" s="170" t="s">
        <v>90</v>
      </c>
      <c r="M43" s="170"/>
    </row>
    <row r="44" spans="8:14" x14ac:dyDescent="0.25">
      <c r="H44" s="168" t="str">
        <f t="shared" si="3"/>
        <v>28</v>
      </c>
      <c r="I44">
        <f t="shared" si="2"/>
        <v>40</v>
      </c>
      <c r="J44" s="152" t="s">
        <v>21</v>
      </c>
      <c r="K44" s="170"/>
      <c r="L44" s="170" t="s">
        <v>91</v>
      </c>
      <c r="M44" s="170"/>
    </row>
    <row r="45" spans="8:14" x14ac:dyDescent="0.25">
      <c r="H45" s="168" t="str">
        <f t="shared" si="3"/>
        <v>29</v>
      </c>
      <c r="I45">
        <f t="shared" si="2"/>
        <v>41</v>
      </c>
      <c r="J45" s="152" t="s">
        <v>21</v>
      </c>
      <c r="K45" s="170"/>
      <c r="L45" s="170" t="s">
        <v>92</v>
      </c>
      <c r="M45" s="170"/>
    </row>
    <row r="46" spans="8:14" x14ac:dyDescent="0.25">
      <c r="H46" s="168" t="str">
        <f t="shared" si="3"/>
        <v>2A</v>
      </c>
      <c r="I46">
        <f t="shared" si="2"/>
        <v>42</v>
      </c>
      <c r="J46" s="152" t="s">
        <v>21</v>
      </c>
      <c r="K46" s="170" t="s">
        <v>93</v>
      </c>
      <c r="L46" s="170" t="s">
        <v>94</v>
      </c>
      <c r="M46" s="170"/>
    </row>
    <row r="47" spans="8:14" x14ac:dyDescent="0.25">
      <c r="H47" s="168" t="str">
        <f t="shared" si="3"/>
        <v>2B</v>
      </c>
      <c r="I47">
        <f t="shared" si="2"/>
        <v>43</v>
      </c>
      <c r="J47" s="152" t="s">
        <v>21</v>
      </c>
      <c r="K47" s="170"/>
      <c r="L47" s="170" t="s">
        <v>95</v>
      </c>
      <c r="M47" s="170" t="s">
        <v>96</v>
      </c>
    </row>
    <row r="48" spans="8:14" x14ac:dyDescent="0.25">
      <c r="H48" s="168" t="str">
        <f t="shared" si="3"/>
        <v>2C</v>
      </c>
      <c r="I48">
        <f t="shared" si="2"/>
        <v>44</v>
      </c>
      <c r="J48" s="152" t="s">
        <v>21</v>
      </c>
      <c r="K48" s="170"/>
      <c r="L48" s="170" t="s">
        <v>95</v>
      </c>
      <c r="M48" s="170" t="s">
        <v>97</v>
      </c>
    </row>
    <row r="49" spans="8:14" x14ac:dyDescent="0.25">
      <c r="H49" s="168" t="str">
        <f t="shared" si="3"/>
        <v>2D</v>
      </c>
      <c r="I49">
        <f t="shared" si="2"/>
        <v>45</v>
      </c>
      <c r="J49" s="152" t="s">
        <v>21</v>
      </c>
      <c r="K49" s="170"/>
      <c r="L49" s="170" t="s">
        <v>98</v>
      </c>
      <c r="M49" s="170" t="s">
        <v>96</v>
      </c>
    </row>
    <row r="50" spans="8:14" x14ac:dyDescent="0.25">
      <c r="H50" s="168" t="str">
        <f t="shared" si="3"/>
        <v>2E</v>
      </c>
      <c r="I50">
        <f t="shared" si="2"/>
        <v>46</v>
      </c>
      <c r="J50" s="152" t="s">
        <v>21</v>
      </c>
      <c r="K50" s="170"/>
      <c r="L50" s="170" t="s">
        <v>98</v>
      </c>
      <c r="M50" s="170" t="s">
        <v>97</v>
      </c>
    </row>
    <row r="51" spans="8:14" x14ac:dyDescent="0.25">
      <c r="H51" s="168" t="str">
        <f t="shared" si="3"/>
        <v>2F</v>
      </c>
      <c r="I51">
        <f t="shared" si="2"/>
        <v>47</v>
      </c>
      <c r="J51" s="152" t="s">
        <v>21</v>
      </c>
      <c r="K51" s="170"/>
      <c r="L51" s="170" t="s">
        <v>77</v>
      </c>
      <c r="M51" s="170" t="s">
        <v>96</v>
      </c>
    </row>
    <row r="52" spans="8:14" x14ac:dyDescent="0.25">
      <c r="H52" s="168" t="str">
        <f t="shared" si="3"/>
        <v>30</v>
      </c>
      <c r="I52">
        <f t="shared" si="2"/>
        <v>48</v>
      </c>
      <c r="J52" s="152" t="s">
        <v>21</v>
      </c>
      <c r="K52" s="170"/>
      <c r="L52" s="170" t="s">
        <v>77</v>
      </c>
      <c r="M52" s="170" t="s">
        <v>97</v>
      </c>
    </row>
    <row r="53" spans="8:14" x14ac:dyDescent="0.25">
      <c r="H53" s="168" t="str">
        <f t="shared" si="3"/>
        <v>31</v>
      </c>
      <c r="I53">
        <f t="shared" si="2"/>
        <v>49</v>
      </c>
      <c r="J53" s="152" t="s">
        <v>21</v>
      </c>
      <c r="K53" s="170"/>
      <c r="L53" s="170" t="s">
        <v>99</v>
      </c>
      <c r="M53" s="170"/>
    </row>
    <row r="54" spans="8:14" x14ac:dyDescent="0.25">
      <c r="H54" s="168" t="str">
        <f t="shared" si="3"/>
        <v>32</v>
      </c>
      <c r="I54">
        <f t="shared" si="2"/>
        <v>50</v>
      </c>
      <c r="J54" s="152" t="s">
        <v>21</v>
      </c>
      <c r="K54" s="170"/>
      <c r="L54" s="170" t="s">
        <v>100</v>
      </c>
      <c r="M54" s="170"/>
    </row>
    <row r="55" spans="8:14" x14ac:dyDescent="0.25">
      <c r="H55" s="168" t="str">
        <f t="shared" si="3"/>
        <v>33</v>
      </c>
      <c r="I55">
        <f t="shared" si="2"/>
        <v>51</v>
      </c>
      <c r="J55" s="152" t="s">
        <v>21</v>
      </c>
      <c r="K55" s="170"/>
      <c r="L55" s="170" t="s">
        <v>89</v>
      </c>
      <c r="M55" s="170"/>
    </row>
    <row r="56" spans="8:14" x14ac:dyDescent="0.25">
      <c r="H56" s="168" t="str">
        <f t="shared" si="3"/>
        <v>34</v>
      </c>
      <c r="I56">
        <f t="shared" si="2"/>
        <v>52</v>
      </c>
      <c r="J56" s="152" t="s">
        <v>21</v>
      </c>
      <c r="K56" s="170"/>
      <c r="L56" s="170" t="s">
        <v>90</v>
      </c>
      <c r="M56" s="170"/>
    </row>
    <row r="57" spans="8:14" x14ac:dyDescent="0.25">
      <c r="H57" s="168" t="str">
        <f t="shared" si="3"/>
        <v>35</v>
      </c>
      <c r="I57">
        <f t="shared" si="2"/>
        <v>53</v>
      </c>
      <c r="J57" s="152" t="s">
        <v>21</v>
      </c>
      <c r="K57" s="170"/>
      <c r="L57" s="170" t="s">
        <v>91</v>
      </c>
      <c r="M57" s="170"/>
    </row>
    <row r="58" spans="8:14" x14ac:dyDescent="0.25">
      <c r="H58" s="168" t="str">
        <f t="shared" si="3"/>
        <v>36</v>
      </c>
      <c r="I58">
        <f t="shared" si="2"/>
        <v>54</v>
      </c>
      <c r="J58" s="152" t="s">
        <v>21</v>
      </c>
      <c r="K58" s="170"/>
      <c r="L58" s="170" t="s">
        <v>92</v>
      </c>
      <c r="M58" s="170"/>
    </row>
    <row r="59" spans="8:14" x14ac:dyDescent="0.25">
      <c r="H59" s="168" t="str">
        <f t="shared" si="3"/>
        <v>37</v>
      </c>
      <c r="I59">
        <f t="shared" si="2"/>
        <v>55</v>
      </c>
      <c r="J59" s="175" t="s">
        <v>2219</v>
      </c>
      <c r="K59" s="170" t="s">
        <v>101</v>
      </c>
      <c r="L59" s="170" t="s">
        <v>94</v>
      </c>
      <c r="M59" s="170"/>
      <c r="N59" s="152" t="s">
        <v>1367</v>
      </c>
    </row>
    <row r="60" spans="8:14" x14ac:dyDescent="0.25">
      <c r="H60" s="168" t="str">
        <f t="shared" si="3"/>
        <v>38</v>
      </c>
      <c r="I60">
        <f t="shared" si="2"/>
        <v>56</v>
      </c>
      <c r="J60" s="152" t="s">
        <v>21</v>
      </c>
      <c r="K60" s="170"/>
      <c r="L60" s="170" t="s">
        <v>102</v>
      </c>
      <c r="M60" s="170"/>
    </row>
    <row r="61" spans="8:14" x14ac:dyDescent="0.25">
      <c r="H61" s="168" t="str">
        <f t="shared" si="3"/>
        <v>39</v>
      </c>
      <c r="I61">
        <f t="shared" si="2"/>
        <v>57</v>
      </c>
      <c r="J61" s="175" t="s">
        <v>2220</v>
      </c>
      <c r="K61" s="170"/>
      <c r="L61" s="170"/>
      <c r="M61" s="170"/>
      <c r="N61" s="152" t="s">
        <v>103</v>
      </c>
    </row>
    <row r="62" spans="8:14" x14ac:dyDescent="0.25">
      <c r="H62" s="168" t="str">
        <f t="shared" si="3"/>
        <v>3A</v>
      </c>
      <c r="I62">
        <f t="shared" si="2"/>
        <v>58</v>
      </c>
      <c r="J62" s="152" t="s">
        <v>21</v>
      </c>
      <c r="K62" s="170"/>
      <c r="L62" s="170" t="s">
        <v>104</v>
      </c>
      <c r="M62" s="170"/>
    </row>
    <row r="63" spans="8:14" x14ac:dyDescent="0.25">
      <c r="H63" s="168" t="str">
        <f t="shared" si="3"/>
        <v>3B</v>
      </c>
      <c r="I63">
        <f t="shared" si="2"/>
        <v>59</v>
      </c>
      <c r="J63" s="175" t="s">
        <v>2221</v>
      </c>
      <c r="K63" s="170"/>
      <c r="L63" s="170" t="s">
        <v>105</v>
      </c>
      <c r="M63" s="170"/>
      <c r="N63" s="152" t="s">
        <v>106</v>
      </c>
    </row>
    <row r="64" spans="8:14" x14ac:dyDescent="0.25">
      <c r="H64" s="168" t="str">
        <f t="shared" si="3"/>
        <v>3C</v>
      </c>
      <c r="I64">
        <f t="shared" si="2"/>
        <v>60</v>
      </c>
      <c r="J64" s="175" t="s">
        <v>2221</v>
      </c>
      <c r="K64" s="170"/>
      <c r="L64" s="170" t="s">
        <v>107</v>
      </c>
      <c r="M64" s="170"/>
      <c r="N64" s="152" t="s">
        <v>106</v>
      </c>
    </row>
    <row r="65" spans="8:14" x14ac:dyDescent="0.25">
      <c r="H65" s="168" t="str">
        <f t="shared" si="3"/>
        <v>3D</v>
      </c>
      <c r="I65">
        <f t="shared" si="2"/>
        <v>61</v>
      </c>
      <c r="J65" s="175" t="s">
        <v>2222</v>
      </c>
      <c r="K65" s="170"/>
      <c r="L65" s="170" t="s">
        <v>108</v>
      </c>
      <c r="M65" s="4"/>
      <c r="N65" s="152" t="s">
        <v>114</v>
      </c>
    </row>
    <row r="66" spans="8:14" x14ac:dyDescent="0.25">
      <c r="H66" s="168" t="str">
        <f t="shared" si="3"/>
        <v>3E</v>
      </c>
      <c r="I66">
        <f t="shared" si="2"/>
        <v>62</v>
      </c>
      <c r="J66" s="175" t="s">
        <v>2223</v>
      </c>
      <c r="K66" s="170"/>
      <c r="L66" s="170" t="s">
        <v>110</v>
      </c>
      <c r="M66" s="4"/>
      <c r="N66" s="152" t="s">
        <v>116</v>
      </c>
    </row>
    <row r="67" spans="8:14" x14ac:dyDescent="0.25">
      <c r="H67" s="168" t="str">
        <f t="shared" si="3"/>
        <v>3F</v>
      </c>
      <c r="I67">
        <f t="shared" si="2"/>
        <v>63</v>
      </c>
      <c r="J67" s="175" t="s">
        <v>2224</v>
      </c>
      <c r="K67" s="170"/>
      <c r="L67" s="170" t="s">
        <v>111</v>
      </c>
      <c r="M67" s="4"/>
      <c r="N67" s="152" t="s">
        <v>118</v>
      </c>
    </row>
    <row r="68" spans="8:14" x14ac:dyDescent="0.25">
      <c r="H68" s="168" t="str">
        <f t="shared" si="3"/>
        <v>40</v>
      </c>
      <c r="I68">
        <f t="shared" si="2"/>
        <v>64</v>
      </c>
      <c r="J68" s="175" t="s">
        <v>2225</v>
      </c>
      <c r="K68" s="170"/>
      <c r="L68" s="170" t="s">
        <v>113</v>
      </c>
      <c r="M68" s="4"/>
      <c r="N68" s="152" t="s">
        <v>109</v>
      </c>
    </row>
    <row r="69" spans="8:14" x14ac:dyDescent="0.25">
      <c r="H69" s="168" t="str">
        <f t="shared" si="3"/>
        <v>41</v>
      </c>
      <c r="I69">
        <f t="shared" si="2"/>
        <v>65</v>
      </c>
      <c r="J69" s="152" t="s">
        <v>21</v>
      </c>
      <c r="K69" s="170"/>
      <c r="L69" s="170" t="s">
        <v>115</v>
      </c>
      <c r="M69" s="4"/>
    </row>
    <row r="70" spans="8:14" x14ac:dyDescent="0.25">
      <c r="H70" s="168" t="str">
        <f t="shared" si="3"/>
        <v>42</v>
      </c>
      <c r="I70">
        <f t="shared" si="2"/>
        <v>66</v>
      </c>
      <c r="J70" s="175" t="s">
        <v>2226</v>
      </c>
      <c r="K70" s="170"/>
      <c r="L70" s="170" t="s">
        <v>117</v>
      </c>
      <c r="M70" s="4"/>
      <c r="N70" s="152" t="s">
        <v>112</v>
      </c>
    </row>
    <row r="71" spans="8:14" x14ac:dyDescent="0.25">
      <c r="H71" s="168" t="str">
        <f t="shared" si="3"/>
        <v>43</v>
      </c>
      <c r="I71">
        <f t="shared" ref="I71:I130" si="4">I70+1</f>
        <v>67</v>
      </c>
      <c r="J71" s="152" t="s">
        <v>21</v>
      </c>
      <c r="K71" s="170"/>
      <c r="L71" s="170" t="s">
        <v>89</v>
      </c>
      <c r="M71" s="170"/>
      <c r="N71" s="32"/>
    </row>
    <row r="72" spans="8:14" x14ac:dyDescent="0.25">
      <c r="H72" s="168" t="str">
        <f t="shared" si="3"/>
        <v>44</v>
      </c>
      <c r="I72">
        <f t="shared" si="4"/>
        <v>68</v>
      </c>
      <c r="J72" s="152" t="s">
        <v>21</v>
      </c>
      <c r="K72" s="170"/>
      <c r="L72" s="170" t="s">
        <v>90</v>
      </c>
      <c r="M72" s="170"/>
      <c r="N72" s="32"/>
    </row>
    <row r="73" spans="8:14" x14ac:dyDescent="0.25">
      <c r="H73" s="168" t="str">
        <f t="shared" si="3"/>
        <v>45</v>
      </c>
      <c r="I73">
        <f t="shared" si="4"/>
        <v>69</v>
      </c>
      <c r="J73" s="152" t="s">
        <v>21</v>
      </c>
      <c r="K73" s="170"/>
      <c r="L73" s="170" t="s">
        <v>91</v>
      </c>
      <c r="M73" s="170"/>
      <c r="N73" s="32"/>
    </row>
    <row r="74" spans="8:14" x14ac:dyDescent="0.25">
      <c r="H74" s="168" t="str">
        <f t="shared" si="3"/>
        <v>46</v>
      </c>
      <c r="I74">
        <f t="shared" si="4"/>
        <v>70</v>
      </c>
      <c r="J74" s="175" t="s">
        <v>2227</v>
      </c>
      <c r="K74" s="170"/>
      <c r="L74" s="170" t="s">
        <v>92</v>
      </c>
      <c r="M74" s="170"/>
      <c r="N74" s="159" t="s">
        <v>1567</v>
      </c>
    </row>
    <row r="75" spans="8:14" x14ac:dyDescent="0.25">
      <c r="H75" s="168" t="str">
        <f t="shared" si="3"/>
        <v>47</v>
      </c>
      <c r="I75">
        <f t="shared" si="4"/>
        <v>71</v>
      </c>
      <c r="J75" s="152" t="s">
        <v>21</v>
      </c>
      <c r="K75" s="170"/>
      <c r="L75" s="170" t="s">
        <v>119</v>
      </c>
      <c r="M75" s="170"/>
      <c r="N75" s="32"/>
    </row>
    <row r="76" spans="8:14" x14ac:dyDescent="0.25">
      <c r="H76" s="168" t="str">
        <f t="shared" si="3"/>
        <v>48</v>
      </c>
      <c r="I76">
        <f t="shared" si="4"/>
        <v>72</v>
      </c>
      <c r="J76" s="152" t="s">
        <v>21</v>
      </c>
      <c r="K76" s="170"/>
      <c r="L76" s="170" t="s">
        <v>120</v>
      </c>
      <c r="M76" s="170"/>
      <c r="N76" s="32"/>
    </row>
    <row r="77" spans="8:14" x14ac:dyDescent="0.25">
      <c r="H77" s="168" t="str">
        <f t="shared" si="3"/>
        <v>49</v>
      </c>
      <c r="I77">
        <f t="shared" si="4"/>
        <v>73</v>
      </c>
      <c r="J77" s="175" t="s">
        <v>2228</v>
      </c>
      <c r="K77" s="170" t="s">
        <v>1686</v>
      </c>
      <c r="L77" s="170" t="s">
        <v>94</v>
      </c>
      <c r="M77" s="170"/>
      <c r="N77" s="152" t="s">
        <v>86</v>
      </c>
    </row>
    <row r="78" spans="8:14" ht="15" customHeight="1" x14ac:dyDescent="0.25">
      <c r="H78" s="168" t="str">
        <f t="shared" si="3"/>
        <v>4A</v>
      </c>
      <c r="I78">
        <f t="shared" si="4"/>
        <v>74</v>
      </c>
      <c r="J78" s="175" t="s">
        <v>2229</v>
      </c>
      <c r="K78" s="181"/>
      <c r="L78" s="170" t="s">
        <v>121</v>
      </c>
      <c r="M78" s="170" t="s">
        <v>38</v>
      </c>
      <c r="N78" s="159" t="s">
        <v>1839</v>
      </c>
    </row>
    <row r="79" spans="8:14" x14ac:dyDescent="0.25">
      <c r="H79" s="168" t="str">
        <f t="shared" si="3"/>
        <v>4B</v>
      </c>
      <c r="I79">
        <f t="shared" si="4"/>
        <v>75</v>
      </c>
      <c r="J79" s="152" t="s">
        <v>21</v>
      </c>
      <c r="K79" s="170"/>
      <c r="L79" s="170" t="s">
        <v>121</v>
      </c>
      <c r="M79" s="170" t="s">
        <v>40</v>
      </c>
    </row>
    <row r="80" spans="8:14" x14ac:dyDescent="0.25">
      <c r="H80" s="168" t="str">
        <f t="shared" si="3"/>
        <v>4C</v>
      </c>
      <c r="I80">
        <f t="shared" si="4"/>
        <v>76</v>
      </c>
      <c r="J80" s="152" t="s">
        <v>21</v>
      </c>
      <c r="K80" s="181"/>
      <c r="L80" s="170" t="s">
        <v>121</v>
      </c>
      <c r="M80" s="170" t="s">
        <v>44</v>
      </c>
      <c r="N80" s="233"/>
    </row>
    <row r="81" spans="8:14" x14ac:dyDescent="0.25">
      <c r="H81" s="168" t="str">
        <f t="shared" si="3"/>
        <v>4D</v>
      </c>
      <c r="I81">
        <f t="shared" si="4"/>
        <v>77</v>
      </c>
      <c r="J81" s="152" t="s">
        <v>21</v>
      </c>
      <c r="K81" s="170"/>
      <c r="L81" s="170" t="s">
        <v>121</v>
      </c>
      <c r="M81" s="170" t="s">
        <v>46</v>
      </c>
      <c r="N81" s="233"/>
    </row>
    <row r="82" spans="8:14" x14ac:dyDescent="0.25">
      <c r="H82" s="168" t="str">
        <f t="shared" si="3"/>
        <v>4E</v>
      </c>
      <c r="I82">
        <f t="shared" si="4"/>
        <v>78</v>
      </c>
      <c r="J82" s="175" t="s">
        <v>2230</v>
      </c>
      <c r="K82" s="181"/>
      <c r="L82" s="170" t="s">
        <v>121</v>
      </c>
      <c r="M82" s="170" t="s">
        <v>48</v>
      </c>
      <c r="N82" s="152" t="s">
        <v>1843</v>
      </c>
    </row>
    <row r="83" spans="8:14" x14ac:dyDescent="0.25">
      <c r="H83" s="168" t="str">
        <f t="shared" si="3"/>
        <v>4F</v>
      </c>
      <c r="I83">
        <f t="shared" si="4"/>
        <v>79</v>
      </c>
      <c r="J83" s="152" t="s">
        <v>21</v>
      </c>
      <c r="K83" s="170"/>
      <c r="L83" s="170" t="s">
        <v>121</v>
      </c>
      <c r="M83" s="170" t="s">
        <v>50</v>
      </c>
    </row>
    <row r="84" spans="8:14" x14ac:dyDescent="0.25">
      <c r="H84" s="168" t="str">
        <f t="shared" ref="H84:H103" si="5">IF(I84&lt;16,CONCATENATE("0",DEC2HEX(I84)),DEC2HEX(I84))</f>
        <v>50</v>
      </c>
      <c r="I84">
        <f t="shared" si="4"/>
        <v>80</v>
      </c>
      <c r="J84" s="175" t="s">
        <v>2231</v>
      </c>
      <c r="K84" s="181"/>
      <c r="L84" s="170" t="s">
        <v>121</v>
      </c>
      <c r="M84" s="170" t="s">
        <v>53</v>
      </c>
      <c r="N84" s="152" t="s">
        <v>1847</v>
      </c>
    </row>
    <row r="85" spans="8:14" x14ac:dyDescent="0.25">
      <c r="H85" s="168" t="str">
        <f t="shared" si="5"/>
        <v>51</v>
      </c>
      <c r="I85">
        <f t="shared" si="4"/>
        <v>81</v>
      </c>
      <c r="J85" s="152" t="s">
        <v>21</v>
      </c>
      <c r="K85" s="170"/>
      <c r="L85" s="170" t="s">
        <v>121</v>
      </c>
      <c r="M85" s="170" t="s">
        <v>55</v>
      </c>
    </row>
    <row r="86" spans="8:14" x14ac:dyDescent="0.25">
      <c r="H86" s="168" t="str">
        <f t="shared" si="5"/>
        <v>52</v>
      </c>
      <c r="I86">
        <f t="shared" si="4"/>
        <v>82</v>
      </c>
      <c r="J86" s="175" t="s">
        <v>2232</v>
      </c>
      <c r="K86" s="181"/>
      <c r="L86" s="170" t="s">
        <v>121</v>
      </c>
      <c r="M86" s="170" t="s">
        <v>57</v>
      </c>
      <c r="N86" s="152" t="s">
        <v>1849</v>
      </c>
    </row>
    <row r="87" spans="8:14" x14ac:dyDescent="0.25">
      <c r="H87" s="168" t="str">
        <f t="shared" si="5"/>
        <v>53</v>
      </c>
      <c r="I87">
        <f t="shared" si="4"/>
        <v>83</v>
      </c>
      <c r="J87" s="152" t="s">
        <v>21</v>
      </c>
      <c r="K87" s="170"/>
      <c r="L87" s="170" t="s">
        <v>121</v>
      </c>
      <c r="M87" s="170" t="s">
        <v>59</v>
      </c>
    </row>
    <row r="88" spans="8:14" x14ac:dyDescent="0.25">
      <c r="H88" s="168" t="str">
        <f t="shared" si="5"/>
        <v>54</v>
      </c>
      <c r="I88">
        <f t="shared" si="4"/>
        <v>84</v>
      </c>
      <c r="J88" s="175" t="s">
        <v>2233</v>
      </c>
      <c r="K88" s="181"/>
      <c r="L88" s="170" t="s">
        <v>121</v>
      </c>
      <c r="M88" s="170" t="s">
        <v>61</v>
      </c>
      <c r="N88" s="152" t="s">
        <v>1851</v>
      </c>
    </row>
    <row r="89" spans="8:14" x14ac:dyDescent="0.25">
      <c r="H89" s="168" t="str">
        <f t="shared" si="5"/>
        <v>55</v>
      </c>
      <c r="I89">
        <f t="shared" si="4"/>
        <v>85</v>
      </c>
      <c r="J89" s="152" t="s">
        <v>21</v>
      </c>
      <c r="K89" s="170"/>
      <c r="L89" s="170" t="s">
        <v>121</v>
      </c>
      <c r="M89" s="170" t="s">
        <v>64</v>
      </c>
    </row>
    <row r="90" spans="8:14" x14ac:dyDescent="0.25">
      <c r="H90" s="168" t="str">
        <f t="shared" si="5"/>
        <v>56</v>
      </c>
      <c r="I90">
        <f t="shared" si="4"/>
        <v>86</v>
      </c>
      <c r="J90" s="175" t="s">
        <v>2234</v>
      </c>
      <c r="K90" s="181"/>
      <c r="L90" s="170" t="s">
        <v>121</v>
      </c>
      <c r="M90" s="170" t="s">
        <v>65</v>
      </c>
      <c r="N90" s="152" t="s">
        <v>2106</v>
      </c>
    </row>
    <row r="91" spans="8:14" x14ac:dyDescent="0.25">
      <c r="H91" s="168" t="str">
        <f t="shared" si="5"/>
        <v>57</v>
      </c>
      <c r="I91">
        <f t="shared" si="4"/>
        <v>87</v>
      </c>
      <c r="J91" s="152" t="s">
        <v>21</v>
      </c>
      <c r="K91" s="170"/>
      <c r="L91" s="170" t="s">
        <v>121</v>
      </c>
      <c r="M91" s="170" t="s">
        <v>68</v>
      </c>
    </row>
    <row r="92" spans="8:14" x14ac:dyDescent="0.25">
      <c r="H92" s="168" t="str">
        <f t="shared" si="5"/>
        <v>58</v>
      </c>
      <c r="I92">
        <f t="shared" si="4"/>
        <v>88</v>
      </c>
      <c r="J92" s="152" t="s">
        <v>21</v>
      </c>
      <c r="K92" s="170"/>
      <c r="L92" s="170" t="s">
        <v>121</v>
      </c>
      <c r="M92" s="170" t="s">
        <v>71</v>
      </c>
    </row>
    <row r="93" spans="8:14" x14ac:dyDescent="0.25">
      <c r="H93" s="168" t="str">
        <f t="shared" si="5"/>
        <v>59</v>
      </c>
      <c r="I93">
        <f t="shared" si="4"/>
        <v>89</v>
      </c>
      <c r="J93" s="152" t="s">
        <v>21</v>
      </c>
      <c r="K93" s="170"/>
      <c r="L93" s="170" t="s">
        <v>121</v>
      </c>
      <c r="M93" s="170" t="s">
        <v>72</v>
      </c>
    </row>
    <row r="94" spans="8:14" x14ac:dyDescent="0.25">
      <c r="H94" s="168" t="str">
        <f t="shared" si="5"/>
        <v>5A</v>
      </c>
      <c r="I94">
        <f t="shared" si="4"/>
        <v>90</v>
      </c>
      <c r="J94" s="152" t="s">
        <v>21</v>
      </c>
      <c r="K94" s="170"/>
      <c r="L94" s="170" t="s">
        <v>121</v>
      </c>
      <c r="M94" s="170" t="s">
        <v>122</v>
      </c>
    </row>
    <row r="95" spans="8:14" x14ac:dyDescent="0.25">
      <c r="H95" s="168" t="str">
        <f t="shared" si="5"/>
        <v>5B</v>
      </c>
      <c r="I95">
        <f t="shared" si="4"/>
        <v>91</v>
      </c>
      <c r="J95" s="152" t="s">
        <v>21</v>
      </c>
      <c r="K95" s="170"/>
      <c r="L95" s="170" t="s">
        <v>121</v>
      </c>
      <c r="M95" s="170" t="s">
        <v>123</v>
      </c>
    </row>
    <row r="96" spans="8:14" x14ac:dyDescent="0.25">
      <c r="H96" s="168" t="str">
        <f t="shared" si="5"/>
        <v>5C</v>
      </c>
      <c r="I96">
        <f t="shared" si="4"/>
        <v>92</v>
      </c>
      <c r="J96" s="152" t="s">
        <v>21</v>
      </c>
      <c r="K96" s="170"/>
      <c r="L96" s="170" t="s">
        <v>121</v>
      </c>
      <c r="M96" s="170" t="s">
        <v>124</v>
      </c>
    </row>
    <row r="97" spans="8:14" x14ac:dyDescent="0.25">
      <c r="H97" s="168" t="str">
        <f t="shared" si="5"/>
        <v>5D</v>
      </c>
      <c r="I97">
        <f t="shared" si="4"/>
        <v>93</v>
      </c>
      <c r="J97" s="152" t="s">
        <v>21</v>
      </c>
      <c r="K97" s="170"/>
      <c r="L97" s="170" t="s">
        <v>121</v>
      </c>
      <c r="M97" s="170" t="s">
        <v>125</v>
      </c>
    </row>
    <row r="98" spans="8:14" x14ac:dyDescent="0.25">
      <c r="H98" s="168" t="str">
        <f t="shared" si="5"/>
        <v>5E</v>
      </c>
      <c r="I98">
        <f t="shared" si="4"/>
        <v>94</v>
      </c>
      <c r="J98" s="152" t="s">
        <v>21</v>
      </c>
      <c r="K98" s="170"/>
      <c r="L98" s="170" t="s">
        <v>121</v>
      </c>
      <c r="M98" s="170" t="s">
        <v>126</v>
      </c>
    </row>
    <row r="99" spans="8:14" x14ac:dyDescent="0.25">
      <c r="H99" s="168" t="str">
        <f t="shared" si="5"/>
        <v>5F</v>
      </c>
      <c r="I99">
        <f t="shared" si="4"/>
        <v>95</v>
      </c>
      <c r="J99" s="152" t="s">
        <v>21</v>
      </c>
      <c r="K99" s="170"/>
      <c r="L99" s="170" t="s">
        <v>121</v>
      </c>
      <c r="M99" s="170" t="s">
        <v>127</v>
      </c>
    </row>
    <row r="100" spans="8:14" x14ac:dyDescent="0.25">
      <c r="H100" s="168" t="str">
        <f t="shared" si="5"/>
        <v>60</v>
      </c>
      <c r="I100">
        <f t="shared" si="4"/>
        <v>96</v>
      </c>
      <c r="J100" s="152" t="s">
        <v>21</v>
      </c>
      <c r="K100" s="170"/>
      <c r="L100" s="170" t="s">
        <v>121</v>
      </c>
      <c r="M100" s="170" t="s">
        <v>128</v>
      </c>
    </row>
    <row r="101" spans="8:14" x14ac:dyDescent="0.25">
      <c r="H101" s="168" t="str">
        <f t="shared" si="5"/>
        <v>61</v>
      </c>
      <c r="I101">
        <f t="shared" si="4"/>
        <v>97</v>
      </c>
      <c r="J101" s="152" t="s">
        <v>21</v>
      </c>
      <c r="K101" s="170"/>
      <c r="L101" s="170" t="s">
        <v>121</v>
      </c>
      <c r="M101" s="170" t="s">
        <v>129</v>
      </c>
    </row>
    <row r="102" spans="8:14" x14ac:dyDescent="0.25">
      <c r="H102" s="168" t="str">
        <f t="shared" si="5"/>
        <v>62</v>
      </c>
      <c r="I102">
        <f t="shared" si="4"/>
        <v>98</v>
      </c>
      <c r="J102" s="152" t="s">
        <v>21</v>
      </c>
      <c r="K102" s="170"/>
      <c r="L102" s="170" t="s">
        <v>130</v>
      </c>
      <c r="M102" s="170" t="s">
        <v>131</v>
      </c>
    </row>
    <row r="103" spans="8:14" x14ac:dyDescent="0.25">
      <c r="H103" s="168" t="str">
        <f t="shared" si="5"/>
        <v>63</v>
      </c>
      <c r="I103">
        <f t="shared" si="4"/>
        <v>99</v>
      </c>
      <c r="J103" s="152" t="s">
        <v>21</v>
      </c>
      <c r="K103" s="170"/>
      <c r="L103" s="170" t="s">
        <v>130</v>
      </c>
      <c r="M103" s="170" t="s">
        <v>132</v>
      </c>
    </row>
    <row r="104" spans="8:14" x14ac:dyDescent="0.25">
      <c r="H104" s="168" t="str">
        <f t="shared" ref="H104:H130" si="6">IF(I104&lt;16,CONCATENATE("0",DEC2HEX(I104)),DEC2HEX(I104))</f>
        <v>64</v>
      </c>
      <c r="I104">
        <f t="shared" si="4"/>
        <v>100</v>
      </c>
      <c r="J104" s="152" t="s">
        <v>21</v>
      </c>
      <c r="K104" s="170" t="s">
        <v>51</v>
      </c>
      <c r="L104" s="170" t="s">
        <v>94</v>
      </c>
      <c r="M104" s="170"/>
    </row>
    <row r="105" spans="8:14" x14ac:dyDescent="0.25">
      <c r="H105" s="168" t="str">
        <f t="shared" si="6"/>
        <v>65</v>
      </c>
      <c r="I105">
        <f t="shared" si="4"/>
        <v>101</v>
      </c>
      <c r="J105" s="152" t="s">
        <v>21</v>
      </c>
      <c r="K105" s="181"/>
      <c r="L105" s="170" t="s">
        <v>121</v>
      </c>
      <c r="M105" s="170" t="s">
        <v>38</v>
      </c>
      <c r="N105" s="233"/>
    </row>
    <row r="106" spans="8:14" x14ac:dyDescent="0.25">
      <c r="H106" s="168" t="str">
        <f t="shared" si="6"/>
        <v>66</v>
      </c>
      <c r="I106">
        <f t="shared" si="4"/>
        <v>102</v>
      </c>
      <c r="J106" s="152" t="s">
        <v>21</v>
      </c>
      <c r="K106" s="170"/>
      <c r="L106" s="170" t="s">
        <v>121</v>
      </c>
      <c r="M106" s="170" t="s">
        <v>40</v>
      </c>
    </row>
    <row r="107" spans="8:14" x14ac:dyDescent="0.25">
      <c r="H107" s="168" t="str">
        <f t="shared" si="6"/>
        <v>67</v>
      </c>
      <c r="I107">
        <f t="shared" si="4"/>
        <v>103</v>
      </c>
      <c r="J107" s="152" t="s">
        <v>21</v>
      </c>
      <c r="K107" s="181"/>
      <c r="L107" s="170" t="s">
        <v>121</v>
      </c>
      <c r="M107" s="170" t="s">
        <v>44</v>
      </c>
    </row>
    <row r="108" spans="8:14" x14ac:dyDescent="0.25">
      <c r="H108" s="168" t="str">
        <f t="shared" si="6"/>
        <v>68</v>
      </c>
      <c r="I108">
        <f t="shared" si="4"/>
        <v>104</v>
      </c>
      <c r="J108" s="152" t="s">
        <v>21</v>
      </c>
      <c r="K108" s="170"/>
      <c r="L108" s="170" t="s">
        <v>121</v>
      </c>
      <c r="M108" s="170" t="s">
        <v>46</v>
      </c>
    </row>
    <row r="109" spans="8:14" x14ac:dyDescent="0.25">
      <c r="H109" s="168" t="str">
        <f t="shared" si="6"/>
        <v>69</v>
      </c>
      <c r="I109">
        <f t="shared" si="4"/>
        <v>105</v>
      </c>
      <c r="J109" s="152" t="s">
        <v>21</v>
      </c>
      <c r="K109" s="181"/>
      <c r="L109" s="170" t="s">
        <v>121</v>
      </c>
      <c r="M109" s="170" t="s">
        <v>48</v>
      </c>
      <c r="N109" s="233"/>
    </row>
    <row r="110" spans="8:14" x14ac:dyDescent="0.25">
      <c r="H110" s="168" t="str">
        <f t="shared" si="6"/>
        <v>6A</v>
      </c>
      <c r="I110">
        <f t="shared" si="4"/>
        <v>106</v>
      </c>
      <c r="J110" s="152" t="s">
        <v>21</v>
      </c>
      <c r="K110" s="170"/>
      <c r="L110" s="170" t="s">
        <v>121</v>
      </c>
      <c r="M110" s="170" t="s">
        <v>50</v>
      </c>
    </row>
    <row r="111" spans="8:14" x14ac:dyDescent="0.25">
      <c r="H111" s="168" t="str">
        <f t="shared" si="6"/>
        <v>6B</v>
      </c>
      <c r="I111">
        <f t="shared" si="4"/>
        <v>107</v>
      </c>
      <c r="J111" s="152" t="s">
        <v>21</v>
      </c>
      <c r="K111" s="181"/>
      <c r="L111" s="170" t="s">
        <v>121</v>
      </c>
      <c r="M111" s="170" t="s">
        <v>53</v>
      </c>
    </row>
    <row r="112" spans="8:14" x14ac:dyDescent="0.25">
      <c r="H112" s="168" t="str">
        <f t="shared" si="6"/>
        <v>6C</v>
      </c>
      <c r="I112">
        <f t="shared" si="4"/>
        <v>108</v>
      </c>
      <c r="J112" s="152" t="s">
        <v>21</v>
      </c>
      <c r="K112" s="170"/>
      <c r="L112" s="170" t="s">
        <v>121</v>
      </c>
      <c r="M112" s="170" t="s">
        <v>55</v>
      </c>
    </row>
    <row r="113" spans="8:14" x14ac:dyDescent="0.25">
      <c r="H113" s="168" t="str">
        <f t="shared" si="6"/>
        <v>6D</v>
      </c>
      <c r="I113">
        <f t="shared" si="4"/>
        <v>109</v>
      </c>
      <c r="J113" s="152" t="s">
        <v>21</v>
      </c>
      <c r="K113" s="181"/>
      <c r="L113" s="170" t="s">
        <v>121</v>
      </c>
      <c r="M113" s="170" t="s">
        <v>57</v>
      </c>
    </row>
    <row r="114" spans="8:14" x14ac:dyDescent="0.25">
      <c r="H114" s="168" t="str">
        <f t="shared" si="6"/>
        <v>6E</v>
      </c>
      <c r="I114">
        <f t="shared" si="4"/>
        <v>110</v>
      </c>
      <c r="J114" s="152" t="s">
        <v>21</v>
      </c>
      <c r="K114" s="170"/>
      <c r="L114" s="170" t="s">
        <v>121</v>
      </c>
      <c r="M114" s="170" t="s">
        <v>59</v>
      </c>
    </row>
    <row r="115" spans="8:14" x14ac:dyDescent="0.25">
      <c r="H115" s="168" t="str">
        <f t="shared" si="6"/>
        <v>6F</v>
      </c>
      <c r="I115">
        <f t="shared" si="4"/>
        <v>111</v>
      </c>
      <c r="J115" s="152" t="s">
        <v>21</v>
      </c>
      <c r="K115" s="181"/>
      <c r="L115" s="170" t="s">
        <v>121</v>
      </c>
      <c r="M115" s="170" t="s">
        <v>61</v>
      </c>
    </row>
    <row r="116" spans="8:14" x14ac:dyDescent="0.25">
      <c r="H116" s="168" t="str">
        <f t="shared" si="6"/>
        <v>70</v>
      </c>
      <c r="I116">
        <f t="shared" si="4"/>
        <v>112</v>
      </c>
      <c r="J116" s="152" t="s">
        <v>21</v>
      </c>
      <c r="K116" s="170"/>
      <c r="L116" s="170" t="s">
        <v>121</v>
      </c>
      <c r="M116" s="170" t="s">
        <v>64</v>
      </c>
    </row>
    <row r="117" spans="8:14" x14ac:dyDescent="0.25">
      <c r="H117" s="168" t="str">
        <f t="shared" si="6"/>
        <v>71</v>
      </c>
      <c r="I117">
        <f t="shared" si="4"/>
        <v>113</v>
      </c>
      <c r="J117" s="152" t="s">
        <v>21</v>
      </c>
      <c r="K117" s="181"/>
      <c r="L117" s="170" t="s">
        <v>121</v>
      </c>
      <c r="M117" s="170" t="s">
        <v>65</v>
      </c>
      <c r="N117" s="233"/>
    </row>
    <row r="118" spans="8:14" x14ac:dyDescent="0.25">
      <c r="H118" s="168" t="str">
        <f t="shared" si="6"/>
        <v>72</v>
      </c>
      <c r="I118">
        <f t="shared" si="4"/>
        <v>114</v>
      </c>
      <c r="J118" s="152" t="s">
        <v>21</v>
      </c>
      <c r="K118" s="170"/>
      <c r="L118" s="170" t="s">
        <v>121</v>
      </c>
      <c r="M118" s="170" t="s">
        <v>68</v>
      </c>
    </row>
    <row r="119" spans="8:14" x14ac:dyDescent="0.25">
      <c r="H119" s="168" t="str">
        <f t="shared" si="6"/>
        <v>73</v>
      </c>
      <c r="I119">
        <f t="shared" si="4"/>
        <v>115</v>
      </c>
      <c r="J119" s="152" t="s">
        <v>21</v>
      </c>
      <c r="K119" s="170"/>
      <c r="L119" s="170" t="s">
        <v>121</v>
      </c>
      <c r="M119" s="170" t="s">
        <v>71</v>
      </c>
    </row>
    <row r="120" spans="8:14" x14ac:dyDescent="0.25">
      <c r="H120" s="168" t="str">
        <f t="shared" si="6"/>
        <v>74</v>
      </c>
      <c r="I120">
        <f t="shared" si="4"/>
        <v>116</v>
      </c>
      <c r="J120" s="152" t="s">
        <v>21</v>
      </c>
      <c r="K120" s="170"/>
      <c r="L120" s="170" t="s">
        <v>121</v>
      </c>
      <c r="M120" s="170" t="s">
        <v>72</v>
      </c>
    </row>
    <row r="121" spans="8:14" x14ac:dyDescent="0.25">
      <c r="H121" s="168" t="str">
        <f t="shared" si="6"/>
        <v>75</v>
      </c>
      <c r="I121">
        <f t="shared" si="4"/>
        <v>117</v>
      </c>
      <c r="J121" s="152" t="s">
        <v>21</v>
      </c>
      <c r="K121" s="170"/>
      <c r="L121" s="170" t="s">
        <v>121</v>
      </c>
      <c r="M121" s="170" t="s">
        <v>122</v>
      </c>
      <c r="N121" s="233"/>
    </row>
    <row r="122" spans="8:14" x14ac:dyDescent="0.25">
      <c r="H122" s="168" t="str">
        <f t="shared" si="6"/>
        <v>76</v>
      </c>
      <c r="I122">
        <f t="shared" si="4"/>
        <v>118</v>
      </c>
      <c r="J122" s="152" t="s">
        <v>21</v>
      </c>
      <c r="K122" s="170"/>
      <c r="L122" s="170" t="s">
        <v>121</v>
      </c>
      <c r="M122" s="170" t="s">
        <v>123</v>
      </c>
    </row>
    <row r="123" spans="8:14" x14ac:dyDescent="0.25">
      <c r="H123" s="168" t="str">
        <f t="shared" si="6"/>
        <v>77</v>
      </c>
      <c r="I123">
        <f t="shared" si="4"/>
        <v>119</v>
      </c>
      <c r="J123" s="152" t="s">
        <v>21</v>
      </c>
      <c r="K123" s="170"/>
      <c r="L123" s="170" t="s">
        <v>121</v>
      </c>
      <c r="M123" s="170" t="s">
        <v>124</v>
      </c>
    </row>
    <row r="124" spans="8:14" x14ac:dyDescent="0.25">
      <c r="H124" s="168" t="str">
        <f t="shared" si="6"/>
        <v>78</v>
      </c>
      <c r="I124">
        <f t="shared" si="4"/>
        <v>120</v>
      </c>
      <c r="J124" s="152" t="s">
        <v>21</v>
      </c>
      <c r="K124" s="170"/>
      <c r="L124" s="170" t="s">
        <v>121</v>
      </c>
      <c r="M124" s="170" t="s">
        <v>125</v>
      </c>
    </row>
    <row r="125" spans="8:14" x14ac:dyDescent="0.25">
      <c r="H125" s="168" t="str">
        <f t="shared" si="6"/>
        <v>79</v>
      </c>
      <c r="I125">
        <f t="shared" si="4"/>
        <v>121</v>
      </c>
      <c r="J125" s="152" t="s">
        <v>21</v>
      </c>
      <c r="K125" s="170"/>
      <c r="L125" s="170" t="s">
        <v>121</v>
      </c>
      <c r="M125" s="170" t="s">
        <v>126</v>
      </c>
    </row>
    <row r="126" spans="8:14" x14ac:dyDescent="0.25">
      <c r="H126" s="168" t="str">
        <f t="shared" si="6"/>
        <v>7A</v>
      </c>
      <c r="I126">
        <f t="shared" si="4"/>
        <v>122</v>
      </c>
      <c r="J126" s="152" t="s">
        <v>21</v>
      </c>
      <c r="K126" s="170"/>
      <c r="L126" s="170" t="s">
        <v>121</v>
      </c>
      <c r="M126" s="170" t="s">
        <v>127</v>
      </c>
    </row>
    <row r="127" spans="8:14" x14ac:dyDescent="0.25">
      <c r="H127" s="168" t="str">
        <f t="shared" si="6"/>
        <v>7B</v>
      </c>
      <c r="I127">
        <f t="shared" si="4"/>
        <v>123</v>
      </c>
      <c r="J127" s="152" t="s">
        <v>21</v>
      </c>
      <c r="K127" s="170"/>
      <c r="L127" s="170" t="s">
        <v>121</v>
      </c>
      <c r="M127" s="170" t="s">
        <v>128</v>
      </c>
    </row>
    <row r="128" spans="8:14" x14ac:dyDescent="0.25">
      <c r="H128" s="168" t="str">
        <f t="shared" si="6"/>
        <v>7C</v>
      </c>
      <c r="I128">
        <f t="shared" si="4"/>
        <v>124</v>
      </c>
      <c r="J128" s="152" t="s">
        <v>21</v>
      </c>
      <c r="K128" s="170"/>
      <c r="L128" s="170" t="s">
        <v>121</v>
      </c>
      <c r="M128" s="170" t="s">
        <v>129</v>
      </c>
    </row>
    <row r="129" spans="7:14" x14ac:dyDescent="0.25">
      <c r="H129" s="168" t="str">
        <f t="shared" si="6"/>
        <v>7D</v>
      </c>
      <c r="I129">
        <f t="shared" si="4"/>
        <v>125</v>
      </c>
      <c r="J129" s="152" t="s">
        <v>21</v>
      </c>
      <c r="K129" s="170"/>
      <c r="L129" s="170" t="s">
        <v>130</v>
      </c>
      <c r="M129" s="170" t="s">
        <v>131</v>
      </c>
      <c r="N129" s="233"/>
    </row>
    <row r="130" spans="7:14" x14ac:dyDescent="0.25">
      <c r="H130" s="168" t="str">
        <f t="shared" si="6"/>
        <v>7E</v>
      </c>
      <c r="I130">
        <f t="shared" si="4"/>
        <v>126</v>
      </c>
      <c r="J130" s="152" t="s">
        <v>21</v>
      </c>
      <c r="K130" s="170"/>
      <c r="L130" s="170" t="s">
        <v>130</v>
      </c>
      <c r="M130" s="170" t="s">
        <v>132</v>
      </c>
    </row>
    <row r="131" spans="7:14" x14ac:dyDescent="0.25">
      <c r="G131" s="108" t="s">
        <v>66</v>
      </c>
      <c r="H131" s="108" t="s">
        <v>25</v>
      </c>
      <c r="I131" s="170" t="s">
        <v>133</v>
      </c>
      <c r="J131" s="152" t="s">
        <v>21</v>
      </c>
      <c r="K131" s="170"/>
      <c r="L131" s="170" t="s">
        <v>134</v>
      </c>
      <c r="M131" s="170"/>
      <c r="N131" s="152"/>
    </row>
    <row r="132" spans="7:14" x14ac:dyDescent="0.25">
      <c r="G132" s="247" t="s">
        <v>20</v>
      </c>
      <c r="H132" s="108" t="s">
        <v>25</v>
      </c>
      <c r="I132" s="170" t="s">
        <v>1658</v>
      </c>
      <c r="J132" s="175" t="s">
        <v>2235</v>
      </c>
      <c r="K132" s="170"/>
      <c r="L132" s="170" t="s">
        <v>1659</v>
      </c>
      <c r="M132" s="170"/>
      <c r="N132" s="152" t="s">
        <v>2026</v>
      </c>
    </row>
    <row r="133" spans="7:14" x14ac:dyDescent="0.25">
      <c r="G133" s="247" t="s">
        <v>20</v>
      </c>
      <c r="H133" s="108" t="s">
        <v>25</v>
      </c>
      <c r="I133" s="170" t="s">
        <v>135</v>
      </c>
      <c r="J133" s="175" t="s">
        <v>2236</v>
      </c>
      <c r="K133" s="170"/>
      <c r="L133" s="170" t="s">
        <v>136</v>
      </c>
      <c r="M133" s="170"/>
      <c r="N133" s="152" t="s">
        <v>2027</v>
      </c>
    </row>
    <row r="134" spans="7:14" x14ac:dyDescent="0.25">
      <c r="G134" s="247" t="s">
        <v>20</v>
      </c>
      <c r="H134" s="108" t="s">
        <v>25</v>
      </c>
      <c r="I134" s="170" t="s">
        <v>137</v>
      </c>
      <c r="J134" s="175" t="s">
        <v>2237</v>
      </c>
      <c r="K134" s="170"/>
      <c r="L134" s="170" t="s">
        <v>138</v>
      </c>
      <c r="M134" s="170"/>
      <c r="N134" s="152" t="s">
        <v>2028</v>
      </c>
    </row>
    <row r="135" spans="7:14" x14ac:dyDescent="0.25">
      <c r="G135" s="247" t="s">
        <v>20</v>
      </c>
      <c r="H135" s="108" t="s">
        <v>25</v>
      </c>
      <c r="I135" s="170" t="s">
        <v>139</v>
      </c>
      <c r="J135" s="175" t="s">
        <v>2238</v>
      </c>
      <c r="K135" s="170"/>
      <c r="L135" s="170" t="s">
        <v>140</v>
      </c>
      <c r="M135" s="170"/>
      <c r="N135" s="152" t="s">
        <v>2029</v>
      </c>
    </row>
    <row r="136" spans="7:14" x14ac:dyDescent="0.25">
      <c r="G136" s="247" t="s">
        <v>20</v>
      </c>
      <c r="H136" s="108" t="s">
        <v>25</v>
      </c>
      <c r="I136" s="170" t="s">
        <v>1661</v>
      </c>
      <c r="J136" s="152" t="s">
        <v>21</v>
      </c>
      <c r="K136" s="170"/>
      <c r="L136" s="170" t="s">
        <v>1662</v>
      </c>
      <c r="M136" s="170"/>
      <c r="N136" s="152"/>
    </row>
    <row r="137" spans="7:14" x14ac:dyDescent="0.25">
      <c r="G137" s="247" t="s">
        <v>20</v>
      </c>
      <c r="H137" s="108" t="s">
        <v>25</v>
      </c>
      <c r="I137" s="170" t="s">
        <v>1663</v>
      </c>
      <c r="J137" s="175" t="s">
        <v>2239</v>
      </c>
      <c r="K137" s="170"/>
      <c r="L137" s="170" t="s">
        <v>1664</v>
      </c>
      <c r="M137" s="170"/>
      <c r="N137" s="152" t="s">
        <v>2047</v>
      </c>
    </row>
    <row r="138" spans="7:14" x14ac:dyDescent="0.25">
      <c r="G138" s="247" t="s">
        <v>20</v>
      </c>
      <c r="H138" s="108" t="s">
        <v>25</v>
      </c>
      <c r="I138" s="170" t="s">
        <v>1665</v>
      </c>
      <c r="J138" s="152" t="s">
        <v>21</v>
      </c>
      <c r="K138" s="170"/>
      <c r="L138" s="170" t="s">
        <v>1666</v>
      </c>
      <c r="M138" s="170"/>
      <c r="N138" s="152"/>
    </row>
    <row r="139" spans="7:14" x14ac:dyDescent="0.25">
      <c r="G139" s="108" t="s">
        <v>25</v>
      </c>
      <c r="H139" s="108" t="s">
        <v>25</v>
      </c>
      <c r="I139" s="152" t="s">
        <v>26</v>
      </c>
      <c r="J139" s="152" t="s">
        <v>21</v>
      </c>
      <c r="K139" s="170"/>
      <c r="L139" s="170"/>
      <c r="M139" s="170"/>
      <c r="N139" s="152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AZ1094"/>
  <sheetViews>
    <sheetView tabSelected="1" topLeftCell="A655" zoomScale="80" zoomScaleNormal="80" workbookViewId="0">
      <pane ySplit="10080" topLeftCell="A1135"/>
      <selection activeCell="F668" sqref="F668"/>
      <selection pane="bottomLeft" activeCell="C1141" sqref="C1141"/>
    </sheetView>
  </sheetViews>
  <sheetFormatPr defaultRowHeight="15" x14ac:dyDescent="0.25"/>
  <cols>
    <col min="1" max="1" width="3.7109375" style="160" customWidth="1"/>
    <col min="2" max="2" width="9.140625" style="163"/>
    <col min="3" max="3" width="74.42578125" style="161" customWidth="1"/>
    <col min="4" max="4" width="9.140625" style="161"/>
    <col min="5" max="52" width="9.140625" style="160"/>
  </cols>
  <sheetData>
    <row r="1" spans="2:3" x14ac:dyDescent="0.25">
      <c r="C1" s="161" t="s">
        <v>2134</v>
      </c>
    </row>
    <row r="2" spans="2:3" x14ac:dyDescent="0.25">
      <c r="B2" s="163">
        <v>0</v>
      </c>
      <c r="C2" s="162" t="s">
        <v>141</v>
      </c>
    </row>
    <row r="3" spans="2:3" x14ac:dyDescent="0.25">
      <c r="B3" s="163">
        <f t="shared" ref="B3:B134" si="0">B2+1</f>
        <v>1</v>
      </c>
      <c r="C3" s="164" t="s">
        <v>2255</v>
      </c>
    </row>
    <row r="4" spans="2:3" x14ac:dyDescent="0.25">
      <c r="B4" s="163">
        <f t="shared" si="0"/>
        <v>2</v>
      </c>
      <c r="C4" s="164" t="s">
        <v>142</v>
      </c>
    </row>
    <row r="5" spans="2:3" x14ac:dyDescent="0.25">
      <c r="B5" s="163">
        <f t="shared" si="0"/>
        <v>3</v>
      </c>
      <c r="C5" s="161" t="s">
        <v>1691</v>
      </c>
    </row>
    <row r="6" spans="2:3" x14ac:dyDescent="0.25">
      <c r="B6" s="163">
        <f t="shared" si="0"/>
        <v>4</v>
      </c>
      <c r="C6" s="161" t="s">
        <v>1691</v>
      </c>
    </row>
    <row r="7" spans="2:3" x14ac:dyDescent="0.25">
      <c r="B7" s="163">
        <f t="shared" si="0"/>
        <v>5</v>
      </c>
      <c r="C7" s="161" t="s">
        <v>1691</v>
      </c>
    </row>
    <row r="8" spans="2:3" x14ac:dyDescent="0.25">
      <c r="B8" s="163">
        <f t="shared" si="0"/>
        <v>6</v>
      </c>
      <c r="C8" s="161" t="s">
        <v>1691</v>
      </c>
    </row>
    <row r="9" spans="2:3" x14ac:dyDescent="0.25">
      <c r="B9" s="163">
        <f t="shared" si="0"/>
        <v>7</v>
      </c>
      <c r="C9" s="161" t="s">
        <v>1691</v>
      </c>
    </row>
    <row r="10" spans="2:3" x14ac:dyDescent="0.25">
      <c r="B10" s="163">
        <f t="shared" si="0"/>
        <v>8</v>
      </c>
      <c r="C10" s="161" t="s">
        <v>1691</v>
      </c>
    </row>
    <row r="11" spans="2:3" x14ac:dyDescent="0.25">
      <c r="B11" s="163">
        <f t="shared" si="0"/>
        <v>9</v>
      </c>
      <c r="C11" s="161" t="s">
        <v>1691</v>
      </c>
    </row>
    <row r="12" spans="2:3" x14ac:dyDescent="0.25">
      <c r="B12" s="163">
        <f t="shared" si="0"/>
        <v>10</v>
      </c>
      <c r="C12" s="161" t="s">
        <v>1691</v>
      </c>
    </row>
    <row r="13" spans="2:3" x14ac:dyDescent="0.25">
      <c r="B13" s="163">
        <f t="shared" si="0"/>
        <v>11</v>
      </c>
      <c r="C13" s="161" t="s">
        <v>1691</v>
      </c>
    </row>
    <row r="14" spans="2:3" x14ac:dyDescent="0.25">
      <c r="B14" s="163">
        <f t="shared" si="0"/>
        <v>12</v>
      </c>
      <c r="C14" s="161" t="s">
        <v>1691</v>
      </c>
    </row>
    <row r="15" spans="2:3" x14ac:dyDescent="0.25">
      <c r="B15" s="163">
        <f t="shared" si="0"/>
        <v>13</v>
      </c>
      <c r="C15" s="161" t="s">
        <v>1691</v>
      </c>
    </row>
    <row r="16" spans="2:3" x14ac:dyDescent="0.25">
      <c r="B16" s="163">
        <f t="shared" si="0"/>
        <v>14</v>
      </c>
      <c r="C16" s="161" t="s">
        <v>1691</v>
      </c>
    </row>
    <row r="17" spans="2:3" x14ac:dyDescent="0.25">
      <c r="B17" s="163">
        <f t="shared" si="0"/>
        <v>15</v>
      </c>
      <c r="C17" s="161" t="s">
        <v>1691</v>
      </c>
    </row>
    <row r="18" spans="2:3" x14ac:dyDescent="0.25">
      <c r="B18" s="163">
        <f t="shared" si="0"/>
        <v>16</v>
      </c>
      <c r="C18" s="161" t="s">
        <v>1691</v>
      </c>
    </row>
    <row r="19" spans="2:3" x14ac:dyDescent="0.25">
      <c r="B19" s="163">
        <f t="shared" si="0"/>
        <v>17</v>
      </c>
      <c r="C19" s="161" t="s">
        <v>1691</v>
      </c>
    </row>
    <row r="20" spans="2:3" x14ac:dyDescent="0.25">
      <c r="B20" s="163">
        <f t="shared" si="0"/>
        <v>18</v>
      </c>
      <c r="C20" s="161" t="s">
        <v>1691</v>
      </c>
    </row>
    <row r="21" spans="2:3" x14ac:dyDescent="0.25">
      <c r="B21" s="163">
        <f t="shared" si="0"/>
        <v>19</v>
      </c>
      <c r="C21" s="161" t="s">
        <v>1691</v>
      </c>
    </row>
    <row r="22" spans="2:3" x14ac:dyDescent="0.25">
      <c r="B22" s="163">
        <f t="shared" si="0"/>
        <v>20</v>
      </c>
      <c r="C22" s="161" t="s">
        <v>1691</v>
      </c>
    </row>
    <row r="23" spans="2:3" x14ac:dyDescent="0.25">
      <c r="B23" s="163">
        <f t="shared" si="0"/>
        <v>21</v>
      </c>
      <c r="C23" s="161" t="s">
        <v>1691</v>
      </c>
    </row>
    <row r="24" spans="2:3" x14ac:dyDescent="0.25">
      <c r="B24" s="163">
        <f t="shared" si="0"/>
        <v>22</v>
      </c>
      <c r="C24" s="161" t="s">
        <v>1691</v>
      </c>
    </row>
    <row r="25" spans="2:3" x14ac:dyDescent="0.25">
      <c r="B25" s="163">
        <f t="shared" si="0"/>
        <v>23</v>
      </c>
      <c r="C25" s="164" t="s">
        <v>143</v>
      </c>
    </row>
    <row r="26" spans="2:3" x14ac:dyDescent="0.25">
      <c r="B26" s="163">
        <f t="shared" si="0"/>
        <v>24</v>
      </c>
      <c r="C26" s="164" t="s">
        <v>144</v>
      </c>
    </row>
    <row r="27" spans="2:3" x14ac:dyDescent="0.25">
      <c r="B27" s="163">
        <f t="shared" si="0"/>
        <v>25</v>
      </c>
    </row>
    <row r="28" spans="2:3" x14ac:dyDescent="0.25">
      <c r="B28" s="163">
        <f t="shared" si="0"/>
        <v>26</v>
      </c>
    </row>
    <row r="29" spans="2:3" x14ac:dyDescent="0.25">
      <c r="B29" s="163">
        <f t="shared" si="0"/>
        <v>27</v>
      </c>
      <c r="C29" s="164" t="s">
        <v>145</v>
      </c>
    </row>
    <row r="30" spans="2:3" x14ac:dyDescent="0.25">
      <c r="B30" s="163">
        <f t="shared" si="0"/>
        <v>28</v>
      </c>
      <c r="C30" s="165" t="s">
        <v>1570</v>
      </c>
    </row>
    <row r="31" spans="2:3" x14ac:dyDescent="0.25">
      <c r="B31" s="163">
        <f t="shared" si="0"/>
        <v>29</v>
      </c>
      <c r="C31" s="165" t="s">
        <v>1571</v>
      </c>
    </row>
    <row r="32" spans="2:3" x14ac:dyDescent="0.25">
      <c r="B32" s="163">
        <f t="shared" si="0"/>
        <v>30</v>
      </c>
      <c r="C32" s="165" t="s">
        <v>1482</v>
      </c>
    </row>
    <row r="33" spans="2:3" x14ac:dyDescent="0.25">
      <c r="B33" s="163">
        <f t="shared" si="0"/>
        <v>31</v>
      </c>
      <c r="C33" s="165" t="s">
        <v>1572</v>
      </c>
    </row>
    <row r="34" spans="2:3" x14ac:dyDescent="0.25">
      <c r="B34" s="163">
        <f t="shared" si="0"/>
        <v>32</v>
      </c>
      <c r="C34" s="165" t="s">
        <v>1573</v>
      </c>
    </row>
    <row r="35" spans="2:3" x14ac:dyDescent="0.25">
      <c r="B35" s="163">
        <f t="shared" si="0"/>
        <v>33</v>
      </c>
      <c r="C35" s="165" t="s">
        <v>211</v>
      </c>
    </row>
    <row r="36" spans="2:3" x14ac:dyDescent="0.25">
      <c r="B36" s="163">
        <f t="shared" si="0"/>
        <v>34</v>
      </c>
      <c r="C36" s="165" t="s">
        <v>1574</v>
      </c>
    </row>
    <row r="37" spans="2:3" x14ac:dyDescent="0.25">
      <c r="B37" s="163">
        <f t="shared" si="0"/>
        <v>35</v>
      </c>
      <c r="C37" s="165" t="s">
        <v>1575</v>
      </c>
    </row>
    <row r="38" spans="2:3" x14ac:dyDescent="0.25">
      <c r="B38" s="163">
        <f t="shared" si="0"/>
        <v>36</v>
      </c>
      <c r="C38" s="165" t="s">
        <v>1576</v>
      </c>
    </row>
    <row r="39" spans="2:3" x14ac:dyDescent="0.25">
      <c r="B39" s="163">
        <f t="shared" si="0"/>
        <v>37</v>
      </c>
      <c r="C39" s="165" t="s">
        <v>1577</v>
      </c>
    </row>
    <row r="40" spans="2:3" x14ac:dyDescent="0.25">
      <c r="B40" s="163">
        <f t="shared" si="0"/>
        <v>38</v>
      </c>
      <c r="C40" s="165" t="s">
        <v>146</v>
      </c>
    </row>
    <row r="41" spans="2:3" x14ac:dyDescent="0.25">
      <c r="B41" s="163">
        <f t="shared" si="0"/>
        <v>39</v>
      </c>
      <c r="C41" s="165" t="s">
        <v>147</v>
      </c>
    </row>
    <row r="42" spans="2:3" x14ac:dyDescent="0.25">
      <c r="B42" s="163">
        <f t="shared" si="0"/>
        <v>40</v>
      </c>
      <c r="C42" s="217" t="s">
        <v>1919</v>
      </c>
    </row>
    <row r="43" spans="2:3" x14ac:dyDescent="0.25">
      <c r="B43" s="163">
        <f t="shared" si="0"/>
        <v>41</v>
      </c>
      <c r="C43" s="217" t="s">
        <v>1920</v>
      </c>
    </row>
    <row r="44" spans="2:3" x14ac:dyDescent="0.25">
      <c r="B44" s="163">
        <f t="shared" si="0"/>
        <v>42</v>
      </c>
      <c r="C44" s="161" t="s">
        <v>1578</v>
      </c>
    </row>
    <row r="45" spans="2:3" x14ac:dyDescent="0.25">
      <c r="B45" s="163">
        <f t="shared" si="0"/>
        <v>43</v>
      </c>
      <c r="C45" s="164" t="s">
        <v>148</v>
      </c>
    </row>
    <row r="46" spans="2:3" x14ac:dyDescent="0.25">
      <c r="B46" s="163">
        <f t="shared" si="0"/>
        <v>44</v>
      </c>
    </row>
    <row r="47" spans="2:3" x14ac:dyDescent="0.25">
      <c r="B47" s="163">
        <f t="shared" si="0"/>
        <v>45</v>
      </c>
    </row>
    <row r="48" spans="2:3" x14ac:dyDescent="0.25">
      <c r="B48" s="163">
        <f t="shared" si="0"/>
        <v>46</v>
      </c>
      <c r="C48" s="164" t="s">
        <v>149</v>
      </c>
    </row>
    <row r="49" spans="2:3" x14ac:dyDescent="0.25">
      <c r="B49" s="163">
        <f t="shared" si="0"/>
        <v>47</v>
      </c>
      <c r="C49" s="164" t="s">
        <v>150</v>
      </c>
    </row>
    <row r="50" spans="2:3" x14ac:dyDescent="0.25">
      <c r="B50" s="163">
        <f t="shared" si="0"/>
        <v>48</v>
      </c>
      <c r="C50" s="164" t="s">
        <v>148</v>
      </c>
    </row>
    <row r="51" spans="2:3" x14ac:dyDescent="0.25">
      <c r="B51" s="163">
        <f t="shared" si="0"/>
        <v>49</v>
      </c>
    </row>
    <row r="52" spans="2:3" x14ac:dyDescent="0.25">
      <c r="B52" s="163">
        <f t="shared" si="0"/>
        <v>50</v>
      </c>
    </row>
    <row r="53" spans="2:3" x14ac:dyDescent="0.25">
      <c r="B53" s="163">
        <f t="shared" si="0"/>
        <v>51</v>
      </c>
    </row>
    <row r="54" spans="2:3" x14ac:dyDescent="0.25">
      <c r="B54" s="163">
        <f t="shared" si="0"/>
        <v>52</v>
      </c>
    </row>
    <row r="55" spans="2:3" x14ac:dyDescent="0.25">
      <c r="B55" s="163">
        <f t="shared" si="0"/>
        <v>53</v>
      </c>
      <c r="C55" s="164" t="s">
        <v>151</v>
      </c>
    </row>
    <row r="56" spans="2:3" x14ac:dyDescent="0.25">
      <c r="B56" s="163">
        <f t="shared" si="0"/>
        <v>54</v>
      </c>
      <c r="C56" s="165" t="s">
        <v>152</v>
      </c>
    </row>
    <row r="57" spans="2:3" x14ac:dyDescent="0.25">
      <c r="B57" s="163">
        <f t="shared" si="0"/>
        <v>55</v>
      </c>
      <c r="C57" s="165" t="s">
        <v>153</v>
      </c>
    </row>
    <row r="58" spans="2:3" x14ac:dyDescent="0.25">
      <c r="B58" s="163">
        <f t="shared" si="0"/>
        <v>56</v>
      </c>
      <c r="C58" s="165" t="s">
        <v>154</v>
      </c>
    </row>
    <row r="59" spans="2:3" x14ac:dyDescent="0.25">
      <c r="B59" s="163">
        <f t="shared" si="0"/>
        <v>57</v>
      </c>
      <c r="C59" s="165" t="s">
        <v>1579</v>
      </c>
    </row>
    <row r="60" spans="2:3" x14ac:dyDescent="0.25">
      <c r="B60" s="163">
        <f t="shared" si="0"/>
        <v>58</v>
      </c>
      <c r="C60" s="165" t="s">
        <v>1580</v>
      </c>
    </row>
    <row r="61" spans="2:3" x14ac:dyDescent="0.25">
      <c r="B61" s="163">
        <f t="shared" si="0"/>
        <v>59</v>
      </c>
      <c r="C61" s="165" t="s">
        <v>1581</v>
      </c>
    </row>
    <row r="62" spans="2:3" x14ac:dyDescent="0.25">
      <c r="B62" s="163">
        <f t="shared" si="0"/>
        <v>60</v>
      </c>
      <c r="C62" s="164" t="s">
        <v>148</v>
      </c>
    </row>
    <row r="63" spans="2:3" x14ac:dyDescent="0.25">
      <c r="B63" s="163">
        <f t="shared" si="0"/>
        <v>61</v>
      </c>
    </row>
    <row r="64" spans="2:3" x14ac:dyDescent="0.25">
      <c r="B64" s="163">
        <f t="shared" si="0"/>
        <v>62</v>
      </c>
    </row>
    <row r="65" spans="2:3" x14ac:dyDescent="0.25">
      <c r="B65" s="163">
        <f t="shared" si="0"/>
        <v>63</v>
      </c>
      <c r="C65" s="164" t="s">
        <v>155</v>
      </c>
    </row>
    <row r="66" spans="2:3" x14ac:dyDescent="0.25">
      <c r="B66" s="163">
        <f t="shared" si="0"/>
        <v>64</v>
      </c>
      <c r="C66" s="165" t="s">
        <v>156</v>
      </c>
    </row>
    <row r="67" spans="2:3" x14ac:dyDescent="0.25">
      <c r="B67" s="163">
        <f t="shared" si="0"/>
        <v>65</v>
      </c>
      <c r="C67" s="164" t="s">
        <v>148</v>
      </c>
    </row>
    <row r="68" spans="2:3" x14ac:dyDescent="0.25">
      <c r="B68" s="163">
        <f t="shared" si="0"/>
        <v>66</v>
      </c>
    </row>
    <row r="69" spans="2:3" x14ac:dyDescent="0.25">
      <c r="B69" s="163">
        <f t="shared" si="0"/>
        <v>67</v>
      </c>
      <c r="C69" s="164" t="s">
        <v>157</v>
      </c>
    </row>
    <row r="70" spans="2:3" x14ac:dyDescent="0.25">
      <c r="B70" s="163">
        <f t="shared" si="0"/>
        <v>68</v>
      </c>
      <c r="C70" s="165" t="s">
        <v>158</v>
      </c>
    </row>
    <row r="71" spans="2:3" x14ac:dyDescent="0.25">
      <c r="B71" s="163">
        <f t="shared" si="0"/>
        <v>69</v>
      </c>
      <c r="C71" s="164" t="s">
        <v>148</v>
      </c>
    </row>
    <row r="72" spans="2:3" x14ac:dyDescent="0.25">
      <c r="B72" s="163">
        <f t="shared" si="0"/>
        <v>70</v>
      </c>
    </row>
    <row r="73" spans="2:3" x14ac:dyDescent="0.25">
      <c r="B73" s="163">
        <f t="shared" si="0"/>
        <v>71</v>
      </c>
    </row>
    <row r="74" spans="2:3" x14ac:dyDescent="0.25">
      <c r="B74" s="163">
        <f t="shared" si="0"/>
        <v>72</v>
      </c>
    </row>
    <row r="75" spans="2:3" x14ac:dyDescent="0.25">
      <c r="B75" s="163">
        <f t="shared" si="0"/>
        <v>73</v>
      </c>
    </row>
    <row r="76" spans="2:3" x14ac:dyDescent="0.25">
      <c r="B76" s="163">
        <f t="shared" si="0"/>
        <v>74</v>
      </c>
    </row>
    <row r="77" spans="2:3" x14ac:dyDescent="0.25">
      <c r="B77" s="163">
        <f t="shared" si="0"/>
        <v>75</v>
      </c>
    </row>
    <row r="78" spans="2:3" x14ac:dyDescent="0.25">
      <c r="B78" s="163">
        <f t="shared" si="0"/>
        <v>76</v>
      </c>
    </row>
    <row r="79" spans="2:3" x14ac:dyDescent="0.25">
      <c r="B79" s="163">
        <f t="shared" si="0"/>
        <v>77</v>
      </c>
      <c r="C79" s="166" t="s">
        <v>1921</v>
      </c>
    </row>
    <row r="80" spans="2:3" x14ac:dyDescent="0.25">
      <c r="B80" s="163">
        <f t="shared" si="0"/>
        <v>78</v>
      </c>
      <c r="C80" s="217" t="s">
        <v>1477</v>
      </c>
    </row>
    <row r="81" spans="2:3" x14ac:dyDescent="0.25">
      <c r="B81" s="163">
        <f t="shared" si="0"/>
        <v>79</v>
      </c>
      <c r="C81" s="217" t="s">
        <v>1922</v>
      </c>
    </row>
    <row r="82" spans="2:3" x14ac:dyDescent="0.25">
      <c r="B82" s="163">
        <f t="shared" si="0"/>
        <v>80</v>
      </c>
      <c r="C82" s="217" t="s">
        <v>1923</v>
      </c>
    </row>
    <row r="83" spans="2:3" x14ac:dyDescent="0.25">
      <c r="B83" s="163">
        <f t="shared" si="0"/>
        <v>81</v>
      </c>
      <c r="C83" s="166" t="s">
        <v>1924</v>
      </c>
    </row>
    <row r="84" spans="2:3" x14ac:dyDescent="0.25">
      <c r="B84" s="163">
        <f t="shared" si="0"/>
        <v>82</v>
      </c>
      <c r="C84" s="217" t="s">
        <v>1925</v>
      </c>
    </row>
    <row r="85" spans="2:3" x14ac:dyDescent="0.25">
      <c r="B85" s="163">
        <f t="shared" si="0"/>
        <v>83</v>
      </c>
      <c r="C85" s="217" t="s">
        <v>1923</v>
      </c>
    </row>
    <row r="86" spans="2:3" x14ac:dyDescent="0.25">
      <c r="B86" s="163">
        <f t="shared" si="0"/>
        <v>84</v>
      </c>
      <c r="C86" s="166" t="s">
        <v>1926</v>
      </c>
    </row>
    <row r="87" spans="2:3" x14ac:dyDescent="0.25">
      <c r="B87" s="163">
        <f t="shared" si="0"/>
        <v>85</v>
      </c>
      <c r="C87" s="217" t="s">
        <v>1927</v>
      </c>
    </row>
    <row r="88" spans="2:3" x14ac:dyDescent="0.25">
      <c r="B88" s="163">
        <f t="shared" si="0"/>
        <v>86</v>
      </c>
      <c r="C88" s="166" t="s">
        <v>1928</v>
      </c>
    </row>
    <row r="89" spans="2:3" x14ac:dyDescent="0.25">
      <c r="B89" s="163">
        <f t="shared" si="0"/>
        <v>87</v>
      </c>
      <c r="C89" s="166" t="s">
        <v>1929</v>
      </c>
    </row>
    <row r="90" spans="2:3" x14ac:dyDescent="0.25">
      <c r="B90" s="163">
        <f t="shared" si="0"/>
        <v>88</v>
      </c>
      <c r="C90" s="166" t="s">
        <v>1930</v>
      </c>
    </row>
    <row r="91" spans="2:3" x14ac:dyDescent="0.25">
      <c r="B91" s="163">
        <f t="shared" si="0"/>
        <v>89</v>
      </c>
      <c r="C91" s="166" t="s">
        <v>1931</v>
      </c>
    </row>
    <row r="92" spans="2:3" x14ac:dyDescent="0.25">
      <c r="B92" s="163">
        <f t="shared" si="0"/>
        <v>90</v>
      </c>
      <c r="C92" s="166" t="s">
        <v>1932</v>
      </c>
    </row>
    <row r="93" spans="2:3" x14ac:dyDescent="0.25">
      <c r="B93" s="163">
        <f t="shared" si="0"/>
        <v>91</v>
      </c>
      <c r="C93" s="166" t="s">
        <v>1933</v>
      </c>
    </row>
    <row r="94" spans="2:3" x14ac:dyDescent="0.25">
      <c r="B94" s="163">
        <f t="shared" si="0"/>
        <v>92</v>
      </c>
      <c r="C94" s="166" t="s">
        <v>1934</v>
      </c>
    </row>
    <row r="95" spans="2:3" x14ac:dyDescent="0.25">
      <c r="B95" s="163">
        <f t="shared" si="0"/>
        <v>93</v>
      </c>
      <c r="C95" s="166" t="s">
        <v>1935</v>
      </c>
    </row>
    <row r="96" spans="2:3" x14ac:dyDescent="0.25">
      <c r="B96" s="163">
        <f t="shared" si="0"/>
        <v>94</v>
      </c>
      <c r="C96" s="166" t="s">
        <v>1928</v>
      </c>
    </row>
    <row r="97" spans="2:3" x14ac:dyDescent="0.25">
      <c r="B97" s="163">
        <f t="shared" si="0"/>
        <v>95</v>
      </c>
    </row>
    <row r="98" spans="2:3" x14ac:dyDescent="0.25">
      <c r="B98" s="163">
        <f t="shared" si="0"/>
        <v>96</v>
      </c>
    </row>
    <row r="99" spans="2:3" x14ac:dyDescent="0.25">
      <c r="B99" s="163">
        <f t="shared" si="0"/>
        <v>97</v>
      </c>
    </row>
    <row r="100" spans="2:3" x14ac:dyDescent="0.25">
      <c r="B100" s="163">
        <f t="shared" si="0"/>
        <v>98</v>
      </c>
      <c r="C100" s="166" t="s">
        <v>1936</v>
      </c>
    </row>
    <row r="101" spans="2:3" x14ac:dyDescent="0.25">
      <c r="B101" s="163">
        <f t="shared" si="0"/>
        <v>99</v>
      </c>
      <c r="C101" s="217" t="s">
        <v>1923</v>
      </c>
    </row>
    <row r="102" spans="2:3" x14ac:dyDescent="0.25">
      <c r="B102" s="163">
        <f t="shared" si="0"/>
        <v>100</v>
      </c>
      <c r="C102" s="166" t="s">
        <v>1924</v>
      </c>
    </row>
    <row r="103" spans="2:3" x14ac:dyDescent="0.25">
      <c r="B103" s="163">
        <f t="shared" si="0"/>
        <v>101</v>
      </c>
      <c r="C103" s="217" t="s">
        <v>1925</v>
      </c>
    </row>
    <row r="104" spans="2:3" x14ac:dyDescent="0.25">
      <c r="B104" s="163">
        <f t="shared" si="0"/>
        <v>102</v>
      </c>
      <c r="C104" s="217" t="s">
        <v>1923</v>
      </c>
    </row>
    <row r="105" spans="2:3" x14ac:dyDescent="0.25">
      <c r="B105" s="163">
        <f t="shared" si="0"/>
        <v>103</v>
      </c>
      <c r="C105" s="166" t="s">
        <v>1926</v>
      </c>
    </row>
    <row r="106" spans="2:3" x14ac:dyDescent="0.25">
      <c r="B106" s="163">
        <f t="shared" si="0"/>
        <v>104</v>
      </c>
      <c r="C106" s="217" t="s">
        <v>1927</v>
      </c>
    </row>
    <row r="107" spans="2:3" x14ac:dyDescent="0.25">
      <c r="B107" s="163">
        <f t="shared" si="0"/>
        <v>105</v>
      </c>
      <c r="C107" s="166" t="s">
        <v>1928</v>
      </c>
    </row>
    <row r="108" spans="2:3" x14ac:dyDescent="0.25">
      <c r="B108" s="163">
        <f t="shared" si="0"/>
        <v>106</v>
      </c>
      <c r="C108" s="166" t="s">
        <v>1937</v>
      </c>
    </row>
    <row r="109" spans="2:3" x14ac:dyDescent="0.25">
      <c r="B109" s="163">
        <f t="shared" si="0"/>
        <v>107</v>
      </c>
      <c r="C109" s="166" t="s">
        <v>1938</v>
      </c>
    </row>
    <row r="110" spans="2:3" x14ac:dyDescent="0.25">
      <c r="B110" s="163">
        <f t="shared" si="0"/>
        <v>108</v>
      </c>
      <c r="C110" s="166" t="s">
        <v>1939</v>
      </c>
    </row>
    <row r="111" spans="2:3" x14ac:dyDescent="0.25">
      <c r="B111" s="163">
        <f t="shared" si="0"/>
        <v>109</v>
      </c>
      <c r="C111" s="166" t="s">
        <v>1940</v>
      </c>
    </row>
    <row r="112" spans="2:3" x14ac:dyDescent="0.25">
      <c r="B112" s="163">
        <f t="shared" si="0"/>
        <v>110</v>
      </c>
      <c r="C112" s="166" t="s">
        <v>1941</v>
      </c>
    </row>
    <row r="113" spans="2:3" x14ac:dyDescent="0.25">
      <c r="B113" s="163">
        <f t="shared" si="0"/>
        <v>111</v>
      </c>
      <c r="C113" s="166" t="s">
        <v>1934</v>
      </c>
    </row>
    <row r="114" spans="2:3" x14ac:dyDescent="0.25">
      <c r="B114" s="163">
        <f t="shared" si="0"/>
        <v>112</v>
      </c>
      <c r="C114" s="166" t="s">
        <v>1935</v>
      </c>
    </row>
    <row r="115" spans="2:3" x14ac:dyDescent="0.25">
      <c r="B115" s="163">
        <f t="shared" si="0"/>
        <v>113</v>
      </c>
      <c r="C115" s="166" t="s">
        <v>1928</v>
      </c>
    </row>
    <row r="116" spans="2:3" x14ac:dyDescent="0.25">
      <c r="B116" s="163">
        <f t="shared" si="0"/>
        <v>114</v>
      </c>
    </row>
    <row r="117" spans="2:3" x14ac:dyDescent="0.25">
      <c r="B117" s="163">
        <f t="shared" si="0"/>
        <v>115</v>
      </c>
    </row>
    <row r="118" spans="2:3" x14ac:dyDescent="0.25">
      <c r="B118" s="163">
        <f t="shared" si="0"/>
        <v>116</v>
      </c>
      <c r="C118" s="166" t="s">
        <v>1942</v>
      </c>
    </row>
    <row r="119" spans="2:3" x14ac:dyDescent="0.25">
      <c r="B119" s="163">
        <f t="shared" si="0"/>
        <v>117</v>
      </c>
      <c r="C119" s="217" t="s">
        <v>1923</v>
      </c>
    </row>
    <row r="120" spans="2:3" x14ac:dyDescent="0.25">
      <c r="B120" s="163">
        <f t="shared" si="0"/>
        <v>118</v>
      </c>
      <c r="C120" s="217" t="s">
        <v>1943</v>
      </c>
    </row>
    <row r="121" spans="2:3" x14ac:dyDescent="0.25">
      <c r="B121" s="163">
        <f t="shared" si="0"/>
        <v>119</v>
      </c>
      <c r="C121" s="217" t="s">
        <v>1944</v>
      </c>
    </row>
    <row r="122" spans="2:3" x14ac:dyDescent="0.25">
      <c r="B122" s="163">
        <f t="shared" si="0"/>
        <v>120</v>
      </c>
      <c r="C122" s="166" t="s">
        <v>1945</v>
      </c>
    </row>
    <row r="123" spans="2:3" x14ac:dyDescent="0.25">
      <c r="B123" s="163">
        <f t="shared" si="0"/>
        <v>121</v>
      </c>
      <c r="C123" s="217" t="s">
        <v>1946</v>
      </c>
    </row>
    <row r="124" spans="2:3" x14ac:dyDescent="0.25">
      <c r="B124" s="163">
        <f t="shared" si="0"/>
        <v>122</v>
      </c>
      <c r="C124" s="217" t="s">
        <v>1925</v>
      </c>
    </row>
    <row r="125" spans="2:3" x14ac:dyDescent="0.25">
      <c r="B125" s="163">
        <f t="shared" si="0"/>
        <v>123</v>
      </c>
      <c r="C125" s="217" t="s">
        <v>1947</v>
      </c>
    </row>
    <row r="126" spans="2:3" x14ac:dyDescent="0.25">
      <c r="B126" s="163">
        <f t="shared" si="0"/>
        <v>124</v>
      </c>
      <c r="C126" s="217" t="s">
        <v>1948</v>
      </c>
    </row>
    <row r="127" spans="2:3" x14ac:dyDescent="0.25">
      <c r="B127" s="163">
        <f t="shared" si="0"/>
        <v>125</v>
      </c>
      <c r="C127" s="166" t="s">
        <v>1928</v>
      </c>
    </row>
    <row r="128" spans="2:3" x14ac:dyDescent="0.25">
      <c r="B128" s="163">
        <f t="shared" si="0"/>
        <v>126</v>
      </c>
    </row>
    <row r="129" spans="2:3" x14ac:dyDescent="0.25">
      <c r="B129" s="163">
        <f t="shared" si="0"/>
        <v>127</v>
      </c>
    </row>
    <row r="130" spans="2:3" x14ac:dyDescent="0.25">
      <c r="B130" s="163">
        <f t="shared" si="0"/>
        <v>128</v>
      </c>
    </row>
    <row r="131" spans="2:3" x14ac:dyDescent="0.25">
      <c r="B131" s="163">
        <f t="shared" si="0"/>
        <v>129</v>
      </c>
      <c r="C131" s="166" t="s">
        <v>1949</v>
      </c>
    </row>
    <row r="132" spans="2:3" x14ac:dyDescent="0.25">
      <c r="B132" s="163">
        <f t="shared" si="0"/>
        <v>130</v>
      </c>
      <c r="C132" s="217" t="s">
        <v>1950</v>
      </c>
    </row>
    <row r="133" spans="2:3" x14ac:dyDescent="0.25">
      <c r="B133" s="163">
        <f t="shared" si="0"/>
        <v>131</v>
      </c>
      <c r="C133" s="217" t="s">
        <v>1948</v>
      </c>
    </row>
    <row r="134" spans="2:3" x14ac:dyDescent="0.25">
      <c r="B134" s="163">
        <f t="shared" si="0"/>
        <v>132</v>
      </c>
      <c r="C134" s="166" t="s">
        <v>1928</v>
      </c>
    </row>
    <row r="135" spans="2:3" x14ac:dyDescent="0.25">
      <c r="B135" s="163">
        <f t="shared" ref="B135:B538" si="1">B134+1</f>
        <v>133</v>
      </c>
    </row>
    <row r="136" spans="2:3" x14ac:dyDescent="0.25">
      <c r="B136" s="163">
        <f t="shared" si="1"/>
        <v>134</v>
      </c>
    </row>
    <row r="137" spans="2:3" x14ac:dyDescent="0.25">
      <c r="B137" s="163">
        <f t="shared" si="1"/>
        <v>135</v>
      </c>
      <c r="C137" s="166" t="s">
        <v>1951</v>
      </c>
    </row>
    <row r="138" spans="2:3" x14ac:dyDescent="0.25">
      <c r="B138" s="163">
        <f t="shared" si="1"/>
        <v>136</v>
      </c>
      <c r="C138" s="217" t="s">
        <v>1952</v>
      </c>
    </row>
    <row r="139" spans="2:3" x14ac:dyDescent="0.25">
      <c r="B139" s="163">
        <f t="shared" si="1"/>
        <v>137</v>
      </c>
      <c r="C139" s="217" t="s">
        <v>1953</v>
      </c>
    </row>
    <row r="140" spans="2:3" x14ac:dyDescent="0.25">
      <c r="B140" s="163">
        <f t="shared" si="1"/>
        <v>138</v>
      </c>
      <c r="C140" s="217" t="s">
        <v>1948</v>
      </c>
    </row>
    <row r="141" spans="2:3" x14ac:dyDescent="0.25">
      <c r="B141" s="163">
        <f t="shared" si="1"/>
        <v>139</v>
      </c>
      <c r="C141" s="166" t="s">
        <v>1928</v>
      </c>
    </row>
    <row r="142" spans="2:3" x14ac:dyDescent="0.25">
      <c r="B142" s="163">
        <f t="shared" si="1"/>
        <v>140</v>
      </c>
    </row>
    <row r="143" spans="2:3" x14ac:dyDescent="0.25">
      <c r="B143" s="163">
        <f t="shared" si="1"/>
        <v>141</v>
      </c>
    </row>
    <row r="144" spans="2:3" x14ac:dyDescent="0.25">
      <c r="B144" s="163">
        <f t="shared" si="1"/>
        <v>142</v>
      </c>
    </row>
    <row r="145" spans="2:4" x14ac:dyDescent="0.25">
      <c r="B145" s="163">
        <f t="shared" si="1"/>
        <v>143</v>
      </c>
    </row>
    <row r="146" spans="2:4" x14ac:dyDescent="0.25">
      <c r="B146" s="163">
        <f t="shared" si="1"/>
        <v>144</v>
      </c>
      <c r="C146" s="164" t="s">
        <v>160</v>
      </c>
      <c r="D146" s="161" t="s">
        <v>1420</v>
      </c>
    </row>
    <row r="147" spans="2:4" x14ac:dyDescent="0.25">
      <c r="B147" s="163">
        <f t="shared" si="1"/>
        <v>145</v>
      </c>
      <c r="C147" s="165" t="s">
        <v>1583</v>
      </c>
    </row>
    <row r="148" spans="2:4" x14ac:dyDescent="0.25">
      <c r="B148" s="163">
        <f t="shared" si="1"/>
        <v>146</v>
      </c>
      <c r="C148" s="165" t="s">
        <v>1584</v>
      </c>
    </row>
    <row r="149" spans="2:4" x14ac:dyDescent="0.25">
      <c r="B149" s="163">
        <f t="shared" si="1"/>
        <v>147</v>
      </c>
      <c r="C149" s="164" t="s">
        <v>1408</v>
      </c>
    </row>
    <row r="150" spans="2:4" x14ac:dyDescent="0.25">
      <c r="B150" s="163">
        <f t="shared" si="1"/>
        <v>148</v>
      </c>
      <c r="C150" s="165" t="s">
        <v>161</v>
      </c>
    </row>
    <row r="151" spans="2:4" x14ac:dyDescent="0.25">
      <c r="B151" s="163">
        <f t="shared" ref="B151:B157" si="2">B150+1</f>
        <v>149</v>
      </c>
      <c r="C151" s="165" t="s">
        <v>1756</v>
      </c>
    </row>
    <row r="152" spans="2:4" x14ac:dyDescent="0.25">
      <c r="B152" s="163">
        <f t="shared" si="2"/>
        <v>150</v>
      </c>
      <c r="C152" s="165" t="s">
        <v>162</v>
      </c>
    </row>
    <row r="153" spans="2:4" x14ac:dyDescent="0.25">
      <c r="B153" s="163">
        <f t="shared" si="2"/>
        <v>151</v>
      </c>
      <c r="C153" s="161" t="s">
        <v>1586</v>
      </c>
    </row>
    <row r="154" spans="2:4" x14ac:dyDescent="0.25">
      <c r="B154" s="163">
        <f t="shared" si="2"/>
        <v>152</v>
      </c>
      <c r="C154" s="164" t="s">
        <v>1587</v>
      </c>
    </row>
    <row r="155" spans="2:4" x14ac:dyDescent="0.25">
      <c r="B155" s="163">
        <f t="shared" si="2"/>
        <v>153</v>
      </c>
      <c r="C155" s="164" t="s">
        <v>148</v>
      </c>
    </row>
    <row r="156" spans="2:4" x14ac:dyDescent="0.25">
      <c r="B156" s="163">
        <f t="shared" si="2"/>
        <v>154</v>
      </c>
    </row>
    <row r="157" spans="2:4" x14ac:dyDescent="0.25">
      <c r="B157" s="163">
        <f t="shared" si="2"/>
        <v>155</v>
      </c>
    </row>
    <row r="158" spans="2:4" x14ac:dyDescent="0.25">
      <c r="B158" s="163">
        <f t="shared" ref="B158:B161" si="3">B157+1</f>
        <v>156</v>
      </c>
      <c r="C158" s="164" t="s">
        <v>163</v>
      </c>
    </row>
    <row r="159" spans="2:4" x14ac:dyDescent="0.25">
      <c r="B159" s="163">
        <f t="shared" si="3"/>
        <v>157</v>
      </c>
      <c r="C159" s="165" t="s">
        <v>1588</v>
      </c>
    </row>
    <row r="160" spans="2:4" x14ac:dyDescent="0.25">
      <c r="B160" s="163">
        <f t="shared" si="3"/>
        <v>158</v>
      </c>
      <c r="C160" s="165" t="s">
        <v>1584</v>
      </c>
    </row>
    <row r="161" spans="2:3" x14ac:dyDescent="0.25">
      <c r="B161" s="163">
        <f t="shared" si="3"/>
        <v>159</v>
      </c>
      <c r="C161" s="164" t="s">
        <v>1409</v>
      </c>
    </row>
    <row r="162" spans="2:3" x14ac:dyDescent="0.25">
      <c r="B162" s="163">
        <f t="shared" si="1"/>
        <v>160</v>
      </c>
      <c r="C162" s="164" t="s">
        <v>148</v>
      </c>
    </row>
    <row r="163" spans="2:3" x14ac:dyDescent="0.25">
      <c r="B163" s="163">
        <f t="shared" si="1"/>
        <v>161</v>
      </c>
    </row>
    <row r="164" spans="2:3" x14ac:dyDescent="0.25">
      <c r="B164" s="163">
        <f t="shared" si="1"/>
        <v>162</v>
      </c>
    </row>
    <row r="165" spans="2:3" x14ac:dyDescent="0.25">
      <c r="B165" s="163">
        <f t="shared" si="1"/>
        <v>163</v>
      </c>
    </row>
    <row r="166" spans="2:3" x14ac:dyDescent="0.25">
      <c r="B166" s="163">
        <f t="shared" si="1"/>
        <v>164</v>
      </c>
    </row>
    <row r="167" spans="2:3" x14ac:dyDescent="0.25">
      <c r="B167" s="163">
        <f t="shared" si="1"/>
        <v>165</v>
      </c>
    </row>
    <row r="168" spans="2:3" x14ac:dyDescent="0.25">
      <c r="B168" s="163">
        <f t="shared" si="1"/>
        <v>166</v>
      </c>
    </row>
    <row r="169" spans="2:3" x14ac:dyDescent="0.25">
      <c r="B169" s="163">
        <f t="shared" si="1"/>
        <v>167</v>
      </c>
    </row>
    <row r="170" spans="2:3" x14ac:dyDescent="0.25">
      <c r="B170" s="163">
        <f t="shared" si="1"/>
        <v>168</v>
      </c>
    </row>
    <row r="171" spans="2:3" x14ac:dyDescent="0.25">
      <c r="B171" s="163">
        <f t="shared" si="1"/>
        <v>169</v>
      </c>
    </row>
    <row r="172" spans="2:3" x14ac:dyDescent="0.25">
      <c r="B172" s="163">
        <f t="shared" si="1"/>
        <v>170</v>
      </c>
      <c r="C172" s="166" t="s">
        <v>164</v>
      </c>
    </row>
    <row r="173" spans="2:3" x14ac:dyDescent="0.25">
      <c r="B173" s="163">
        <f t="shared" si="1"/>
        <v>171</v>
      </c>
    </row>
    <row r="174" spans="2:3" x14ac:dyDescent="0.25">
      <c r="B174" s="163">
        <f t="shared" si="1"/>
        <v>172</v>
      </c>
      <c r="C174" s="167" t="s">
        <v>165</v>
      </c>
    </row>
    <row r="175" spans="2:3" x14ac:dyDescent="0.25">
      <c r="B175" s="163">
        <f t="shared" si="1"/>
        <v>173</v>
      </c>
    </row>
    <row r="176" spans="2:3" x14ac:dyDescent="0.25">
      <c r="B176" s="163">
        <f t="shared" si="1"/>
        <v>174</v>
      </c>
      <c r="C176" s="164" t="s">
        <v>166</v>
      </c>
    </row>
    <row r="177" spans="2:3" x14ac:dyDescent="0.25">
      <c r="B177" s="163">
        <f t="shared" si="1"/>
        <v>175</v>
      </c>
      <c r="C177" s="217" t="s">
        <v>1954</v>
      </c>
    </row>
    <row r="178" spans="2:3" x14ac:dyDescent="0.25">
      <c r="B178" s="163">
        <f t="shared" si="1"/>
        <v>176</v>
      </c>
      <c r="C178" s="166" t="s">
        <v>167</v>
      </c>
    </row>
    <row r="179" spans="2:3" x14ac:dyDescent="0.25">
      <c r="B179" s="163">
        <f t="shared" si="1"/>
        <v>177</v>
      </c>
      <c r="C179" s="166" t="s">
        <v>168</v>
      </c>
    </row>
    <row r="180" spans="2:3" x14ac:dyDescent="0.25">
      <c r="B180" s="163">
        <f t="shared" si="1"/>
        <v>178</v>
      </c>
      <c r="C180" s="166" t="s">
        <v>169</v>
      </c>
    </row>
    <row r="181" spans="2:3" x14ac:dyDescent="0.25">
      <c r="B181" s="163">
        <f t="shared" si="1"/>
        <v>179</v>
      </c>
      <c r="C181" s="166" t="s">
        <v>170</v>
      </c>
    </row>
    <row r="182" spans="2:3" x14ac:dyDescent="0.25">
      <c r="B182" s="163">
        <f t="shared" si="1"/>
        <v>180</v>
      </c>
      <c r="C182" s="166" t="s">
        <v>171</v>
      </c>
    </row>
    <row r="183" spans="2:3" x14ac:dyDescent="0.25">
      <c r="B183" s="163">
        <f t="shared" si="1"/>
        <v>181</v>
      </c>
      <c r="C183" s="164" t="s">
        <v>148</v>
      </c>
    </row>
    <row r="184" spans="2:3" x14ac:dyDescent="0.25">
      <c r="B184" s="163">
        <f t="shared" si="1"/>
        <v>182</v>
      </c>
    </row>
    <row r="185" spans="2:3" x14ac:dyDescent="0.25">
      <c r="B185" s="163">
        <f t="shared" si="1"/>
        <v>183</v>
      </c>
    </row>
    <row r="186" spans="2:3" x14ac:dyDescent="0.25">
      <c r="B186" s="163">
        <f t="shared" si="1"/>
        <v>184</v>
      </c>
      <c r="C186" s="164" t="s">
        <v>172</v>
      </c>
    </row>
    <row r="187" spans="2:3" x14ac:dyDescent="0.25">
      <c r="B187" s="163">
        <f t="shared" si="1"/>
        <v>185</v>
      </c>
      <c r="C187" s="217" t="s">
        <v>1955</v>
      </c>
    </row>
    <row r="188" spans="2:3" x14ac:dyDescent="0.25">
      <c r="B188" s="163">
        <f t="shared" si="1"/>
        <v>186</v>
      </c>
      <c r="C188" s="165" t="s">
        <v>173</v>
      </c>
    </row>
    <row r="189" spans="2:3" x14ac:dyDescent="0.25">
      <c r="B189" s="163">
        <f t="shared" si="1"/>
        <v>187</v>
      </c>
      <c r="C189" s="196" t="s">
        <v>174</v>
      </c>
    </row>
    <row r="190" spans="2:3" x14ac:dyDescent="0.25">
      <c r="B190" s="163">
        <f t="shared" ref="B190:B315" si="4">B189+1</f>
        <v>188</v>
      </c>
      <c r="C190" s="196" t="s">
        <v>1502</v>
      </c>
    </row>
    <row r="191" spans="2:3" x14ac:dyDescent="0.25">
      <c r="B191" s="163">
        <f t="shared" si="4"/>
        <v>189</v>
      </c>
      <c r="C191" s="196" t="s">
        <v>175</v>
      </c>
    </row>
    <row r="192" spans="2:3" x14ac:dyDescent="0.25">
      <c r="B192" s="163">
        <f t="shared" si="4"/>
        <v>190</v>
      </c>
      <c r="C192" s="196" t="s">
        <v>176</v>
      </c>
    </row>
    <row r="193" spans="2:3" x14ac:dyDescent="0.25">
      <c r="B193" s="163">
        <f t="shared" si="4"/>
        <v>191</v>
      </c>
      <c r="C193" s="164" t="s">
        <v>148</v>
      </c>
    </row>
    <row r="194" spans="2:3" x14ac:dyDescent="0.25">
      <c r="B194" s="163">
        <f t="shared" si="4"/>
        <v>192</v>
      </c>
    </row>
    <row r="195" spans="2:3" x14ac:dyDescent="0.25">
      <c r="B195" s="163">
        <f t="shared" si="4"/>
        <v>193</v>
      </c>
      <c r="C195" s="164" t="s">
        <v>177</v>
      </c>
    </row>
    <row r="196" spans="2:3" x14ac:dyDescent="0.25">
      <c r="B196" s="163">
        <f t="shared" si="4"/>
        <v>194</v>
      </c>
      <c r="C196" s="165" t="s">
        <v>178</v>
      </c>
    </row>
    <row r="197" spans="2:3" x14ac:dyDescent="0.25">
      <c r="B197" s="163">
        <f t="shared" si="4"/>
        <v>195</v>
      </c>
      <c r="C197" s="196" t="s">
        <v>179</v>
      </c>
    </row>
    <row r="198" spans="2:3" x14ac:dyDescent="0.25">
      <c r="B198" s="163">
        <f t="shared" si="4"/>
        <v>196</v>
      </c>
      <c r="C198" s="196" t="s">
        <v>180</v>
      </c>
    </row>
    <row r="199" spans="2:3" x14ac:dyDescent="0.25">
      <c r="B199" s="163">
        <f t="shared" si="4"/>
        <v>197</v>
      </c>
      <c r="C199" s="196" t="s">
        <v>181</v>
      </c>
    </row>
    <row r="200" spans="2:3" x14ac:dyDescent="0.25">
      <c r="B200" s="163">
        <f t="shared" si="4"/>
        <v>198</v>
      </c>
      <c r="C200" s="164" t="s">
        <v>148</v>
      </c>
    </row>
    <row r="201" spans="2:3" x14ac:dyDescent="0.25">
      <c r="B201" s="163">
        <f t="shared" si="4"/>
        <v>199</v>
      </c>
    </row>
    <row r="202" spans="2:3" x14ac:dyDescent="0.25">
      <c r="B202" s="163">
        <f t="shared" si="4"/>
        <v>200</v>
      </c>
      <c r="C202" s="164" t="s">
        <v>182</v>
      </c>
    </row>
    <row r="203" spans="2:3" x14ac:dyDescent="0.25">
      <c r="B203" s="163">
        <f t="shared" si="4"/>
        <v>201</v>
      </c>
      <c r="C203" s="165" t="s">
        <v>183</v>
      </c>
    </row>
    <row r="204" spans="2:3" x14ac:dyDescent="0.25">
      <c r="B204" s="163">
        <f t="shared" si="4"/>
        <v>202</v>
      </c>
      <c r="C204" s="196" t="s">
        <v>184</v>
      </c>
    </row>
    <row r="205" spans="2:3" x14ac:dyDescent="0.25">
      <c r="B205" s="163">
        <f t="shared" si="4"/>
        <v>203</v>
      </c>
      <c r="C205" s="164" t="s">
        <v>148</v>
      </c>
    </row>
    <row r="206" spans="2:3" x14ac:dyDescent="0.25">
      <c r="B206" s="163">
        <f t="shared" si="4"/>
        <v>204</v>
      </c>
    </row>
    <row r="207" spans="2:3" x14ac:dyDescent="0.25">
      <c r="B207" s="163">
        <f t="shared" si="4"/>
        <v>205</v>
      </c>
    </row>
    <row r="208" spans="2:3" x14ac:dyDescent="0.25">
      <c r="B208" s="163">
        <f t="shared" si="4"/>
        <v>206</v>
      </c>
    </row>
    <row r="209" spans="2:4" x14ac:dyDescent="0.25">
      <c r="B209" s="163">
        <f t="shared" si="4"/>
        <v>207</v>
      </c>
      <c r="C209" s="164" t="s">
        <v>185</v>
      </c>
    </row>
    <row r="210" spans="2:4" x14ac:dyDescent="0.25">
      <c r="B210" s="163">
        <f t="shared" si="4"/>
        <v>208</v>
      </c>
      <c r="C210" s="165" t="s">
        <v>186</v>
      </c>
    </row>
    <row r="211" spans="2:4" x14ac:dyDescent="0.25">
      <c r="B211" s="163">
        <f t="shared" si="4"/>
        <v>209</v>
      </c>
      <c r="C211" s="161" t="s">
        <v>187</v>
      </c>
    </row>
    <row r="212" spans="2:4" x14ac:dyDescent="0.25">
      <c r="B212" s="163">
        <f t="shared" si="4"/>
        <v>210</v>
      </c>
      <c r="C212" s="164" t="s">
        <v>148</v>
      </c>
    </row>
    <row r="213" spans="2:4" x14ac:dyDescent="0.25">
      <c r="B213" s="163">
        <f t="shared" si="4"/>
        <v>211</v>
      </c>
    </row>
    <row r="214" spans="2:4" x14ac:dyDescent="0.25">
      <c r="B214" s="163">
        <f t="shared" si="4"/>
        <v>212</v>
      </c>
    </row>
    <row r="215" spans="2:4" x14ac:dyDescent="0.25">
      <c r="B215" s="163">
        <f t="shared" si="4"/>
        <v>213</v>
      </c>
    </row>
    <row r="216" spans="2:4" x14ac:dyDescent="0.25">
      <c r="B216" s="163">
        <f t="shared" si="4"/>
        <v>214</v>
      </c>
      <c r="C216" s="164" t="s">
        <v>188</v>
      </c>
      <c r="D216" s="161" t="s">
        <v>1420</v>
      </c>
    </row>
    <row r="217" spans="2:4" x14ac:dyDescent="0.25">
      <c r="B217" s="163">
        <f t="shared" si="4"/>
        <v>215</v>
      </c>
      <c r="C217" s="165" t="s">
        <v>189</v>
      </c>
    </row>
    <row r="218" spans="2:4" x14ac:dyDescent="0.25">
      <c r="B218" s="163">
        <f t="shared" si="4"/>
        <v>216</v>
      </c>
      <c r="C218" s="161" t="s">
        <v>1406</v>
      </c>
    </row>
    <row r="219" spans="2:4" x14ac:dyDescent="0.25">
      <c r="B219" s="163">
        <f t="shared" si="4"/>
        <v>217</v>
      </c>
      <c r="C219" s="165" t="s">
        <v>1589</v>
      </c>
    </row>
    <row r="220" spans="2:4" x14ac:dyDescent="0.25">
      <c r="B220" s="163">
        <f t="shared" si="4"/>
        <v>218</v>
      </c>
      <c r="C220" s="164" t="s">
        <v>148</v>
      </c>
    </row>
    <row r="221" spans="2:4" x14ac:dyDescent="0.25">
      <c r="B221" s="163">
        <f t="shared" si="4"/>
        <v>219</v>
      </c>
    </row>
    <row r="222" spans="2:4" x14ac:dyDescent="0.25">
      <c r="B222" s="163">
        <f t="shared" si="4"/>
        <v>220</v>
      </c>
    </row>
    <row r="223" spans="2:4" x14ac:dyDescent="0.25">
      <c r="B223" s="163">
        <f t="shared" si="4"/>
        <v>221</v>
      </c>
      <c r="C223" s="164" t="s">
        <v>191</v>
      </c>
      <c r="D223" s="161" t="s">
        <v>1420</v>
      </c>
    </row>
    <row r="224" spans="2:4" x14ac:dyDescent="0.25">
      <c r="B224" s="163">
        <f t="shared" si="4"/>
        <v>222</v>
      </c>
      <c r="C224" s="165" t="s">
        <v>192</v>
      </c>
    </row>
    <row r="225" spans="2:4" x14ac:dyDescent="0.25">
      <c r="B225" s="163">
        <f t="shared" si="4"/>
        <v>223</v>
      </c>
      <c r="C225" s="165" t="s">
        <v>193</v>
      </c>
    </row>
    <row r="226" spans="2:4" x14ac:dyDescent="0.25">
      <c r="B226" s="163">
        <f t="shared" si="4"/>
        <v>224</v>
      </c>
      <c r="C226" s="196" t="s">
        <v>194</v>
      </c>
    </row>
    <row r="227" spans="2:4" x14ac:dyDescent="0.25">
      <c r="B227" s="163">
        <f t="shared" si="4"/>
        <v>225</v>
      </c>
      <c r="C227" s="165" t="s">
        <v>1589</v>
      </c>
    </row>
    <row r="228" spans="2:4" x14ac:dyDescent="0.25">
      <c r="B228" s="163">
        <f t="shared" si="4"/>
        <v>226</v>
      </c>
      <c r="C228" s="164" t="s">
        <v>148</v>
      </c>
    </row>
    <row r="229" spans="2:4" x14ac:dyDescent="0.25">
      <c r="B229" s="163">
        <f t="shared" si="4"/>
        <v>227</v>
      </c>
    </row>
    <row r="230" spans="2:4" x14ac:dyDescent="0.25">
      <c r="B230" s="163">
        <f t="shared" si="4"/>
        <v>228</v>
      </c>
    </row>
    <row r="231" spans="2:4" x14ac:dyDescent="0.25">
      <c r="B231" s="163">
        <f t="shared" si="4"/>
        <v>229</v>
      </c>
      <c r="C231" s="164" t="s">
        <v>1590</v>
      </c>
      <c r="D231" s="161" t="s">
        <v>1420</v>
      </c>
    </row>
    <row r="232" spans="2:4" x14ac:dyDescent="0.25">
      <c r="B232" s="163">
        <f t="shared" si="4"/>
        <v>230</v>
      </c>
      <c r="C232" s="161" t="s">
        <v>195</v>
      </c>
    </row>
    <row r="233" spans="2:4" x14ac:dyDescent="0.25">
      <c r="B233" s="163">
        <f t="shared" si="4"/>
        <v>231</v>
      </c>
      <c r="C233" s="165" t="s">
        <v>190</v>
      </c>
    </row>
    <row r="234" spans="2:4" x14ac:dyDescent="0.25">
      <c r="B234" s="163">
        <f t="shared" si="4"/>
        <v>232</v>
      </c>
      <c r="C234" s="164" t="s">
        <v>148</v>
      </c>
    </row>
    <row r="235" spans="2:4" x14ac:dyDescent="0.25">
      <c r="B235" s="163">
        <f t="shared" si="4"/>
        <v>233</v>
      </c>
    </row>
    <row r="236" spans="2:4" x14ac:dyDescent="0.25">
      <c r="B236" s="163">
        <f t="shared" si="4"/>
        <v>234</v>
      </c>
    </row>
    <row r="237" spans="2:4" x14ac:dyDescent="0.25">
      <c r="B237" s="163">
        <f t="shared" si="4"/>
        <v>235</v>
      </c>
    </row>
    <row r="238" spans="2:4" x14ac:dyDescent="0.25">
      <c r="B238" s="163">
        <f t="shared" si="4"/>
        <v>236</v>
      </c>
      <c r="C238" s="166" t="s">
        <v>2065</v>
      </c>
    </row>
    <row r="239" spans="2:4" x14ac:dyDescent="0.25">
      <c r="B239" s="163">
        <f t="shared" si="4"/>
        <v>237</v>
      </c>
      <c r="C239" s="217" t="s">
        <v>2066</v>
      </c>
    </row>
    <row r="240" spans="2:4" x14ac:dyDescent="0.25">
      <c r="B240" s="163">
        <f t="shared" si="4"/>
        <v>238</v>
      </c>
      <c r="C240" s="217" t="s">
        <v>2067</v>
      </c>
    </row>
    <row r="241" spans="2:4" x14ac:dyDescent="0.25">
      <c r="B241" s="163">
        <f t="shared" si="4"/>
        <v>239</v>
      </c>
      <c r="C241" s="217" t="s">
        <v>2068</v>
      </c>
    </row>
    <row r="242" spans="2:4" x14ac:dyDescent="0.25">
      <c r="B242" s="163">
        <f t="shared" si="4"/>
        <v>240</v>
      </c>
      <c r="C242" s="166" t="s">
        <v>1928</v>
      </c>
    </row>
    <row r="243" spans="2:4" x14ac:dyDescent="0.25">
      <c r="B243" s="163">
        <f t="shared" si="4"/>
        <v>241</v>
      </c>
    </row>
    <row r="244" spans="2:4" x14ac:dyDescent="0.25">
      <c r="B244" s="163">
        <f t="shared" si="4"/>
        <v>242</v>
      </c>
    </row>
    <row r="245" spans="2:4" x14ac:dyDescent="0.25">
      <c r="B245" s="163">
        <f t="shared" si="4"/>
        <v>243</v>
      </c>
    </row>
    <row r="246" spans="2:4" x14ac:dyDescent="0.25">
      <c r="B246" s="163">
        <f t="shared" si="4"/>
        <v>244</v>
      </c>
    </row>
    <row r="247" spans="2:4" x14ac:dyDescent="0.25">
      <c r="B247" s="163">
        <f t="shared" si="4"/>
        <v>245</v>
      </c>
      <c r="C247" s="164" t="s">
        <v>1591</v>
      </c>
      <c r="D247" s="161" t="s">
        <v>1420</v>
      </c>
    </row>
    <row r="248" spans="2:4" x14ac:dyDescent="0.25">
      <c r="B248" s="163">
        <f t="shared" si="4"/>
        <v>246</v>
      </c>
      <c r="C248" s="165" t="s">
        <v>1592</v>
      </c>
    </row>
    <row r="249" spans="2:4" x14ac:dyDescent="0.25">
      <c r="B249" s="163">
        <f t="shared" si="4"/>
        <v>247</v>
      </c>
      <c r="C249" s="196" t="s">
        <v>1593</v>
      </c>
    </row>
    <row r="250" spans="2:4" x14ac:dyDescent="0.25">
      <c r="B250" s="163">
        <f t="shared" si="4"/>
        <v>248</v>
      </c>
      <c r="C250" s="161" t="s">
        <v>1594</v>
      </c>
    </row>
    <row r="251" spans="2:4" x14ac:dyDescent="0.25">
      <c r="B251" s="163">
        <f t="shared" si="4"/>
        <v>249</v>
      </c>
      <c r="C251" s="161" t="s">
        <v>1595</v>
      </c>
    </row>
    <row r="252" spans="2:4" x14ac:dyDescent="0.25">
      <c r="B252" s="163">
        <f t="shared" si="4"/>
        <v>250</v>
      </c>
      <c r="C252" s="165" t="s">
        <v>1596</v>
      </c>
    </row>
    <row r="253" spans="2:4" x14ac:dyDescent="0.25">
      <c r="B253" s="163">
        <f t="shared" si="4"/>
        <v>251</v>
      </c>
      <c r="C253" s="165" t="s">
        <v>1597</v>
      </c>
    </row>
    <row r="254" spans="2:4" x14ac:dyDescent="0.25">
      <c r="B254" s="163">
        <f t="shared" si="4"/>
        <v>252</v>
      </c>
      <c r="C254" s="196" t="s">
        <v>1598</v>
      </c>
    </row>
    <row r="255" spans="2:4" x14ac:dyDescent="0.25">
      <c r="B255" s="163">
        <f t="shared" si="4"/>
        <v>253</v>
      </c>
      <c r="C255" s="161" t="s">
        <v>1505</v>
      </c>
    </row>
    <row r="256" spans="2:4" x14ac:dyDescent="0.25">
      <c r="B256" s="163">
        <f t="shared" si="4"/>
        <v>254</v>
      </c>
      <c r="C256" s="165" t="s">
        <v>1546</v>
      </c>
    </row>
    <row r="257" spans="2:4" x14ac:dyDescent="0.25">
      <c r="B257" s="163">
        <f t="shared" si="4"/>
        <v>255</v>
      </c>
      <c r="C257" s="165" t="s">
        <v>1405</v>
      </c>
    </row>
    <row r="258" spans="2:4" x14ac:dyDescent="0.25">
      <c r="B258" s="163">
        <f t="shared" si="4"/>
        <v>256</v>
      </c>
      <c r="C258" s="165" t="s">
        <v>1599</v>
      </c>
    </row>
    <row r="259" spans="2:4" x14ac:dyDescent="0.25">
      <c r="B259" s="163">
        <f t="shared" si="4"/>
        <v>257</v>
      </c>
      <c r="C259" s="165" t="s">
        <v>1600</v>
      </c>
    </row>
    <row r="260" spans="2:4" x14ac:dyDescent="0.25">
      <c r="B260" s="163">
        <f t="shared" si="4"/>
        <v>258</v>
      </c>
      <c r="C260" s="165" t="s">
        <v>1601</v>
      </c>
    </row>
    <row r="261" spans="2:4" x14ac:dyDescent="0.25">
      <c r="B261" s="163">
        <f t="shared" si="4"/>
        <v>259</v>
      </c>
      <c r="C261" s="164" t="s">
        <v>1602</v>
      </c>
    </row>
    <row r="262" spans="2:4" x14ac:dyDescent="0.25">
      <c r="B262" s="163">
        <f t="shared" si="4"/>
        <v>260</v>
      </c>
      <c r="C262" s="165" t="s">
        <v>1603</v>
      </c>
    </row>
    <row r="263" spans="2:4" x14ac:dyDescent="0.25">
      <c r="B263" s="163">
        <f t="shared" si="4"/>
        <v>261</v>
      </c>
      <c r="C263" s="217" t="s">
        <v>1956</v>
      </c>
    </row>
    <row r="264" spans="2:4" x14ac:dyDescent="0.25">
      <c r="B264" s="163">
        <f t="shared" si="4"/>
        <v>262</v>
      </c>
      <c r="C264" s="193" t="s">
        <v>196</v>
      </c>
    </row>
    <row r="265" spans="2:4" x14ac:dyDescent="0.25">
      <c r="B265" s="163">
        <f t="shared" si="4"/>
        <v>263</v>
      </c>
      <c r="C265" s="194" t="s">
        <v>197</v>
      </c>
    </row>
    <row r="266" spans="2:4" x14ac:dyDescent="0.25">
      <c r="B266" s="163">
        <f t="shared" si="4"/>
        <v>264</v>
      </c>
      <c r="C266" s="193" t="s">
        <v>221</v>
      </c>
    </row>
    <row r="267" spans="2:4" x14ac:dyDescent="0.25">
      <c r="B267" s="163">
        <f t="shared" si="4"/>
        <v>265</v>
      </c>
      <c r="C267" s="164" t="s">
        <v>148</v>
      </c>
    </row>
    <row r="268" spans="2:4" x14ac:dyDescent="0.25">
      <c r="B268" s="163">
        <f t="shared" si="4"/>
        <v>266</v>
      </c>
    </row>
    <row r="269" spans="2:4" x14ac:dyDescent="0.25">
      <c r="B269" s="163">
        <f t="shared" si="4"/>
        <v>267</v>
      </c>
    </row>
    <row r="270" spans="2:4" x14ac:dyDescent="0.25">
      <c r="B270" s="163">
        <f t="shared" si="4"/>
        <v>268</v>
      </c>
    </row>
    <row r="271" spans="2:4" x14ac:dyDescent="0.25">
      <c r="B271" s="163">
        <f t="shared" si="4"/>
        <v>269</v>
      </c>
    </row>
    <row r="272" spans="2:4" x14ac:dyDescent="0.25">
      <c r="B272" s="163">
        <f t="shared" si="4"/>
        <v>270</v>
      </c>
      <c r="C272" s="164" t="s">
        <v>1604</v>
      </c>
      <c r="D272" s="161" t="s">
        <v>1420</v>
      </c>
    </row>
    <row r="273" spans="2:4" x14ac:dyDescent="0.25">
      <c r="B273" s="163">
        <f t="shared" si="4"/>
        <v>271</v>
      </c>
      <c r="C273" s="165" t="s">
        <v>1421</v>
      </c>
    </row>
    <row r="274" spans="2:4" x14ac:dyDescent="0.25">
      <c r="B274" s="163">
        <f t="shared" si="4"/>
        <v>272</v>
      </c>
      <c r="C274" s="196" t="s">
        <v>1468</v>
      </c>
    </row>
    <row r="275" spans="2:4" x14ac:dyDescent="0.25">
      <c r="B275" s="163">
        <f t="shared" si="4"/>
        <v>273</v>
      </c>
      <c r="C275" s="165" t="s">
        <v>198</v>
      </c>
    </row>
    <row r="276" spans="2:4" x14ac:dyDescent="0.25">
      <c r="B276" s="163">
        <f t="shared" si="4"/>
        <v>274</v>
      </c>
      <c r="C276" s="196" t="s">
        <v>1501</v>
      </c>
    </row>
    <row r="277" spans="2:4" x14ac:dyDescent="0.25">
      <c r="B277" s="163">
        <f t="shared" si="4"/>
        <v>275</v>
      </c>
      <c r="C277" s="161" t="s">
        <v>1505</v>
      </c>
    </row>
    <row r="278" spans="2:4" x14ac:dyDescent="0.25">
      <c r="B278" s="163">
        <f t="shared" si="4"/>
        <v>276</v>
      </c>
      <c r="C278" s="165" t="s">
        <v>1546</v>
      </c>
    </row>
    <row r="279" spans="2:4" x14ac:dyDescent="0.25">
      <c r="B279" s="163">
        <f t="shared" si="4"/>
        <v>277</v>
      </c>
      <c r="C279" s="165" t="s">
        <v>199</v>
      </c>
    </row>
    <row r="280" spans="2:4" x14ac:dyDescent="0.25">
      <c r="B280" s="163">
        <f t="shared" si="4"/>
        <v>278</v>
      </c>
      <c r="C280" s="165" t="s">
        <v>1605</v>
      </c>
    </row>
    <row r="281" spans="2:4" x14ac:dyDescent="0.25">
      <c r="B281" s="163">
        <f t="shared" si="4"/>
        <v>279</v>
      </c>
      <c r="C281" s="164" t="s">
        <v>200</v>
      </c>
    </row>
    <row r="282" spans="2:4" x14ac:dyDescent="0.25">
      <c r="B282" s="163">
        <f t="shared" si="4"/>
        <v>280</v>
      </c>
      <c r="C282" s="164" t="s">
        <v>148</v>
      </c>
    </row>
    <row r="283" spans="2:4" x14ac:dyDescent="0.25">
      <c r="B283" s="163">
        <f t="shared" si="4"/>
        <v>281</v>
      </c>
    </row>
    <row r="284" spans="2:4" x14ac:dyDescent="0.25">
      <c r="B284" s="163">
        <f t="shared" si="4"/>
        <v>282</v>
      </c>
    </row>
    <row r="285" spans="2:4" x14ac:dyDescent="0.25">
      <c r="B285" s="163">
        <f t="shared" si="4"/>
        <v>283</v>
      </c>
      <c r="C285" s="164" t="s">
        <v>1606</v>
      </c>
      <c r="D285" s="161" t="s">
        <v>1420</v>
      </c>
    </row>
    <row r="286" spans="2:4" x14ac:dyDescent="0.25">
      <c r="B286" s="163">
        <f t="shared" si="4"/>
        <v>284</v>
      </c>
      <c r="C286" s="161" t="s">
        <v>1607</v>
      </c>
    </row>
    <row r="287" spans="2:4" x14ac:dyDescent="0.25">
      <c r="B287" s="163">
        <f t="shared" si="4"/>
        <v>285</v>
      </c>
      <c r="C287" s="164" t="s">
        <v>253</v>
      </c>
    </row>
    <row r="288" spans="2:4" x14ac:dyDescent="0.25">
      <c r="B288" s="163">
        <f t="shared" si="4"/>
        <v>286</v>
      </c>
    </row>
    <row r="289" spans="2:4" x14ac:dyDescent="0.25">
      <c r="B289" s="163">
        <f t="shared" si="4"/>
        <v>287</v>
      </c>
    </row>
    <row r="290" spans="2:4" x14ac:dyDescent="0.25">
      <c r="B290" s="163">
        <f t="shared" si="4"/>
        <v>288</v>
      </c>
    </row>
    <row r="291" spans="2:4" x14ac:dyDescent="0.25">
      <c r="B291" s="163">
        <f t="shared" si="4"/>
        <v>289</v>
      </c>
      <c r="C291" s="164" t="s">
        <v>1608</v>
      </c>
      <c r="D291" s="161" t="s">
        <v>1420</v>
      </c>
    </row>
    <row r="292" spans="2:4" x14ac:dyDescent="0.25">
      <c r="B292" s="163">
        <f t="shared" si="4"/>
        <v>290</v>
      </c>
      <c r="C292" s="165" t="s">
        <v>1609</v>
      </c>
    </row>
    <row r="293" spans="2:4" x14ac:dyDescent="0.25">
      <c r="B293" s="163">
        <f t="shared" si="4"/>
        <v>291</v>
      </c>
      <c r="C293" s="165" t="s">
        <v>1596</v>
      </c>
    </row>
    <row r="294" spans="2:4" x14ac:dyDescent="0.25">
      <c r="B294" s="163">
        <f t="shared" si="4"/>
        <v>292</v>
      </c>
      <c r="C294" s="165" t="s">
        <v>1592</v>
      </c>
    </row>
    <row r="295" spans="2:4" x14ac:dyDescent="0.25">
      <c r="B295" s="163">
        <f t="shared" si="4"/>
        <v>293</v>
      </c>
      <c r="C295" s="196" t="s">
        <v>1610</v>
      </c>
    </row>
    <row r="296" spans="2:4" x14ac:dyDescent="0.25">
      <c r="B296" s="163">
        <f t="shared" si="4"/>
        <v>294</v>
      </c>
      <c r="C296" s="161" t="s">
        <v>1611</v>
      </c>
    </row>
    <row r="297" spans="2:4" x14ac:dyDescent="0.25">
      <c r="B297" s="163">
        <f t="shared" si="4"/>
        <v>295</v>
      </c>
      <c r="C297" s="161" t="s">
        <v>1607</v>
      </c>
    </row>
    <row r="298" spans="2:4" x14ac:dyDescent="0.25">
      <c r="B298" s="163">
        <f t="shared" si="4"/>
        <v>296</v>
      </c>
      <c r="C298" s="165" t="s">
        <v>198</v>
      </c>
    </row>
    <row r="299" spans="2:4" x14ac:dyDescent="0.25">
      <c r="B299" s="163">
        <f t="shared" si="4"/>
        <v>297</v>
      </c>
      <c r="C299" s="196" t="s">
        <v>1501</v>
      </c>
    </row>
    <row r="300" spans="2:4" x14ac:dyDescent="0.25">
      <c r="B300" s="163">
        <f t="shared" si="4"/>
        <v>298</v>
      </c>
      <c r="C300" s="161" t="s">
        <v>1506</v>
      </c>
    </row>
    <row r="301" spans="2:4" x14ac:dyDescent="0.25">
      <c r="B301" s="163">
        <f t="shared" si="4"/>
        <v>299</v>
      </c>
      <c r="C301" s="165" t="s">
        <v>1546</v>
      </c>
    </row>
    <row r="302" spans="2:4" x14ac:dyDescent="0.25">
      <c r="B302" s="163">
        <f t="shared" si="4"/>
        <v>300</v>
      </c>
      <c r="C302" s="165" t="s">
        <v>199</v>
      </c>
    </row>
    <row r="303" spans="2:4" x14ac:dyDescent="0.25">
      <c r="B303" s="163">
        <f t="shared" si="4"/>
        <v>301</v>
      </c>
      <c r="C303" s="165" t="s">
        <v>1599</v>
      </c>
    </row>
    <row r="304" spans="2:4" x14ac:dyDescent="0.25">
      <c r="B304" s="163">
        <f t="shared" si="4"/>
        <v>302</v>
      </c>
      <c r="C304" s="164" t="s">
        <v>200</v>
      </c>
    </row>
    <row r="305" spans="2:3" x14ac:dyDescent="0.25">
      <c r="B305" s="163">
        <f t="shared" si="4"/>
        <v>303</v>
      </c>
      <c r="C305" s="164" t="s">
        <v>148</v>
      </c>
    </row>
    <row r="306" spans="2:3" x14ac:dyDescent="0.25">
      <c r="B306" s="163">
        <f t="shared" si="4"/>
        <v>304</v>
      </c>
    </row>
    <row r="307" spans="2:3" x14ac:dyDescent="0.25">
      <c r="B307" s="163">
        <f t="shared" si="4"/>
        <v>305</v>
      </c>
    </row>
    <row r="308" spans="2:3" x14ac:dyDescent="0.25">
      <c r="B308" s="163">
        <f t="shared" si="4"/>
        <v>306</v>
      </c>
    </row>
    <row r="309" spans="2:3" x14ac:dyDescent="0.25">
      <c r="B309" s="163">
        <f t="shared" si="4"/>
        <v>307</v>
      </c>
    </row>
    <row r="310" spans="2:3" x14ac:dyDescent="0.25">
      <c r="B310" s="163">
        <f t="shared" si="4"/>
        <v>308</v>
      </c>
    </row>
    <row r="311" spans="2:3" x14ac:dyDescent="0.25">
      <c r="B311" s="163">
        <f t="shared" si="4"/>
        <v>309</v>
      </c>
    </row>
    <row r="312" spans="2:3" x14ac:dyDescent="0.25">
      <c r="B312" s="163">
        <f t="shared" si="4"/>
        <v>310</v>
      </c>
    </row>
    <row r="313" spans="2:3" x14ac:dyDescent="0.25">
      <c r="B313" s="163">
        <f t="shared" si="4"/>
        <v>311</v>
      </c>
    </row>
    <row r="314" spans="2:3" x14ac:dyDescent="0.25">
      <c r="B314" s="163">
        <f t="shared" si="4"/>
        <v>312</v>
      </c>
    </row>
    <row r="315" spans="2:3" x14ac:dyDescent="0.25">
      <c r="B315" s="163">
        <f t="shared" si="4"/>
        <v>313</v>
      </c>
    </row>
    <row r="316" spans="2:3" x14ac:dyDescent="0.25">
      <c r="B316" s="163">
        <f t="shared" ref="B316" si="5">B315+1</f>
        <v>314</v>
      </c>
    </row>
    <row r="317" spans="2:3" x14ac:dyDescent="0.25">
      <c r="B317" s="163">
        <f t="shared" si="1"/>
        <v>315</v>
      </c>
      <c r="C317" s="166" t="s">
        <v>202</v>
      </c>
    </row>
    <row r="318" spans="2:3" x14ac:dyDescent="0.25">
      <c r="B318" s="163">
        <f t="shared" si="1"/>
        <v>316</v>
      </c>
    </row>
    <row r="319" spans="2:3" x14ac:dyDescent="0.25">
      <c r="B319" s="163">
        <f t="shared" si="1"/>
        <v>317</v>
      </c>
      <c r="C319" s="164" t="s">
        <v>203</v>
      </c>
    </row>
    <row r="320" spans="2:3" x14ac:dyDescent="0.25">
      <c r="B320" s="163">
        <f t="shared" si="1"/>
        <v>318</v>
      </c>
      <c r="C320" s="161" t="s">
        <v>1715</v>
      </c>
    </row>
    <row r="321" spans="2:3" x14ac:dyDescent="0.25">
      <c r="B321" s="163">
        <f t="shared" si="1"/>
        <v>319</v>
      </c>
      <c r="C321" s="165" t="s">
        <v>204</v>
      </c>
    </row>
    <row r="322" spans="2:3" x14ac:dyDescent="0.25">
      <c r="B322" s="163">
        <f t="shared" si="1"/>
        <v>320</v>
      </c>
      <c r="C322" s="165" t="s">
        <v>1612</v>
      </c>
    </row>
    <row r="323" spans="2:3" x14ac:dyDescent="0.25">
      <c r="B323" s="163">
        <f t="shared" si="1"/>
        <v>321</v>
      </c>
      <c r="C323" s="165" t="s">
        <v>1426</v>
      </c>
    </row>
    <row r="324" spans="2:3" x14ac:dyDescent="0.25">
      <c r="B324" s="163">
        <f t="shared" si="1"/>
        <v>322</v>
      </c>
      <c r="C324" s="165" t="s">
        <v>1422</v>
      </c>
    </row>
    <row r="325" spans="2:3" x14ac:dyDescent="0.25">
      <c r="B325" s="163">
        <f t="shared" si="1"/>
        <v>323</v>
      </c>
      <c r="C325" s="196" t="s">
        <v>1613</v>
      </c>
    </row>
    <row r="326" spans="2:3" x14ac:dyDescent="0.25">
      <c r="B326" s="163">
        <f t="shared" si="1"/>
        <v>324</v>
      </c>
      <c r="C326" s="161" t="s">
        <v>1614</v>
      </c>
    </row>
    <row r="327" spans="2:3" x14ac:dyDescent="0.25">
      <c r="B327" s="163">
        <f t="shared" si="1"/>
        <v>325</v>
      </c>
      <c r="C327" s="161" t="s">
        <v>1360</v>
      </c>
    </row>
    <row r="328" spans="2:3" x14ac:dyDescent="0.25">
      <c r="B328" s="163">
        <f t="shared" si="1"/>
        <v>326</v>
      </c>
      <c r="C328" s="161" t="s">
        <v>1396</v>
      </c>
    </row>
    <row r="329" spans="2:3" x14ac:dyDescent="0.25">
      <c r="B329" s="163">
        <f t="shared" si="1"/>
        <v>327</v>
      </c>
      <c r="C329" s="161" t="s">
        <v>205</v>
      </c>
    </row>
    <row r="330" spans="2:3" x14ac:dyDescent="0.25">
      <c r="B330" s="163">
        <f t="shared" si="1"/>
        <v>328</v>
      </c>
      <c r="C330" s="161" t="s">
        <v>1423</v>
      </c>
    </row>
    <row r="331" spans="2:3" x14ac:dyDescent="0.25">
      <c r="B331" s="163">
        <f t="shared" si="1"/>
        <v>329</v>
      </c>
      <c r="C331" s="161" t="s">
        <v>1757</v>
      </c>
    </row>
    <row r="332" spans="2:3" x14ac:dyDescent="0.25">
      <c r="B332" s="163">
        <f t="shared" si="1"/>
        <v>330</v>
      </c>
      <c r="C332" s="164" t="s">
        <v>1424</v>
      </c>
    </row>
    <row r="333" spans="2:3" x14ac:dyDescent="0.25">
      <c r="B333" s="163">
        <f t="shared" si="1"/>
        <v>331</v>
      </c>
      <c r="C333" s="165" t="s">
        <v>1615</v>
      </c>
    </row>
    <row r="334" spans="2:3" x14ac:dyDescent="0.25">
      <c r="B334" s="163">
        <f t="shared" si="1"/>
        <v>332</v>
      </c>
      <c r="C334" s="165" t="s">
        <v>1612</v>
      </c>
    </row>
    <row r="335" spans="2:3" x14ac:dyDescent="0.25">
      <c r="B335" s="163">
        <f t="shared" si="1"/>
        <v>333</v>
      </c>
      <c r="C335" s="165" t="s">
        <v>1616</v>
      </c>
    </row>
    <row r="336" spans="2:3" x14ac:dyDescent="0.25">
      <c r="B336" s="163">
        <f t="shared" si="1"/>
        <v>334</v>
      </c>
      <c r="C336" s="165" t="s">
        <v>1617</v>
      </c>
    </row>
    <row r="337" spans="2:3" x14ac:dyDescent="0.25">
      <c r="B337" s="163">
        <f t="shared" si="1"/>
        <v>335</v>
      </c>
      <c r="C337" s="165" t="s">
        <v>198</v>
      </c>
    </row>
    <row r="338" spans="2:3" x14ac:dyDescent="0.25">
      <c r="B338" s="163">
        <f t="shared" si="1"/>
        <v>336</v>
      </c>
      <c r="C338" s="196" t="s">
        <v>206</v>
      </c>
    </row>
    <row r="339" spans="2:3" x14ac:dyDescent="0.25">
      <c r="B339" s="163">
        <f t="shared" si="1"/>
        <v>337</v>
      </c>
      <c r="C339" s="165" t="s">
        <v>1568</v>
      </c>
    </row>
    <row r="340" spans="2:3" x14ac:dyDescent="0.25">
      <c r="B340" s="163">
        <f t="shared" si="1"/>
        <v>338</v>
      </c>
      <c r="C340" s="164" t="s">
        <v>148</v>
      </c>
    </row>
    <row r="341" spans="2:3" x14ac:dyDescent="0.25">
      <c r="B341" s="163">
        <f t="shared" si="1"/>
        <v>339</v>
      </c>
      <c r="C341" s="165" t="s">
        <v>1569</v>
      </c>
    </row>
    <row r="342" spans="2:3" x14ac:dyDescent="0.25">
      <c r="B342" s="163">
        <f t="shared" si="1"/>
        <v>340</v>
      </c>
      <c r="C342" s="164" t="s">
        <v>148</v>
      </c>
    </row>
    <row r="343" spans="2:3" x14ac:dyDescent="0.25">
      <c r="B343" s="163">
        <f t="shared" si="1"/>
        <v>341</v>
      </c>
    </row>
    <row r="344" spans="2:3" x14ac:dyDescent="0.25">
      <c r="B344" s="163">
        <f t="shared" si="1"/>
        <v>342</v>
      </c>
    </row>
    <row r="345" spans="2:3" x14ac:dyDescent="0.25">
      <c r="B345" s="163">
        <f t="shared" si="1"/>
        <v>343</v>
      </c>
    </row>
    <row r="346" spans="2:3" x14ac:dyDescent="0.25">
      <c r="B346" s="163">
        <f t="shared" si="1"/>
        <v>344</v>
      </c>
      <c r="C346" s="164" t="s">
        <v>1425</v>
      </c>
    </row>
    <row r="347" spans="2:3" x14ac:dyDescent="0.25">
      <c r="B347" s="163">
        <f t="shared" si="1"/>
        <v>345</v>
      </c>
      <c r="C347" s="165" t="s">
        <v>1426</v>
      </c>
    </row>
    <row r="348" spans="2:3" x14ac:dyDescent="0.25">
      <c r="B348" s="163">
        <f t="shared" si="1"/>
        <v>346</v>
      </c>
      <c r="C348" s="164" t="s">
        <v>1427</v>
      </c>
    </row>
    <row r="349" spans="2:3" x14ac:dyDescent="0.25">
      <c r="B349" s="163">
        <f t="shared" si="1"/>
        <v>347</v>
      </c>
    </row>
    <row r="350" spans="2:3" x14ac:dyDescent="0.25">
      <c r="B350" s="163">
        <f t="shared" si="1"/>
        <v>348</v>
      </c>
    </row>
    <row r="351" spans="2:3" x14ac:dyDescent="0.25">
      <c r="B351" s="163">
        <f t="shared" si="1"/>
        <v>349</v>
      </c>
    </row>
    <row r="352" spans="2:3" x14ac:dyDescent="0.25">
      <c r="B352" s="163">
        <f t="shared" si="1"/>
        <v>350</v>
      </c>
      <c r="C352" s="164" t="s">
        <v>1428</v>
      </c>
    </row>
    <row r="353" spans="2:3" x14ac:dyDescent="0.25">
      <c r="B353" s="163">
        <f t="shared" si="1"/>
        <v>351</v>
      </c>
      <c r="C353" s="165" t="s">
        <v>1582</v>
      </c>
    </row>
    <row r="354" spans="2:3" x14ac:dyDescent="0.25">
      <c r="B354" s="163">
        <f t="shared" si="1"/>
        <v>352</v>
      </c>
      <c r="C354" s="165" t="s">
        <v>1429</v>
      </c>
    </row>
    <row r="355" spans="2:3" x14ac:dyDescent="0.25">
      <c r="B355" s="163">
        <f t="shared" si="1"/>
        <v>353</v>
      </c>
      <c r="C355" s="165" t="s">
        <v>1618</v>
      </c>
    </row>
    <row r="356" spans="2:3" x14ac:dyDescent="0.25">
      <c r="B356" s="163">
        <f t="shared" si="1"/>
        <v>354</v>
      </c>
      <c r="C356" s="165" t="s">
        <v>1582</v>
      </c>
    </row>
    <row r="357" spans="2:3" x14ac:dyDescent="0.25">
      <c r="B357" s="163">
        <f t="shared" si="1"/>
        <v>355</v>
      </c>
      <c r="C357" s="165" t="s">
        <v>1430</v>
      </c>
    </row>
    <row r="358" spans="2:3" x14ac:dyDescent="0.25">
      <c r="B358" s="163">
        <f t="shared" si="1"/>
        <v>356</v>
      </c>
      <c r="C358" s="165" t="s">
        <v>1619</v>
      </c>
    </row>
    <row r="359" spans="2:3" x14ac:dyDescent="0.25">
      <c r="B359" s="163">
        <f t="shared" si="1"/>
        <v>357</v>
      </c>
      <c r="C359" s="165" t="s">
        <v>204</v>
      </c>
    </row>
    <row r="360" spans="2:3" x14ac:dyDescent="0.25">
      <c r="B360" s="163">
        <f t="shared" si="1"/>
        <v>358</v>
      </c>
      <c r="C360" s="165" t="s">
        <v>1620</v>
      </c>
    </row>
    <row r="361" spans="2:3" x14ac:dyDescent="0.25">
      <c r="B361" s="163">
        <f t="shared" si="1"/>
        <v>359</v>
      </c>
      <c r="C361" s="164" t="s">
        <v>148</v>
      </c>
    </row>
    <row r="362" spans="2:3" x14ac:dyDescent="0.25">
      <c r="B362" s="163">
        <f t="shared" si="1"/>
        <v>360</v>
      </c>
    </row>
    <row r="363" spans="2:3" x14ac:dyDescent="0.25">
      <c r="B363" s="163">
        <f t="shared" si="1"/>
        <v>361</v>
      </c>
    </row>
    <row r="364" spans="2:3" x14ac:dyDescent="0.25">
      <c r="B364" s="163">
        <f t="shared" si="1"/>
        <v>362</v>
      </c>
    </row>
    <row r="365" spans="2:3" x14ac:dyDescent="0.25">
      <c r="B365" s="163">
        <f t="shared" si="1"/>
        <v>363</v>
      </c>
      <c r="C365" s="166" t="s">
        <v>1431</v>
      </c>
    </row>
    <row r="366" spans="2:3" x14ac:dyDescent="0.25">
      <c r="B366" s="163">
        <f t="shared" si="1"/>
        <v>364</v>
      </c>
    </row>
    <row r="367" spans="2:3" x14ac:dyDescent="0.25">
      <c r="B367" s="163">
        <f t="shared" ref="B367:B368" si="6">B366+1</f>
        <v>365</v>
      </c>
    </row>
    <row r="368" spans="2:3" x14ac:dyDescent="0.25">
      <c r="B368" s="163">
        <f t="shared" si="6"/>
        <v>366</v>
      </c>
    </row>
    <row r="369" spans="2:3" x14ac:dyDescent="0.25">
      <c r="B369" s="163">
        <f t="shared" si="1"/>
        <v>367</v>
      </c>
    </row>
    <row r="370" spans="2:3" x14ac:dyDescent="0.25">
      <c r="B370" s="163">
        <f t="shared" si="1"/>
        <v>368</v>
      </c>
      <c r="C370" s="164" t="s">
        <v>1621</v>
      </c>
    </row>
    <row r="371" spans="2:3" x14ac:dyDescent="0.25">
      <c r="B371" s="163">
        <f t="shared" si="1"/>
        <v>369</v>
      </c>
      <c r="C371" s="165" t="s">
        <v>158</v>
      </c>
    </row>
    <row r="372" spans="2:3" x14ac:dyDescent="0.25">
      <c r="B372" s="163">
        <f t="shared" si="1"/>
        <v>370</v>
      </c>
      <c r="C372" s="196" t="s">
        <v>1622</v>
      </c>
    </row>
    <row r="373" spans="2:3" x14ac:dyDescent="0.25">
      <c r="B373" s="163">
        <f t="shared" si="1"/>
        <v>371</v>
      </c>
      <c r="C373" s="165" t="s">
        <v>1716</v>
      </c>
    </row>
    <row r="374" spans="2:3" x14ac:dyDescent="0.25">
      <c r="B374" s="163">
        <f t="shared" si="1"/>
        <v>372</v>
      </c>
      <c r="C374" s="165" t="s">
        <v>1717</v>
      </c>
    </row>
    <row r="375" spans="2:3" x14ac:dyDescent="0.25">
      <c r="B375" s="163">
        <f t="shared" si="1"/>
        <v>373</v>
      </c>
      <c r="C375" s="165" t="s">
        <v>1718</v>
      </c>
    </row>
    <row r="376" spans="2:3" x14ac:dyDescent="0.25">
      <c r="B376" s="163">
        <f t="shared" si="1"/>
        <v>374</v>
      </c>
      <c r="C376" s="165" t="s">
        <v>1719</v>
      </c>
    </row>
    <row r="377" spans="2:3" x14ac:dyDescent="0.25">
      <c r="B377" s="163">
        <f t="shared" si="1"/>
        <v>375</v>
      </c>
      <c r="C377" s="165" t="s">
        <v>1635</v>
      </c>
    </row>
    <row r="378" spans="2:3" x14ac:dyDescent="0.25">
      <c r="B378" s="163">
        <f t="shared" si="1"/>
        <v>376</v>
      </c>
      <c r="C378" s="165" t="s">
        <v>1720</v>
      </c>
    </row>
    <row r="379" spans="2:3" x14ac:dyDescent="0.25">
      <c r="B379" s="163">
        <f t="shared" si="1"/>
        <v>377</v>
      </c>
      <c r="C379" s="165" t="s">
        <v>1635</v>
      </c>
    </row>
    <row r="380" spans="2:3" x14ac:dyDescent="0.25">
      <c r="B380" s="163">
        <f t="shared" si="1"/>
        <v>378</v>
      </c>
      <c r="C380" s="165" t="s">
        <v>1721</v>
      </c>
    </row>
    <row r="381" spans="2:3" x14ac:dyDescent="0.25">
      <c r="B381" s="163">
        <f t="shared" si="1"/>
        <v>379</v>
      </c>
      <c r="C381" s="165" t="s">
        <v>1635</v>
      </c>
    </row>
    <row r="382" spans="2:3" x14ac:dyDescent="0.25">
      <c r="B382" s="163">
        <f t="shared" si="1"/>
        <v>380</v>
      </c>
      <c r="C382" s="165" t="s">
        <v>1426</v>
      </c>
    </row>
    <row r="383" spans="2:3" x14ac:dyDescent="0.25">
      <c r="B383" s="163">
        <f t="shared" si="1"/>
        <v>381</v>
      </c>
      <c r="C383" s="165" t="s">
        <v>1635</v>
      </c>
    </row>
    <row r="384" spans="2:3" x14ac:dyDescent="0.25">
      <c r="B384" s="163">
        <f t="shared" si="1"/>
        <v>382</v>
      </c>
      <c r="C384" s="165" t="s">
        <v>1722</v>
      </c>
    </row>
    <row r="385" spans="2:3" x14ac:dyDescent="0.25">
      <c r="B385" s="163">
        <f t="shared" si="1"/>
        <v>383</v>
      </c>
      <c r="C385" s="165" t="s">
        <v>1723</v>
      </c>
    </row>
    <row r="386" spans="2:3" x14ac:dyDescent="0.25">
      <c r="B386" s="163">
        <f t="shared" si="1"/>
        <v>384</v>
      </c>
      <c r="C386" s="164" t="s">
        <v>148</v>
      </c>
    </row>
    <row r="387" spans="2:3" x14ac:dyDescent="0.25">
      <c r="B387" s="163">
        <f t="shared" si="1"/>
        <v>385</v>
      </c>
    </row>
    <row r="388" spans="2:3" x14ac:dyDescent="0.25">
      <c r="B388" s="163">
        <f t="shared" si="1"/>
        <v>386</v>
      </c>
    </row>
    <row r="389" spans="2:3" x14ac:dyDescent="0.25">
      <c r="B389" s="163">
        <f t="shared" ref="B389:B392" si="7">B388+1</f>
        <v>387</v>
      </c>
    </row>
    <row r="390" spans="2:3" x14ac:dyDescent="0.25">
      <c r="B390" s="163">
        <f t="shared" si="7"/>
        <v>388</v>
      </c>
      <c r="C390" s="164" t="s">
        <v>1724</v>
      </c>
    </row>
    <row r="391" spans="2:3" x14ac:dyDescent="0.25">
      <c r="B391" s="163">
        <f t="shared" si="7"/>
        <v>389</v>
      </c>
      <c r="C391" s="165" t="s">
        <v>1725</v>
      </c>
    </row>
    <row r="392" spans="2:3" x14ac:dyDescent="0.25">
      <c r="B392" s="163">
        <f t="shared" si="7"/>
        <v>390</v>
      </c>
      <c r="C392" s="165" t="s">
        <v>1726</v>
      </c>
    </row>
    <row r="393" spans="2:3" x14ac:dyDescent="0.25">
      <c r="B393" s="163">
        <f t="shared" si="1"/>
        <v>391</v>
      </c>
      <c r="C393" s="164" t="s">
        <v>148</v>
      </c>
    </row>
    <row r="394" spans="2:3" x14ac:dyDescent="0.25">
      <c r="B394" s="163">
        <f t="shared" si="1"/>
        <v>392</v>
      </c>
    </row>
    <row r="395" spans="2:3" x14ac:dyDescent="0.25">
      <c r="B395" s="163">
        <f t="shared" si="1"/>
        <v>393</v>
      </c>
    </row>
    <row r="396" spans="2:3" x14ac:dyDescent="0.25">
      <c r="B396" s="163">
        <f t="shared" si="1"/>
        <v>394</v>
      </c>
      <c r="C396" s="164" t="s">
        <v>1727</v>
      </c>
    </row>
    <row r="397" spans="2:3" x14ac:dyDescent="0.25">
      <c r="B397" s="163">
        <f t="shared" si="1"/>
        <v>395</v>
      </c>
      <c r="C397" s="165" t="s">
        <v>245</v>
      </c>
    </row>
    <row r="398" spans="2:3" x14ac:dyDescent="0.25">
      <c r="B398" s="163">
        <f t="shared" si="1"/>
        <v>396</v>
      </c>
      <c r="C398" s="165" t="s">
        <v>246</v>
      </c>
    </row>
    <row r="399" spans="2:3" x14ac:dyDescent="0.25">
      <c r="B399" s="163">
        <f t="shared" si="1"/>
        <v>397</v>
      </c>
      <c r="C399" s="196" t="s">
        <v>247</v>
      </c>
    </row>
    <row r="400" spans="2:3" x14ac:dyDescent="0.25">
      <c r="B400" s="163">
        <f t="shared" si="1"/>
        <v>398</v>
      </c>
      <c r="C400" s="165" t="s">
        <v>1728</v>
      </c>
    </row>
    <row r="401" spans="2:3" x14ac:dyDescent="0.25">
      <c r="B401" s="163">
        <f t="shared" si="1"/>
        <v>399</v>
      </c>
      <c r="C401" s="165" t="s">
        <v>221</v>
      </c>
    </row>
    <row r="402" spans="2:3" x14ac:dyDescent="0.25">
      <c r="B402" s="163">
        <f t="shared" ref="B402:B428" si="8">B401+1</f>
        <v>400</v>
      </c>
      <c r="C402" s="164" t="s">
        <v>148</v>
      </c>
    </row>
    <row r="403" spans="2:3" x14ac:dyDescent="0.25">
      <c r="B403" s="163">
        <f t="shared" si="8"/>
        <v>401</v>
      </c>
    </row>
    <row r="404" spans="2:3" x14ac:dyDescent="0.25">
      <c r="B404" s="163">
        <f t="shared" si="8"/>
        <v>402</v>
      </c>
    </row>
    <row r="405" spans="2:3" x14ac:dyDescent="0.25">
      <c r="B405" s="163">
        <f t="shared" si="8"/>
        <v>403</v>
      </c>
      <c r="C405" s="164" t="s">
        <v>1729</v>
      </c>
    </row>
    <row r="406" spans="2:3" x14ac:dyDescent="0.25">
      <c r="B406" s="163">
        <f t="shared" si="8"/>
        <v>404</v>
      </c>
      <c r="C406" s="165" t="s">
        <v>1730</v>
      </c>
    </row>
    <row r="407" spans="2:3" x14ac:dyDescent="0.25">
      <c r="B407" s="163">
        <f t="shared" si="8"/>
        <v>405</v>
      </c>
      <c r="C407" s="165" t="s">
        <v>1731</v>
      </c>
    </row>
    <row r="408" spans="2:3" x14ac:dyDescent="0.25">
      <c r="B408" s="163">
        <f t="shared" si="8"/>
        <v>406</v>
      </c>
      <c r="C408" s="164" t="s">
        <v>148</v>
      </c>
    </row>
    <row r="409" spans="2:3" x14ac:dyDescent="0.25">
      <c r="B409" s="163">
        <f t="shared" si="8"/>
        <v>407</v>
      </c>
    </row>
    <row r="410" spans="2:3" x14ac:dyDescent="0.25">
      <c r="B410" s="163">
        <f t="shared" si="8"/>
        <v>408</v>
      </c>
    </row>
    <row r="411" spans="2:3" x14ac:dyDescent="0.25">
      <c r="B411" s="163">
        <f t="shared" si="8"/>
        <v>409</v>
      </c>
      <c r="C411" s="164" t="s">
        <v>1732</v>
      </c>
    </row>
    <row r="412" spans="2:3" x14ac:dyDescent="0.25">
      <c r="B412" s="163">
        <f t="shared" si="8"/>
        <v>410</v>
      </c>
      <c r="C412" s="165" t="s">
        <v>245</v>
      </c>
    </row>
    <row r="413" spans="2:3" x14ac:dyDescent="0.25">
      <c r="B413" s="163">
        <f t="shared" si="8"/>
        <v>411</v>
      </c>
      <c r="C413" s="196" t="s">
        <v>247</v>
      </c>
    </row>
    <row r="414" spans="2:3" x14ac:dyDescent="0.25">
      <c r="B414" s="163">
        <f t="shared" si="8"/>
        <v>412</v>
      </c>
      <c r="C414" s="165" t="s">
        <v>221</v>
      </c>
    </row>
    <row r="415" spans="2:3" x14ac:dyDescent="0.25">
      <c r="B415" s="163">
        <f t="shared" si="8"/>
        <v>413</v>
      </c>
      <c r="C415" s="164" t="s">
        <v>148</v>
      </c>
    </row>
    <row r="416" spans="2:3" x14ac:dyDescent="0.25">
      <c r="B416" s="163">
        <f t="shared" si="8"/>
        <v>414</v>
      </c>
    </row>
    <row r="417" spans="2:3" x14ac:dyDescent="0.25">
      <c r="B417" s="163">
        <f t="shared" si="8"/>
        <v>415</v>
      </c>
    </row>
    <row r="418" spans="2:3" x14ac:dyDescent="0.25">
      <c r="B418" s="163">
        <f t="shared" si="8"/>
        <v>416</v>
      </c>
      <c r="C418" s="164" t="s">
        <v>207</v>
      </c>
    </row>
    <row r="419" spans="2:3" x14ac:dyDescent="0.25">
      <c r="B419" s="163">
        <f t="shared" si="8"/>
        <v>417</v>
      </c>
      <c r="C419" s="165" t="s">
        <v>198</v>
      </c>
    </row>
    <row r="420" spans="2:3" x14ac:dyDescent="0.25">
      <c r="B420" s="163">
        <f t="shared" si="8"/>
        <v>418</v>
      </c>
      <c r="C420" s="196" t="s">
        <v>1733</v>
      </c>
    </row>
    <row r="421" spans="2:3" x14ac:dyDescent="0.25">
      <c r="B421" s="163">
        <f t="shared" si="8"/>
        <v>419</v>
      </c>
      <c r="C421" s="165" t="s">
        <v>1677</v>
      </c>
    </row>
    <row r="422" spans="2:3" x14ac:dyDescent="0.25">
      <c r="B422" s="163">
        <f t="shared" si="8"/>
        <v>420</v>
      </c>
      <c r="C422" s="164" t="s">
        <v>159</v>
      </c>
    </row>
    <row r="423" spans="2:3" x14ac:dyDescent="0.25">
      <c r="B423" s="163">
        <f t="shared" si="8"/>
        <v>421</v>
      </c>
      <c r="C423" s="165" t="s">
        <v>1623</v>
      </c>
    </row>
    <row r="424" spans="2:3" x14ac:dyDescent="0.25">
      <c r="B424" s="163">
        <f t="shared" si="8"/>
        <v>422</v>
      </c>
      <c r="C424" s="196" t="s">
        <v>1734</v>
      </c>
    </row>
    <row r="425" spans="2:3" x14ac:dyDescent="0.25">
      <c r="B425" s="163">
        <f t="shared" si="8"/>
        <v>423</v>
      </c>
      <c r="C425" s="196" t="s">
        <v>1735</v>
      </c>
    </row>
    <row r="426" spans="2:3" x14ac:dyDescent="0.25">
      <c r="B426" s="163">
        <f t="shared" si="8"/>
        <v>424</v>
      </c>
      <c r="C426" s="196" t="s">
        <v>1736</v>
      </c>
    </row>
    <row r="427" spans="2:3" x14ac:dyDescent="0.25">
      <c r="B427" s="163">
        <f t="shared" si="8"/>
        <v>425</v>
      </c>
      <c r="C427" s="196" t="s">
        <v>1737</v>
      </c>
    </row>
    <row r="428" spans="2:3" x14ac:dyDescent="0.25">
      <c r="B428" s="163">
        <f t="shared" si="8"/>
        <v>426</v>
      </c>
      <c r="C428" s="165" t="s">
        <v>1434</v>
      </c>
    </row>
    <row r="429" spans="2:3" x14ac:dyDescent="0.25">
      <c r="B429" s="163">
        <f t="shared" si="1"/>
        <v>427</v>
      </c>
      <c r="C429" s="164" t="s">
        <v>1738</v>
      </c>
    </row>
    <row r="430" spans="2:3" x14ac:dyDescent="0.25">
      <c r="B430" s="163">
        <f t="shared" si="1"/>
        <v>428</v>
      </c>
      <c r="C430" s="165" t="s">
        <v>1433</v>
      </c>
    </row>
    <row r="431" spans="2:3" x14ac:dyDescent="0.25">
      <c r="B431" s="163">
        <f t="shared" si="1"/>
        <v>429</v>
      </c>
      <c r="C431" s="164" t="s">
        <v>1739</v>
      </c>
    </row>
    <row r="432" spans="2:3" x14ac:dyDescent="0.25">
      <c r="B432" s="163">
        <f t="shared" si="1"/>
        <v>430</v>
      </c>
      <c r="C432" s="165" t="s">
        <v>1432</v>
      </c>
    </row>
    <row r="433" spans="2:3" x14ac:dyDescent="0.25">
      <c r="B433" s="163">
        <f t="shared" si="1"/>
        <v>431</v>
      </c>
      <c r="C433" s="164" t="s">
        <v>223</v>
      </c>
    </row>
    <row r="434" spans="2:3" x14ac:dyDescent="0.25">
      <c r="B434" s="163">
        <f t="shared" si="1"/>
        <v>432</v>
      </c>
      <c r="C434" s="165" t="s">
        <v>1678</v>
      </c>
    </row>
    <row r="435" spans="2:3" x14ac:dyDescent="0.25">
      <c r="B435" s="163">
        <f t="shared" si="1"/>
        <v>433</v>
      </c>
      <c r="C435" s="164" t="s">
        <v>159</v>
      </c>
    </row>
    <row r="436" spans="2:3" x14ac:dyDescent="0.25">
      <c r="B436" s="163">
        <f t="shared" si="1"/>
        <v>434</v>
      </c>
      <c r="C436" s="165" t="s">
        <v>208</v>
      </c>
    </row>
    <row r="437" spans="2:3" x14ac:dyDescent="0.25">
      <c r="B437" s="163">
        <f t="shared" si="1"/>
        <v>435</v>
      </c>
      <c r="C437" s="165" t="s">
        <v>209</v>
      </c>
    </row>
    <row r="438" spans="2:3" x14ac:dyDescent="0.25">
      <c r="B438" s="163">
        <f t="shared" si="1"/>
        <v>436</v>
      </c>
      <c r="C438" s="165" t="s">
        <v>1435</v>
      </c>
    </row>
    <row r="439" spans="2:3" x14ac:dyDescent="0.25">
      <c r="B439" s="163">
        <f t="shared" si="1"/>
        <v>437</v>
      </c>
      <c r="C439" s="164" t="s">
        <v>148</v>
      </c>
    </row>
    <row r="440" spans="2:3" x14ac:dyDescent="0.25">
      <c r="B440" s="163">
        <f t="shared" si="1"/>
        <v>438</v>
      </c>
    </row>
    <row r="441" spans="2:3" x14ac:dyDescent="0.25">
      <c r="B441" s="163">
        <f t="shared" si="1"/>
        <v>439</v>
      </c>
    </row>
    <row r="442" spans="2:3" x14ac:dyDescent="0.25">
      <c r="B442" s="163">
        <f t="shared" si="1"/>
        <v>440</v>
      </c>
      <c r="C442" s="164" t="s">
        <v>1740</v>
      </c>
    </row>
    <row r="443" spans="2:3" x14ac:dyDescent="0.25">
      <c r="B443" s="163">
        <f t="shared" si="1"/>
        <v>441</v>
      </c>
      <c r="C443" s="165" t="s">
        <v>1741</v>
      </c>
    </row>
    <row r="444" spans="2:3" x14ac:dyDescent="0.25">
      <c r="B444" s="163">
        <f t="shared" si="1"/>
        <v>442</v>
      </c>
      <c r="C444" s="165" t="s">
        <v>1742</v>
      </c>
    </row>
    <row r="445" spans="2:3" x14ac:dyDescent="0.25">
      <c r="B445" s="163">
        <f t="shared" si="1"/>
        <v>443</v>
      </c>
      <c r="C445" s="164" t="s">
        <v>148</v>
      </c>
    </row>
    <row r="446" spans="2:3" x14ac:dyDescent="0.25">
      <c r="B446" s="163">
        <f t="shared" si="1"/>
        <v>444</v>
      </c>
    </row>
    <row r="447" spans="2:3" x14ac:dyDescent="0.25">
      <c r="B447" s="163">
        <f t="shared" si="1"/>
        <v>445</v>
      </c>
    </row>
    <row r="448" spans="2:3" x14ac:dyDescent="0.25">
      <c r="B448" s="163">
        <f t="shared" si="1"/>
        <v>446</v>
      </c>
      <c r="C448" s="164" t="s">
        <v>213</v>
      </c>
    </row>
    <row r="449" spans="2:3" x14ac:dyDescent="0.25">
      <c r="B449" s="163">
        <f t="shared" si="1"/>
        <v>447</v>
      </c>
      <c r="C449" s="165" t="s">
        <v>1677</v>
      </c>
    </row>
    <row r="450" spans="2:3" x14ac:dyDescent="0.25">
      <c r="B450" s="163">
        <f t="shared" si="1"/>
        <v>448</v>
      </c>
      <c r="C450" s="196" t="s">
        <v>1734</v>
      </c>
    </row>
    <row r="451" spans="2:3" x14ac:dyDescent="0.25">
      <c r="B451" s="163">
        <f t="shared" si="1"/>
        <v>449</v>
      </c>
      <c r="C451" s="196" t="s">
        <v>1735</v>
      </c>
    </row>
    <row r="452" spans="2:3" x14ac:dyDescent="0.25">
      <c r="B452" s="163">
        <f t="shared" si="1"/>
        <v>450</v>
      </c>
      <c r="C452" s="196" t="s">
        <v>1736</v>
      </c>
    </row>
    <row r="453" spans="2:3" x14ac:dyDescent="0.25">
      <c r="B453" s="163">
        <f t="shared" si="1"/>
        <v>451</v>
      </c>
      <c r="C453" s="196" t="s">
        <v>1737</v>
      </c>
    </row>
    <row r="454" spans="2:3" x14ac:dyDescent="0.25">
      <c r="B454" s="163">
        <f t="shared" si="1"/>
        <v>452</v>
      </c>
      <c r="C454" s="165" t="s">
        <v>1679</v>
      </c>
    </row>
    <row r="455" spans="2:3" x14ac:dyDescent="0.25">
      <c r="B455" s="163">
        <f t="shared" si="1"/>
        <v>453</v>
      </c>
      <c r="C455" s="164" t="s">
        <v>1738</v>
      </c>
    </row>
    <row r="456" spans="2:3" x14ac:dyDescent="0.25">
      <c r="B456" s="163">
        <f t="shared" si="1"/>
        <v>454</v>
      </c>
      <c r="C456" s="165" t="s">
        <v>1680</v>
      </c>
    </row>
    <row r="457" spans="2:3" x14ac:dyDescent="0.25">
      <c r="B457" s="163">
        <f t="shared" si="1"/>
        <v>455</v>
      </c>
      <c r="C457" s="164" t="s">
        <v>1739</v>
      </c>
    </row>
    <row r="458" spans="2:3" x14ac:dyDescent="0.25">
      <c r="B458" s="163">
        <f t="shared" si="1"/>
        <v>456</v>
      </c>
      <c r="C458" s="165" t="s">
        <v>1681</v>
      </c>
    </row>
    <row r="459" spans="2:3" x14ac:dyDescent="0.25">
      <c r="B459" s="163">
        <f t="shared" si="1"/>
        <v>457</v>
      </c>
      <c r="C459" s="164" t="s">
        <v>223</v>
      </c>
    </row>
    <row r="460" spans="2:3" x14ac:dyDescent="0.25">
      <c r="B460" s="163">
        <f t="shared" si="1"/>
        <v>458</v>
      </c>
      <c r="C460" s="165" t="s">
        <v>1682</v>
      </c>
    </row>
    <row r="461" spans="2:3" x14ac:dyDescent="0.25">
      <c r="B461" s="163">
        <f t="shared" si="1"/>
        <v>459</v>
      </c>
      <c r="C461" s="164" t="s">
        <v>159</v>
      </c>
    </row>
    <row r="462" spans="2:3" x14ac:dyDescent="0.25">
      <c r="B462" s="163">
        <f t="shared" si="1"/>
        <v>460</v>
      </c>
      <c r="C462" s="165" t="s">
        <v>1683</v>
      </c>
    </row>
    <row r="463" spans="2:3" x14ac:dyDescent="0.25">
      <c r="B463" s="163">
        <f t="shared" si="1"/>
        <v>461</v>
      </c>
      <c r="C463" s="165" t="s">
        <v>209</v>
      </c>
    </row>
    <row r="464" spans="2:3" x14ac:dyDescent="0.25">
      <c r="B464" s="163">
        <f t="shared" si="1"/>
        <v>462</v>
      </c>
      <c r="C464" s="165" t="s">
        <v>1743</v>
      </c>
    </row>
    <row r="465" spans="2:3" x14ac:dyDescent="0.25">
      <c r="B465" s="163">
        <f t="shared" si="1"/>
        <v>463</v>
      </c>
      <c r="C465" s="164" t="s">
        <v>148</v>
      </c>
    </row>
    <row r="466" spans="2:3" x14ac:dyDescent="0.25">
      <c r="B466" s="163">
        <f t="shared" si="1"/>
        <v>464</v>
      </c>
    </row>
    <row r="467" spans="2:3" x14ac:dyDescent="0.25">
      <c r="B467" s="163">
        <f t="shared" si="1"/>
        <v>465</v>
      </c>
    </row>
    <row r="468" spans="2:3" x14ac:dyDescent="0.25">
      <c r="B468" s="163">
        <f t="shared" si="1"/>
        <v>466</v>
      </c>
      <c r="C468" s="164" t="s">
        <v>1628</v>
      </c>
    </row>
    <row r="469" spans="2:3" x14ac:dyDescent="0.25">
      <c r="B469" s="163">
        <f t="shared" si="1"/>
        <v>467</v>
      </c>
      <c r="C469" s="161" t="s">
        <v>1614</v>
      </c>
    </row>
    <row r="470" spans="2:3" x14ac:dyDescent="0.25">
      <c r="B470" s="163">
        <f t="shared" si="1"/>
        <v>468</v>
      </c>
      <c r="C470" s="165" t="s">
        <v>1744</v>
      </c>
    </row>
    <row r="471" spans="2:3" x14ac:dyDescent="0.25">
      <c r="B471" s="163">
        <f t="shared" si="1"/>
        <v>469</v>
      </c>
      <c r="C471" s="165" t="s">
        <v>1681</v>
      </c>
    </row>
    <row r="472" spans="2:3" x14ac:dyDescent="0.25">
      <c r="B472" s="163">
        <f t="shared" si="1"/>
        <v>470</v>
      </c>
      <c r="C472" s="164" t="s">
        <v>210</v>
      </c>
    </row>
    <row r="473" spans="2:3" x14ac:dyDescent="0.25">
      <c r="B473" s="163">
        <f t="shared" si="1"/>
        <v>471</v>
      </c>
      <c r="C473" s="165" t="s">
        <v>209</v>
      </c>
    </row>
    <row r="474" spans="2:3" x14ac:dyDescent="0.25">
      <c r="B474" s="163">
        <f t="shared" si="1"/>
        <v>472</v>
      </c>
      <c r="C474" s="165" t="s">
        <v>1743</v>
      </c>
    </row>
    <row r="475" spans="2:3" x14ac:dyDescent="0.25">
      <c r="B475" s="163">
        <f t="shared" si="1"/>
        <v>473</v>
      </c>
      <c r="C475" s="164" t="s">
        <v>148</v>
      </c>
    </row>
    <row r="476" spans="2:3" x14ac:dyDescent="0.25">
      <c r="B476" s="163">
        <f t="shared" si="1"/>
        <v>474</v>
      </c>
    </row>
    <row r="477" spans="2:3" x14ac:dyDescent="0.25">
      <c r="B477" s="163">
        <f t="shared" si="1"/>
        <v>475</v>
      </c>
    </row>
    <row r="478" spans="2:3" x14ac:dyDescent="0.25">
      <c r="B478" s="163">
        <f t="shared" si="1"/>
        <v>476</v>
      </c>
      <c r="C478" s="164" t="s">
        <v>1629</v>
      </c>
    </row>
    <row r="479" spans="2:3" x14ac:dyDescent="0.25">
      <c r="B479" s="163">
        <f t="shared" si="1"/>
        <v>477</v>
      </c>
      <c r="C479" s="161" t="s">
        <v>1630</v>
      </c>
    </row>
    <row r="480" spans="2:3" x14ac:dyDescent="0.25">
      <c r="B480" s="163">
        <f t="shared" si="1"/>
        <v>478</v>
      </c>
      <c r="C480" s="165" t="s">
        <v>1745</v>
      </c>
    </row>
    <row r="481" spans="2:3" x14ac:dyDescent="0.25">
      <c r="B481" s="163">
        <f t="shared" si="1"/>
        <v>479</v>
      </c>
      <c r="C481" s="165" t="s">
        <v>1682</v>
      </c>
    </row>
    <row r="482" spans="2:3" x14ac:dyDescent="0.25">
      <c r="B482" s="163">
        <f t="shared" si="1"/>
        <v>480</v>
      </c>
      <c r="C482" s="164" t="s">
        <v>212</v>
      </c>
    </row>
    <row r="483" spans="2:3" x14ac:dyDescent="0.25">
      <c r="B483" s="163">
        <f t="shared" si="1"/>
        <v>481</v>
      </c>
    </row>
    <row r="484" spans="2:3" x14ac:dyDescent="0.25">
      <c r="B484" s="163">
        <f t="shared" si="1"/>
        <v>482</v>
      </c>
    </row>
    <row r="485" spans="2:3" x14ac:dyDescent="0.25">
      <c r="B485" s="163">
        <f t="shared" si="1"/>
        <v>483</v>
      </c>
      <c r="C485" s="164" t="s">
        <v>1631</v>
      </c>
    </row>
    <row r="486" spans="2:3" x14ac:dyDescent="0.25">
      <c r="B486" s="163">
        <f t="shared" si="1"/>
        <v>484</v>
      </c>
      <c r="C486" s="161" t="s">
        <v>1632</v>
      </c>
    </row>
    <row r="487" spans="2:3" x14ac:dyDescent="0.25">
      <c r="B487" s="163">
        <f t="shared" si="1"/>
        <v>485</v>
      </c>
      <c r="C487" s="165" t="s">
        <v>1746</v>
      </c>
    </row>
    <row r="488" spans="2:3" x14ac:dyDescent="0.25">
      <c r="B488" s="163">
        <f t="shared" si="1"/>
        <v>486</v>
      </c>
      <c r="C488" s="165" t="s">
        <v>1683</v>
      </c>
    </row>
    <row r="489" spans="2:3" x14ac:dyDescent="0.25">
      <c r="B489" s="163">
        <f t="shared" si="1"/>
        <v>487</v>
      </c>
      <c r="C489" s="164" t="s">
        <v>212</v>
      </c>
    </row>
    <row r="490" spans="2:3" x14ac:dyDescent="0.25">
      <c r="B490" s="163">
        <f t="shared" si="1"/>
        <v>488</v>
      </c>
    </row>
    <row r="491" spans="2:3" x14ac:dyDescent="0.25">
      <c r="B491" s="163">
        <f t="shared" si="1"/>
        <v>489</v>
      </c>
    </row>
    <row r="492" spans="2:3" x14ac:dyDescent="0.25">
      <c r="B492" s="163">
        <f t="shared" si="1"/>
        <v>490</v>
      </c>
      <c r="C492" s="164" t="s">
        <v>1624</v>
      </c>
    </row>
    <row r="493" spans="2:3" x14ac:dyDescent="0.25">
      <c r="B493" s="163">
        <f t="shared" si="1"/>
        <v>491</v>
      </c>
      <c r="C493" s="161" t="s">
        <v>1625</v>
      </c>
    </row>
    <row r="494" spans="2:3" x14ac:dyDescent="0.25">
      <c r="B494" s="163">
        <f t="shared" si="1"/>
        <v>492</v>
      </c>
      <c r="C494" s="165" t="s">
        <v>1747</v>
      </c>
    </row>
    <row r="495" spans="2:3" x14ac:dyDescent="0.25">
      <c r="B495" s="163">
        <f t="shared" si="1"/>
        <v>493</v>
      </c>
      <c r="C495" s="165" t="s">
        <v>1680</v>
      </c>
    </row>
    <row r="496" spans="2:3" x14ac:dyDescent="0.25">
      <c r="B496" s="163">
        <f t="shared" si="1"/>
        <v>494</v>
      </c>
      <c r="C496" s="164" t="s">
        <v>212</v>
      </c>
    </row>
    <row r="497" spans="2:3" x14ac:dyDescent="0.25">
      <c r="B497" s="163">
        <f t="shared" si="1"/>
        <v>495</v>
      </c>
    </row>
    <row r="498" spans="2:3" x14ac:dyDescent="0.25">
      <c r="B498" s="163">
        <f t="shared" si="1"/>
        <v>496</v>
      </c>
    </row>
    <row r="499" spans="2:3" x14ac:dyDescent="0.25">
      <c r="B499" s="163">
        <f t="shared" si="1"/>
        <v>497</v>
      </c>
      <c r="C499" s="164" t="s">
        <v>1626</v>
      </c>
    </row>
    <row r="500" spans="2:3" x14ac:dyDescent="0.25">
      <c r="B500" s="163">
        <f t="shared" si="1"/>
        <v>498</v>
      </c>
      <c r="C500" s="161" t="s">
        <v>1627</v>
      </c>
    </row>
    <row r="501" spans="2:3" x14ac:dyDescent="0.25">
      <c r="B501" s="163">
        <f t="shared" si="1"/>
        <v>499</v>
      </c>
      <c r="C501" s="165" t="s">
        <v>1748</v>
      </c>
    </row>
    <row r="502" spans="2:3" x14ac:dyDescent="0.25">
      <c r="B502" s="163">
        <f t="shared" si="1"/>
        <v>500</v>
      </c>
      <c r="C502" s="165" t="s">
        <v>1679</v>
      </c>
    </row>
    <row r="503" spans="2:3" x14ac:dyDescent="0.25">
      <c r="B503" s="163">
        <f t="shared" si="1"/>
        <v>501</v>
      </c>
      <c r="C503" s="164" t="s">
        <v>212</v>
      </c>
    </row>
    <row r="504" spans="2:3" x14ac:dyDescent="0.25">
      <c r="B504" s="163">
        <f t="shared" si="1"/>
        <v>502</v>
      </c>
    </row>
    <row r="505" spans="2:3" x14ac:dyDescent="0.25">
      <c r="B505" s="163">
        <f t="shared" si="1"/>
        <v>503</v>
      </c>
    </row>
    <row r="506" spans="2:3" x14ac:dyDescent="0.25">
      <c r="B506" s="163">
        <f t="shared" si="1"/>
        <v>504</v>
      </c>
      <c r="C506" s="164" t="s">
        <v>214</v>
      </c>
    </row>
    <row r="507" spans="2:3" x14ac:dyDescent="0.25">
      <c r="B507" s="163">
        <f t="shared" si="1"/>
        <v>505</v>
      </c>
      <c r="C507" s="165" t="s">
        <v>215</v>
      </c>
    </row>
    <row r="508" spans="2:3" x14ac:dyDescent="0.25">
      <c r="B508" s="163">
        <f t="shared" si="1"/>
        <v>506</v>
      </c>
      <c r="C508" s="165" t="s">
        <v>1435</v>
      </c>
    </row>
    <row r="509" spans="2:3" x14ac:dyDescent="0.25">
      <c r="B509" s="163">
        <f t="shared" si="1"/>
        <v>507</v>
      </c>
      <c r="C509" s="165" t="s">
        <v>216</v>
      </c>
    </row>
    <row r="510" spans="2:3" x14ac:dyDescent="0.25">
      <c r="B510" s="163">
        <f t="shared" si="1"/>
        <v>508</v>
      </c>
      <c r="C510" s="165" t="s">
        <v>1633</v>
      </c>
    </row>
    <row r="511" spans="2:3" x14ac:dyDescent="0.25">
      <c r="B511" s="163">
        <f t="shared" si="1"/>
        <v>509</v>
      </c>
      <c r="C511" s="165" t="s">
        <v>217</v>
      </c>
    </row>
    <row r="512" spans="2:3" x14ac:dyDescent="0.25">
      <c r="B512" s="163">
        <f t="shared" si="1"/>
        <v>510</v>
      </c>
      <c r="C512" s="165" t="s">
        <v>218</v>
      </c>
    </row>
    <row r="513" spans="2:3" x14ac:dyDescent="0.25">
      <c r="B513" s="163">
        <f t="shared" si="1"/>
        <v>511</v>
      </c>
      <c r="C513" s="165" t="s">
        <v>219</v>
      </c>
    </row>
    <row r="514" spans="2:3" x14ac:dyDescent="0.25">
      <c r="B514" s="163">
        <f t="shared" si="1"/>
        <v>512</v>
      </c>
      <c r="C514" s="164" t="s">
        <v>148</v>
      </c>
    </row>
    <row r="515" spans="2:3" x14ac:dyDescent="0.25">
      <c r="B515" s="163">
        <f t="shared" si="1"/>
        <v>513</v>
      </c>
    </row>
    <row r="516" spans="2:3" x14ac:dyDescent="0.25">
      <c r="B516" s="163">
        <f t="shared" si="1"/>
        <v>514</v>
      </c>
    </row>
    <row r="517" spans="2:3" x14ac:dyDescent="0.25">
      <c r="B517" s="163">
        <f t="shared" si="1"/>
        <v>515</v>
      </c>
      <c r="C517" s="164" t="s">
        <v>220</v>
      </c>
    </row>
    <row r="518" spans="2:3" x14ac:dyDescent="0.25">
      <c r="B518" s="163">
        <f t="shared" si="1"/>
        <v>516</v>
      </c>
      <c r="C518" s="165" t="s">
        <v>1634</v>
      </c>
    </row>
    <row r="519" spans="2:3" x14ac:dyDescent="0.25">
      <c r="B519" s="163">
        <f t="shared" si="1"/>
        <v>517</v>
      </c>
      <c r="C519" s="164" t="s">
        <v>148</v>
      </c>
    </row>
    <row r="520" spans="2:3" x14ac:dyDescent="0.25">
      <c r="B520" s="163">
        <f t="shared" si="1"/>
        <v>518</v>
      </c>
    </row>
    <row r="521" spans="2:3" x14ac:dyDescent="0.25">
      <c r="B521" s="163">
        <f t="shared" si="1"/>
        <v>519</v>
      </c>
    </row>
    <row r="522" spans="2:3" x14ac:dyDescent="0.25">
      <c r="B522" s="163">
        <f t="shared" si="1"/>
        <v>520</v>
      </c>
      <c r="C522" s="164" t="s">
        <v>1749</v>
      </c>
    </row>
    <row r="523" spans="2:3" x14ac:dyDescent="0.25">
      <c r="B523" s="163">
        <f t="shared" si="1"/>
        <v>521</v>
      </c>
      <c r="C523" s="165" t="s">
        <v>215</v>
      </c>
    </row>
    <row r="524" spans="2:3" x14ac:dyDescent="0.25">
      <c r="B524" s="163">
        <f t="shared" si="1"/>
        <v>522</v>
      </c>
      <c r="C524" s="165" t="s">
        <v>1435</v>
      </c>
    </row>
    <row r="525" spans="2:3" x14ac:dyDescent="0.25">
      <c r="B525" s="163">
        <f t="shared" si="1"/>
        <v>523</v>
      </c>
      <c r="C525" s="161" t="s">
        <v>1684</v>
      </c>
    </row>
    <row r="526" spans="2:3" x14ac:dyDescent="0.25">
      <c r="B526" s="163">
        <f t="shared" si="1"/>
        <v>524</v>
      </c>
      <c r="C526" s="196" t="s">
        <v>1750</v>
      </c>
    </row>
    <row r="527" spans="2:3" x14ac:dyDescent="0.25">
      <c r="B527" s="163">
        <f t="shared" si="1"/>
        <v>525</v>
      </c>
      <c r="C527" s="165" t="s">
        <v>1751</v>
      </c>
    </row>
    <row r="528" spans="2:3" x14ac:dyDescent="0.25">
      <c r="B528" s="163">
        <f t="shared" si="1"/>
        <v>526</v>
      </c>
      <c r="C528" s="164" t="s">
        <v>148</v>
      </c>
    </row>
    <row r="529" spans="2:3" x14ac:dyDescent="0.25">
      <c r="B529" s="163">
        <f t="shared" si="1"/>
        <v>527</v>
      </c>
      <c r="C529" s="165" t="s">
        <v>1752</v>
      </c>
    </row>
    <row r="530" spans="2:3" x14ac:dyDescent="0.25">
      <c r="B530" s="163">
        <f t="shared" si="1"/>
        <v>528</v>
      </c>
      <c r="C530" s="164" t="s">
        <v>148</v>
      </c>
    </row>
    <row r="531" spans="2:3" x14ac:dyDescent="0.25">
      <c r="B531" s="163">
        <f t="shared" si="1"/>
        <v>529</v>
      </c>
    </row>
    <row r="532" spans="2:3" x14ac:dyDescent="0.25">
      <c r="B532" s="163">
        <f t="shared" si="1"/>
        <v>530</v>
      </c>
    </row>
    <row r="533" spans="2:3" x14ac:dyDescent="0.25">
      <c r="B533" s="163">
        <f t="shared" si="1"/>
        <v>531</v>
      </c>
      <c r="C533" s="164" t="s">
        <v>1566</v>
      </c>
    </row>
    <row r="534" spans="2:3" x14ac:dyDescent="0.25">
      <c r="B534" s="163">
        <f t="shared" si="1"/>
        <v>532</v>
      </c>
      <c r="C534" s="165" t="s">
        <v>1685</v>
      </c>
    </row>
    <row r="535" spans="2:3" x14ac:dyDescent="0.25">
      <c r="B535" s="163">
        <f t="shared" si="1"/>
        <v>533</v>
      </c>
      <c r="C535" s="164" t="s">
        <v>235</v>
      </c>
    </row>
    <row r="536" spans="2:3" x14ac:dyDescent="0.25">
      <c r="B536" s="163">
        <f t="shared" si="1"/>
        <v>534</v>
      </c>
    </row>
    <row r="537" spans="2:3" x14ac:dyDescent="0.25">
      <c r="B537" s="163">
        <f t="shared" si="1"/>
        <v>535</v>
      </c>
    </row>
    <row r="538" spans="2:3" x14ac:dyDescent="0.25">
      <c r="B538" s="163">
        <f t="shared" si="1"/>
        <v>536</v>
      </c>
    </row>
    <row r="539" spans="2:3" x14ac:dyDescent="0.25">
      <c r="B539" s="163">
        <f t="shared" ref="B539:B977" si="9">B538+1</f>
        <v>537</v>
      </c>
    </row>
    <row r="540" spans="2:3" x14ac:dyDescent="0.25">
      <c r="B540" s="163">
        <f t="shared" si="9"/>
        <v>538</v>
      </c>
      <c r="C540" s="166" t="s">
        <v>222</v>
      </c>
    </row>
    <row r="541" spans="2:3" x14ac:dyDescent="0.25">
      <c r="B541" s="163">
        <f t="shared" si="9"/>
        <v>539</v>
      </c>
    </row>
    <row r="542" spans="2:3" ht="15.75" thickBot="1" x14ac:dyDescent="0.3">
      <c r="B542" s="163">
        <f t="shared" si="9"/>
        <v>540</v>
      </c>
    </row>
    <row r="543" spans="2:3" x14ac:dyDescent="0.25">
      <c r="B543" s="163">
        <f t="shared" si="9"/>
        <v>541</v>
      </c>
      <c r="C543" s="197" t="s">
        <v>1688</v>
      </c>
    </row>
    <row r="544" spans="2:3" x14ac:dyDescent="0.25">
      <c r="B544" s="163">
        <f t="shared" si="9"/>
        <v>542</v>
      </c>
      <c r="C544" s="213" t="s">
        <v>1758</v>
      </c>
    </row>
    <row r="545" spans="2:3" x14ac:dyDescent="0.25">
      <c r="B545" s="163">
        <f t="shared" si="9"/>
        <v>543</v>
      </c>
      <c r="C545" s="165" t="s">
        <v>201</v>
      </c>
    </row>
    <row r="546" spans="2:3" x14ac:dyDescent="0.25">
      <c r="B546" s="163">
        <f t="shared" si="9"/>
        <v>544</v>
      </c>
      <c r="C546" s="196" t="s">
        <v>1763</v>
      </c>
    </row>
    <row r="547" spans="2:3" x14ac:dyDescent="0.25">
      <c r="B547" s="163">
        <f t="shared" si="9"/>
        <v>545</v>
      </c>
      <c r="C547" s="162" t="s">
        <v>1765</v>
      </c>
    </row>
    <row r="548" spans="2:3" x14ac:dyDescent="0.25">
      <c r="B548" s="163">
        <f t="shared" si="9"/>
        <v>546</v>
      </c>
      <c r="C548" s="212" t="s">
        <v>1759</v>
      </c>
    </row>
    <row r="549" spans="2:3" x14ac:dyDescent="0.25">
      <c r="B549" s="163">
        <f t="shared" si="9"/>
        <v>547</v>
      </c>
      <c r="C549" s="165" t="s">
        <v>201</v>
      </c>
    </row>
    <row r="550" spans="2:3" x14ac:dyDescent="0.25">
      <c r="B550" s="163">
        <f t="shared" si="9"/>
        <v>548</v>
      </c>
      <c r="C550" s="196" t="s">
        <v>1764</v>
      </c>
    </row>
    <row r="551" spans="2:3" x14ac:dyDescent="0.25">
      <c r="B551" s="163">
        <f t="shared" si="9"/>
        <v>549</v>
      </c>
      <c r="C551" s="162" t="s">
        <v>1766</v>
      </c>
    </row>
    <row r="552" spans="2:3" x14ac:dyDescent="0.25">
      <c r="B552" s="163">
        <f t="shared" si="9"/>
        <v>550</v>
      </c>
      <c r="C552" s="212" t="s">
        <v>1760</v>
      </c>
    </row>
    <row r="553" spans="2:3" x14ac:dyDescent="0.25">
      <c r="B553" s="163">
        <f t="shared" si="9"/>
        <v>551</v>
      </c>
      <c r="C553" s="214" t="s">
        <v>1767</v>
      </c>
    </row>
    <row r="554" spans="2:3" x14ac:dyDescent="0.25">
      <c r="B554" s="163">
        <f t="shared" si="9"/>
        <v>552</v>
      </c>
      <c r="C554" s="215" t="s">
        <v>1768</v>
      </c>
    </row>
    <row r="555" spans="2:3" x14ac:dyDescent="0.25">
      <c r="B555" s="163">
        <f t="shared" si="9"/>
        <v>553</v>
      </c>
      <c r="C555" s="162" t="s">
        <v>2093</v>
      </c>
    </row>
    <row r="556" spans="2:3" x14ac:dyDescent="0.25">
      <c r="B556" s="163">
        <f t="shared" si="9"/>
        <v>554</v>
      </c>
      <c r="C556" s="164" t="s">
        <v>1769</v>
      </c>
    </row>
    <row r="557" spans="2:3" x14ac:dyDescent="0.25">
      <c r="B557" s="163">
        <f t="shared" si="9"/>
        <v>555</v>
      </c>
      <c r="C557" s="165" t="s">
        <v>1770</v>
      </c>
    </row>
    <row r="558" spans="2:3" x14ac:dyDescent="0.25">
      <c r="B558" s="163">
        <f t="shared" si="9"/>
        <v>556</v>
      </c>
      <c r="C558" s="215" t="s">
        <v>1771</v>
      </c>
    </row>
    <row r="559" spans="2:3" x14ac:dyDescent="0.25">
      <c r="B559" s="163">
        <f t="shared" si="9"/>
        <v>557</v>
      </c>
      <c r="C559" s="162" t="s">
        <v>1772</v>
      </c>
    </row>
    <row r="560" spans="2:3" x14ac:dyDescent="0.25">
      <c r="B560" s="163">
        <f t="shared" si="9"/>
        <v>558</v>
      </c>
      <c r="C560" s="212" t="s">
        <v>1773</v>
      </c>
    </row>
    <row r="561" spans="2:3" x14ac:dyDescent="0.25">
      <c r="B561" s="163">
        <f t="shared" si="9"/>
        <v>559</v>
      </c>
      <c r="C561" s="165" t="s">
        <v>1770</v>
      </c>
    </row>
    <row r="562" spans="2:3" x14ac:dyDescent="0.25">
      <c r="B562" s="163">
        <f t="shared" si="9"/>
        <v>560</v>
      </c>
      <c r="C562" s="215" t="s">
        <v>1776</v>
      </c>
    </row>
    <row r="563" spans="2:3" x14ac:dyDescent="0.25">
      <c r="B563" s="163">
        <f t="shared" si="9"/>
        <v>561</v>
      </c>
      <c r="C563" s="162" t="s">
        <v>1774</v>
      </c>
    </row>
    <row r="564" spans="2:3" x14ac:dyDescent="0.25">
      <c r="B564" s="163">
        <f t="shared" si="9"/>
        <v>562</v>
      </c>
      <c r="C564" s="212" t="s">
        <v>1779</v>
      </c>
    </row>
    <row r="565" spans="2:3" x14ac:dyDescent="0.25">
      <c r="B565" s="163">
        <f t="shared" si="9"/>
        <v>563</v>
      </c>
      <c r="C565" s="214" t="s">
        <v>1778</v>
      </c>
    </row>
    <row r="566" spans="2:3" x14ac:dyDescent="0.25">
      <c r="B566" s="163">
        <f t="shared" si="9"/>
        <v>564</v>
      </c>
      <c r="C566" s="215" t="s">
        <v>1780</v>
      </c>
    </row>
    <row r="567" spans="2:3" x14ac:dyDescent="0.25">
      <c r="B567" s="163">
        <f t="shared" si="9"/>
        <v>565</v>
      </c>
      <c r="C567" s="162" t="s">
        <v>1781</v>
      </c>
    </row>
    <row r="568" spans="2:3" x14ac:dyDescent="0.25">
      <c r="B568" s="163">
        <f t="shared" si="9"/>
        <v>566</v>
      </c>
      <c r="C568" s="212" t="s">
        <v>1787</v>
      </c>
    </row>
    <row r="569" spans="2:3" x14ac:dyDescent="0.25">
      <c r="B569" s="163">
        <f t="shared" si="9"/>
        <v>567</v>
      </c>
      <c r="C569" s="214" t="s">
        <v>228</v>
      </c>
    </row>
    <row r="570" spans="2:3" x14ac:dyDescent="0.25">
      <c r="B570" s="163">
        <f t="shared" si="9"/>
        <v>568</v>
      </c>
      <c r="C570" s="165" t="s">
        <v>1786</v>
      </c>
    </row>
    <row r="571" spans="2:3" x14ac:dyDescent="0.25">
      <c r="B571" s="163">
        <f t="shared" si="9"/>
        <v>569</v>
      </c>
      <c r="C571" s="212" t="s">
        <v>148</v>
      </c>
    </row>
    <row r="572" spans="2:3" x14ac:dyDescent="0.25">
      <c r="B572" s="163">
        <f t="shared" si="9"/>
        <v>570</v>
      </c>
      <c r="C572" s="213"/>
    </row>
    <row r="573" spans="2:3" x14ac:dyDescent="0.25">
      <c r="B573" s="163">
        <f t="shared" si="9"/>
        <v>571</v>
      </c>
      <c r="C573" s="213"/>
    </row>
    <row r="574" spans="2:3" ht="15.75" thickBot="1" x14ac:dyDescent="0.3">
      <c r="B574" s="163">
        <f t="shared" si="9"/>
        <v>572</v>
      </c>
      <c r="C574" s="164" t="s">
        <v>1689</v>
      </c>
    </row>
    <row r="575" spans="2:3" x14ac:dyDescent="0.25">
      <c r="B575" s="163">
        <f t="shared" si="9"/>
        <v>573</v>
      </c>
      <c r="C575" s="216" t="s">
        <v>198</v>
      </c>
    </row>
    <row r="576" spans="2:3" x14ac:dyDescent="0.25">
      <c r="B576" s="163">
        <f t="shared" si="9"/>
        <v>574</v>
      </c>
      <c r="C576" s="196" t="s">
        <v>1804</v>
      </c>
    </row>
    <row r="577" spans="2:3" x14ac:dyDescent="0.25">
      <c r="B577" s="163">
        <f t="shared" si="9"/>
        <v>575</v>
      </c>
      <c r="C577" s="196" t="s">
        <v>2099</v>
      </c>
    </row>
    <row r="578" spans="2:3" x14ac:dyDescent="0.25">
      <c r="B578" s="163">
        <f t="shared" si="9"/>
        <v>576</v>
      </c>
      <c r="C578" s="162" t="s">
        <v>1788</v>
      </c>
    </row>
    <row r="579" spans="2:3" x14ac:dyDescent="0.25">
      <c r="B579" s="163">
        <f t="shared" si="9"/>
        <v>577</v>
      </c>
      <c r="C579" s="162" t="s">
        <v>1789</v>
      </c>
    </row>
    <row r="580" spans="2:3" x14ac:dyDescent="0.25">
      <c r="B580" s="163">
        <f t="shared" si="9"/>
        <v>578</v>
      </c>
      <c r="C580" s="165" t="s">
        <v>1979</v>
      </c>
    </row>
    <row r="581" spans="2:3" x14ac:dyDescent="0.25">
      <c r="B581" s="163">
        <f t="shared" si="9"/>
        <v>579</v>
      </c>
      <c r="C581" s="164" t="s">
        <v>1790</v>
      </c>
    </row>
    <row r="582" spans="2:3" x14ac:dyDescent="0.25">
      <c r="B582" s="163">
        <f t="shared" si="9"/>
        <v>580</v>
      </c>
      <c r="C582" s="165" t="s">
        <v>201</v>
      </c>
    </row>
    <row r="583" spans="2:3" x14ac:dyDescent="0.25">
      <c r="B583" s="163">
        <f t="shared" si="9"/>
        <v>581</v>
      </c>
      <c r="C583" s="196" t="s">
        <v>1791</v>
      </c>
    </row>
    <row r="584" spans="2:3" x14ac:dyDescent="0.25">
      <c r="B584" s="163">
        <f t="shared" si="9"/>
        <v>582</v>
      </c>
      <c r="C584" s="161" t="s">
        <v>225</v>
      </c>
    </row>
    <row r="585" spans="2:3" x14ac:dyDescent="0.25">
      <c r="B585" s="163">
        <f t="shared" si="9"/>
        <v>583</v>
      </c>
      <c r="C585" s="164" t="s">
        <v>1792</v>
      </c>
    </row>
    <row r="586" spans="2:3" x14ac:dyDescent="0.25">
      <c r="B586" s="163">
        <f t="shared" si="9"/>
        <v>584</v>
      </c>
      <c r="C586" s="164" t="s">
        <v>1793</v>
      </c>
    </row>
    <row r="587" spans="2:3" x14ac:dyDescent="0.25">
      <c r="B587" s="163">
        <f t="shared" si="9"/>
        <v>585</v>
      </c>
      <c r="C587" s="161" t="s">
        <v>226</v>
      </c>
    </row>
    <row r="588" spans="2:3" ht="15.75" thickBot="1" x14ac:dyDescent="0.3">
      <c r="B588" s="163">
        <f t="shared" si="9"/>
        <v>586</v>
      </c>
      <c r="C588" s="198" t="s">
        <v>1794</v>
      </c>
    </row>
    <row r="589" spans="2:3" x14ac:dyDescent="0.25">
      <c r="B589" s="163">
        <f t="shared" si="9"/>
        <v>587</v>
      </c>
      <c r="C589" s="165" t="s">
        <v>2102</v>
      </c>
    </row>
    <row r="590" spans="2:3" x14ac:dyDescent="0.25">
      <c r="B590" s="163">
        <f t="shared" si="9"/>
        <v>588</v>
      </c>
      <c r="C590" s="165" t="s">
        <v>1796</v>
      </c>
    </row>
    <row r="591" spans="2:3" x14ac:dyDescent="0.25">
      <c r="B591" s="163">
        <f t="shared" si="9"/>
        <v>589</v>
      </c>
      <c r="C591" s="164" t="s">
        <v>148</v>
      </c>
    </row>
    <row r="592" spans="2:3" x14ac:dyDescent="0.25">
      <c r="B592" s="163">
        <f t="shared" si="9"/>
        <v>590</v>
      </c>
      <c r="C592" s="162"/>
    </row>
    <row r="593" spans="2:3" x14ac:dyDescent="0.25">
      <c r="B593" s="163">
        <f t="shared" si="9"/>
        <v>591</v>
      </c>
      <c r="C593" s="162"/>
    </row>
    <row r="594" spans="2:3" x14ac:dyDescent="0.25">
      <c r="B594" s="163">
        <f t="shared" si="9"/>
        <v>592</v>
      </c>
      <c r="C594" s="164" t="s">
        <v>2024</v>
      </c>
    </row>
    <row r="595" spans="2:3" x14ac:dyDescent="0.25">
      <c r="B595" s="163">
        <f t="shared" si="9"/>
        <v>593</v>
      </c>
      <c r="C595" s="161" t="s">
        <v>2045</v>
      </c>
    </row>
    <row r="596" spans="2:3" x14ac:dyDescent="0.25">
      <c r="B596" s="163">
        <f t="shared" si="9"/>
        <v>594</v>
      </c>
      <c r="C596" s="165" t="s">
        <v>228</v>
      </c>
    </row>
    <row r="597" spans="2:3" x14ac:dyDescent="0.25">
      <c r="B597" s="163">
        <f t="shared" ref="B597:B602" si="10">B596+1</f>
        <v>595</v>
      </c>
      <c r="C597" s="165" t="s">
        <v>2096</v>
      </c>
    </row>
    <row r="598" spans="2:3" x14ac:dyDescent="0.25">
      <c r="B598" s="163">
        <f t="shared" si="10"/>
        <v>596</v>
      </c>
      <c r="C598" s="165" t="s">
        <v>224</v>
      </c>
    </row>
    <row r="599" spans="2:3" x14ac:dyDescent="0.25">
      <c r="B599" s="163">
        <f t="shared" si="10"/>
        <v>597</v>
      </c>
      <c r="C599" s="165" t="s">
        <v>1786</v>
      </c>
    </row>
    <row r="600" spans="2:3" x14ac:dyDescent="0.25">
      <c r="B600" s="163">
        <f t="shared" si="10"/>
        <v>598</v>
      </c>
      <c r="C600" s="165" t="s">
        <v>1996</v>
      </c>
    </row>
    <row r="601" spans="2:3" x14ac:dyDescent="0.25">
      <c r="B601" s="163">
        <f t="shared" si="10"/>
        <v>599</v>
      </c>
      <c r="C601" s="165" t="s">
        <v>1796</v>
      </c>
    </row>
    <row r="602" spans="2:3" x14ac:dyDescent="0.25">
      <c r="B602" s="163">
        <f t="shared" si="10"/>
        <v>600</v>
      </c>
      <c r="C602" s="164" t="s">
        <v>148</v>
      </c>
    </row>
    <row r="603" spans="2:3" x14ac:dyDescent="0.25">
      <c r="B603" s="163">
        <f t="shared" si="9"/>
        <v>601</v>
      </c>
      <c r="C603" s="162"/>
    </row>
    <row r="604" spans="2:3" x14ac:dyDescent="0.25">
      <c r="B604" s="163">
        <f t="shared" si="9"/>
        <v>602</v>
      </c>
      <c r="C604" s="162"/>
    </row>
    <row r="605" spans="2:3" ht="15.75" thickBot="1" x14ac:dyDescent="0.3">
      <c r="B605" s="163">
        <f t="shared" ref="B605" si="11">B604+1</f>
        <v>603</v>
      </c>
      <c r="C605" s="164" t="s">
        <v>1690</v>
      </c>
    </row>
    <row r="606" spans="2:3" x14ac:dyDescent="0.25">
      <c r="B606" s="163">
        <f t="shared" si="9"/>
        <v>604</v>
      </c>
      <c r="C606" s="216" t="s">
        <v>198</v>
      </c>
    </row>
    <row r="607" spans="2:3" x14ac:dyDescent="0.25">
      <c r="B607" s="163">
        <f t="shared" si="9"/>
        <v>605</v>
      </c>
      <c r="C607" s="196" t="s">
        <v>1805</v>
      </c>
    </row>
    <row r="608" spans="2:3" x14ac:dyDescent="0.25">
      <c r="B608" s="163">
        <f t="shared" si="9"/>
        <v>606</v>
      </c>
      <c r="C608" s="196" t="s">
        <v>2100</v>
      </c>
    </row>
    <row r="609" spans="2:3" x14ac:dyDescent="0.25">
      <c r="B609" s="163">
        <f t="shared" si="9"/>
        <v>607</v>
      </c>
      <c r="C609" s="162" t="s">
        <v>1788</v>
      </c>
    </row>
    <row r="610" spans="2:3" x14ac:dyDescent="0.25">
      <c r="B610" s="163">
        <f t="shared" si="9"/>
        <v>608</v>
      </c>
      <c r="C610" s="162" t="s">
        <v>1789</v>
      </c>
    </row>
    <row r="611" spans="2:3" x14ac:dyDescent="0.25">
      <c r="B611" s="163">
        <f t="shared" si="9"/>
        <v>609</v>
      </c>
      <c r="C611" s="165" t="s">
        <v>1979</v>
      </c>
    </row>
    <row r="612" spans="2:3" x14ac:dyDescent="0.25">
      <c r="B612" s="163">
        <f t="shared" si="9"/>
        <v>610</v>
      </c>
      <c r="C612" s="164" t="s">
        <v>1797</v>
      </c>
    </row>
    <row r="613" spans="2:3" x14ac:dyDescent="0.25">
      <c r="B613" s="163">
        <f t="shared" si="9"/>
        <v>611</v>
      </c>
      <c r="C613" s="165" t="s">
        <v>201</v>
      </c>
    </row>
    <row r="614" spans="2:3" x14ac:dyDescent="0.25">
      <c r="B614" s="163">
        <f t="shared" si="9"/>
        <v>612</v>
      </c>
      <c r="C614" s="196" t="s">
        <v>1798</v>
      </c>
    </row>
    <row r="615" spans="2:3" x14ac:dyDescent="0.25">
      <c r="B615" s="163">
        <f t="shared" si="9"/>
        <v>613</v>
      </c>
      <c r="C615" s="161" t="s">
        <v>225</v>
      </c>
    </row>
    <row r="616" spans="2:3" x14ac:dyDescent="0.25">
      <c r="B616" s="163">
        <f t="shared" si="9"/>
        <v>614</v>
      </c>
      <c r="C616" s="164" t="s">
        <v>1799</v>
      </c>
    </row>
    <row r="617" spans="2:3" x14ac:dyDescent="0.25">
      <c r="B617" s="163">
        <f t="shared" si="9"/>
        <v>615</v>
      </c>
      <c r="C617" s="164" t="s">
        <v>1800</v>
      </c>
    </row>
    <row r="618" spans="2:3" x14ac:dyDescent="0.25">
      <c r="B618" s="163">
        <f t="shared" si="9"/>
        <v>616</v>
      </c>
      <c r="C618" s="161" t="s">
        <v>227</v>
      </c>
    </row>
    <row r="619" spans="2:3" ht="15.75" thickBot="1" x14ac:dyDescent="0.3">
      <c r="B619" s="163">
        <f t="shared" si="9"/>
        <v>617</v>
      </c>
      <c r="C619" s="198" t="s">
        <v>1801</v>
      </c>
    </row>
    <row r="620" spans="2:3" x14ac:dyDescent="0.25">
      <c r="B620" s="163">
        <f t="shared" si="9"/>
        <v>618</v>
      </c>
      <c r="C620" s="165" t="s">
        <v>2102</v>
      </c>
    </row>
    <row r="621" spans="2:3" x14ac:dyDescent="0.25">
      <c r="B621" s="163">
        <f t="shared" si="9"/>
        <v>619</v>
      </c>
      <c r="C621" s="165" t="s">
        <v>1796</v>
      </c>
    </row>
    <row r="622" spans="2:3" x14ac:dyDescent="0.25">
      <c r="B622" s="163">
        <f t="shared" si="9"/>
        <v>620</v>
      </c>
      <c r="C622" s="164" t="s">
        <v>148</v>
      </c>
    </row>
    <row r="623" spans="2:3" x14ac:dyDescent="0.25">
      <c r="B623" s="163">
        <f t="shared" si="9"/>
        <v>621</v>
      </c>
      <c r="C623" s="162"/>
    </row>
    <row r="624" spans="2:3" x14ac:dyDescent="0.25">
      <c r="B624" s="163">
        <f t="shared" si="9"/>
        <v>622</v>
      </c>
      <c r="C624" s="162"/>
    </row>
    <row r="625" spans="2:3" x14ac:dyDescent="0.25">
      <c r="B625" s="163">
        <f t="shared" si="9"/>
        <v>623</v>
      </c>
      <c r="C625" s="164" t="s">
        <v>1802</v>
      </c>
    </row>
    <row r="626" spans="2:3" x14ac:dyDescent="0.25">
      <c r="B626" s="163">
        <f t="shared" si="9"/>
        <v>624</v>
      </c>
      <c r="C626" s="165" t="s">
        <v>1770</v>
      </c>
    </row>
    <row r="627" spans="2:3" x14ac:dyDescent="0.25">
      <c r="B627" s="163">
        <f t="shared" si="9"/>
        <v>625</v>
      </c>
      <c r="C627" s="196" t="s">
        <v>1806</v>
      </c>
    </row>
    <row r="628" spans="2:3" x14ac:dyDescent="0.25">
      <c r="B628" s="163">
        <f t="shared" si="9"/>
        <v>626</v>
      </c>
      <c r="C628" s="162" t="s">
        <v>1807</v>
      </c>
    </row>
    <row r="629" spans="2:3" x14ac:dyDescent="0.25">
      <c r="B629" s="163">
        <f t="shared" si="9"/>
        <v>627</v>
      </c>
      <c r="C629" s="162" t="s">
        <v>1808</v>
      </c>
    </row>
    <row r="630" spans="2:3" x14ac:dyDescent="0.25">
      <c r="B630" s="163">
        <f t="shared" si="9"/>
        <v>628</v>
      </c>
      <c r="C630" s="164" t="s">
        <v>1812</v>
      </c>
    </row>
    <row r="631" spans="2:3" x14ac:dyDescent="0.25">
      <c r="B631" s="163">
        <f t="shared" si="9"/>
        <v>629</v>
      </c>
      <c r="C631" s="164" t="s">
        <v>1809</v>
      </c>
    </row>
    <row r="632" spans="2:3" x14ac:dyDescent="0.25">
      <c r="B632" s="163">
        <f t="shared" ref="B632:B635" si="12">B631+1</f>
        <v>630</v>
      </c>
      <c r="C632" s="162" t="s">
        <v>1788</v>
      </c>
    </row>
    <row r="633" spans="2:3" x14ac:dyDescent="0.25">
      <c r="B633" s="163">
        <f t="shared" si="12"/>
        <v>631</v>
      </c>
      <c r="C633" s="162" t="s">
        <v>1803</v>
      </c>
    </row>
    <row r="634" spans="2:3" ht="15.75" thickBot="1" x14ac:dyDescent="0.3">
      <c r="B634" s="163">
        <f t="shared" si="12"/>
        <v>632</v>
      </c>
      <c r="C634" s="198" t="s">
        <v>1810</v>
      </c>
    </row>
    <row r="635" spans="2:3" x14ac:dyDescent="0.25">
      <c r="B635" s="163">
        <f t="shared" si="12"/>
        <v>633</v>
      </c>
      <c r="C635" s="165" t="s">
        <v>1979</v>
      </c>
    </row>
    <row r="636" spans="2:3" x14ac:dyDescent="0.25">
      <c r="B636" s="163">
        <f t="shared" ref="B636:B785" si="13">B635+1</f>
        <v>634</v>
      </c>
      <c r="C636" s="165" t="s">
        <v>1796</v>
      </c>
    </row>
    <row r="637" spans="2:3" x14ac:dyDescent="0.25">
      <c r="B637" s="163">
        <f t="shared" si="13"/>
        <v>635</v>
      </c>
      <c r="C637" s="164" t="s">
        <v>148</v>
      </c>
    </row>
    <row r="638" spans="2:3" x14ac:dyDescent="0.25">
      <c r="B638" s="163">
        <f t="shared" si="13"/>
        <v>636</v>
      </c>
    </row>
    <row r="639" spans="2:3" x14ac:dyDescent="0.25">
      <c r="B639" s="163">
        <f t="shared" si="13"/>
        <v>637</v>
      </c>
    </row>
    <row r="640" spans="2:3" x14ac:dyDescent="0.25">
      <c r="B640" s="163">
        <f t="shared" si="13"/>
        <v>638</v>
      </c>
      <c r="C640" s="164" t="s">
        <v>1813</v>
      </c>
    </row>
    <row r="641" spans="2:3" x14ac:dyDescent="0.25">
      <c r="B641" s="163">
        <f t="shared" si="13"/>
        <v>639</v>
      </c>
      <c r="C641" s="165" t="s">
        <v>228</v>
      </c>
    </row>
    <row r="642" spans="2:3" x14ac:dyDescent="0.25">
      <c r="B642" s="163">
        <f t="shared" si="13"/>
        <v>640</v>
      </c>
      <c r="C642" s="165" t="s">
        <v>1815</v>
      </c>
    </row>
    <row r="643" spans="2:3" x14ac:dyDescent="0.25">
      <c r="B643" s="163">
        <f t="shared" si="13"/>
        <v>641</v>
      </c>
      <c r="C643" s="165" t="s">
        <v>1786</v>
      </c>
    </row>
    <row r="644" spans="2:3" x14ac:dyDescent="0.25">
      <c r="B644" s="163">
        <f t="shared" si="13"/>
        <v>642</v>
      </c>
      <c r="C644" s="162" t="s">
        <v>1807</v>
      </c>
    </row>
    <row r="645" spans="2:3" x14ac:dyDescent="0.25">
      <c r="B645" s="163">
        <f t="shared" si="13"/>
        <v>643</v>
      </c>
      <c r="C645" s="162" t="s">
        <v>1808</v>
      </c>
    </row>
    <row r="646" spans="2:3" x14ac:dyDescent="0.25">
      <c r="B646" s="163">
        <f t="shared" si="13"/>
        <v>644</v>
      </c>
      <c r="C646" s="162" t="s">
        <v>2040</v>
      </c>
    </row>
    <row r="647" spans="2:3" x14ac:dyDescent="0.25">
      <c r="B647" s="163">
        <f t="shared" si="13"/>
        <v>645</v>
      </c>
      <c r="C647" s="165" t="s">
        <v>2102</v>
      </c>
    </row>
    <row r="648" spans="2:3" x14ac:dyDescent="0.25">
      <c r="B648" s="163">
        <f t="shared" si="13"/>
        <v>646</v>
      </c>
      <c r="C648" s="165" t="s">
        <v>2077</v>
      </c>
    </row>
    <row r="649" spans="2:3" x14ac:dyDescent="0.25">
      <c r="B649" s="163">
        <f t="shared" si="13"/>
        <v>647</v>
      </c>
      <c r="C649" s="164" t="s">
        <v>1812</v>
      </c>
    </row>
    <row r="650" spans="2:3" x14ac:dyDescent="0.25">
      <c r="B650" s="163">
        <f t="shared" si="13"/>
        <v>648</v>
      </c>
    </row>
    <row r="651" spans="2:3" x14ac:dyDescent="0.25">
      <c r="B651" s="163">
        <f t="shared" si="13"/>
        <v>649</v>
      </c>
    </row>
    <row r="652" spans="2:3" x14ac:dyDescent="0.25">
      <c r="B652" s="163">
        <f t="shared" si="13"/>
        <v>650</v>
      </c>
      <c r="C652" s="164" t="s">
        <v>1994</v>
      </c>
    </row>
    <row r="653" spans="2:3" x14ac:dyDescent="0.25">
      <c r="B653" s="163">
        <f t="shared" si="13"/>
        <v>651</v>
      </c>
      <c r="C653" s="165" t="s">
        <v>228</v>
      </c>
    </row>
    <row r="654" spans="2:3" x14ac:dyDescent="0.25">
      <c r="B654" s="163">
        <f t="shared" si="13"/>
        <v>652</v>
      </c>
      <c r="C654" s="165" t="s">
        <v>1995</v>
      </c>
    </row>
    <row r="655" spans="2:3" x14ac:dyDescent="0.25">
      <c r="B655" s="163">
        <f t="shared" si="13"/>
        <v>653</v>
      </c>
      <c r="C655" s="165" t="s">
        <v>1786</v>
      </c>
    </row>
    <row r="656" spans="2:3" x14ac:dyDescent="0.25">
      <c r="B656" s="163">
        <f t="shared" si="13"/>
        <v>654</v>
      </c>
      <c r="C656" s="165" t="s">
        <v>1996</v>
      </c>
    </row>
    <row r="657" spans="2:3" x14ac:dyDescent="0.25">
      <c r="B657" s="163">
        <f t="shared" si="13"/>
        <v>655</v>
      </c>
      <c r="C657" s="165" t="s">
        <v>1796</v>
      </c>
    </row>
    <row r="658" spans="2:3" x14ac:dyDescent="0.25">
      <c r="B658" s="163">
        <f t="shared" si="13"/>
        <v>656</v>
      </c>
      <c r="C658" s="164" t="s">
        <v>148</v>
      </c>
    </row>
    <row r="659" spans="2:3" x14ac:dyDescent="0.25">
      <c r="B659" s="163">
        <f t="shared" si="13"/>
        <v>657</v>
      </c>
    </row>
    <row r="660" spans="2:3" x14ac:dyDescent="0.25">
      <c r="B660" s="163">
        <f t="shared" si="13"/>
        <v>658</v>
      </c>
    </row>
    <row r="661" spans="2:3" x14ac:dyDescent="0.25">
      <c r="B661" s="163">
        <f t="shared" si="13"/>
        <v>659</v>
      </c>
      <c r="C661" s="164" t="s">
        <v>1814</v>
      </c>
    </row>
    <row r="662" spans="2:3" x14ac:dyDescent="0.25">
      <c r="B662" s="163">
        <f t="shared" si="13"/>
        <v>660</v>
      </c>
      <c r="C662" s="165" t="s">
        <v>1770</v>
      </c>
    </row>
    <row r="663" spans="2:3" x14ac:dyDescent="0.25">
      <c r="B663" s="163">
        <f t="shared" si="13"/>
        <v>661</v>
      </c>
      <c r="C663" s="196" t="s">
        <v>1816</v>
      </c>
    </row>
    <row r="664" spans="2:3" x14ac:dyDescent="0.25">
      <c r="B664" s="163">
        <f t="shared" si="13"/>
        <v>662</v>
      </c>
      <c r="C664" s="162" t="s">
        <v>1807</v>
      </c>
    </row>
    <row r="665" spans="2:3" x14ac:dyDescent="0.25">
      <c r="B665" s="163">
        <f t="shared" si="13"/>
        <v>663</v>
      </c>
      <c r="C665" s="162" t="s">
        <v>1808</v>
      </c>
    </row>
    <row r="666" spans="2:3" x14ac:dyDescent="0.25">
      <c r="B666" s="163">
        <f t="shared" si="13"/>
        <v>664</v>
      </c>
      <c r="C666" s="164" t="s">
        <v>1812</v>
      </c>
    </row>
    <row r="667" spans="2:3" x14ac:dyDescent="0.25">
      <c r="B667" s="163">
        <f t="shared" si="13"/>
        <v>665</v>
      </c>
      <c r="C667" s="164" t="s">
        <v>1817</v>
      </c>
    </row>
    <row r="668" spans="2:3" x14ac:dyDescent="0.25">
      <c r="B668" s="163">
        <f t="shared" si="13"/>
        <v>666</v>
      </c>
      <c r="C668" s="162" t="s">
        <v>1788</v>
      </c>
    </row>
    <row r="669" spans="2:3" x14ac:dyDescent="0.25">
      <c r="B669" s="163">
        <f t="shared" si="13"/>
        <v>667</v>
      </c>
      <c r="C669" s="162" t="s">
        <v>1789</v>
      </c>
    </row>
    <row r="670" spans="2:3" x14ac:dyDescent="0.25">
      <c r="B670" s="163">
        <f t="shared" si="13"/>
        <v>668</v>
      </c>
      <c r="C670" s="164" t="s">
        <v>1812</v>
      </c>
    </row>
    <row r="671" spans="2:3" x14ac:dyDescent="0.25">
      <c r="B671" s="163">
        <f t="shared" si="13"/>
        <v>669</v>
      </c>
      <c r="C671" s="162"/>
    </row>
    <row r="672" spans="2:3" x14ac:dyDescent="0.25">
      <c r="B672" s="163">
        <f t="shared" si="13"/>
        <v>670</v>
      </c>
      <c r="C672" s="162"/>
    </row>
    <row r="673" spans="2:3" x14ac:dyDescent="0.25">
      <c r="B673" s="163">
        <f t="shared" si="13"/>
        <v>671</v>
      </c>
      <c r="C673" s="162"/>
    </row>
    <row r="674" spans="2:3" x14ac:dyDescent="0.25">
      <c r="B674" s="163">
        <f t="shared" si="13"/>
        <v>672</v>
      </c>
      <c r="C674" s="162"/>
    </row>
    <row r="675" spans="2:3" x14ac:dyDescent="0.25">
      <c r="B675" s="163">
        <f t="shared" si="13"/>
        <v>673</v>
      </c>
      <c r="C675" s="164" t="s">
        <v>2104</v>
      </c>
    </row>
    <row r="676" spans="2:3" x14ac:dyDescent="0.25">
      <c r="B676" s="163">
        <f t="shared" si="13"/>
        <v>674</v>
      </c>
      <c r="C676" s="164" t="s">
        <v>2108</v>
      </c>
    </row>
    <row r="677" spans="2:3" x14ac:dyDescent="0.25">
      <c r="B677" s="163">
        <f t="shared" si="13"/>
        <v>675</v>
      </c>
      <c r="C677" s="162"/>
    </row>
    <row r="678" spans="2:3" x14ac:dyDescent="0.25">
      <c r="B678" s="163">
        <f t="shared" si="13"/>
        <v>676</v>
      </c>
      <c r="C678" s="162"/>
    </row>
    <row r="679" spans="2:3" x14ac:dyDescent="0.25">
      <c r="B679" s="163">
        <f t="shared" si="13"/>
        <v>677</v>
      </c>
      <c r="C679" s="162"/>
    </row>
    <row r="680" spans="2:3" x14ac:dyDescent="0.25">
      <c r="B680" s="163">
        <f t="shared" si="13"/>
        <v>678</v>
      </c>
      <c r="C680" s="162"/>
    </row>
    <row r="681" spans="2:3" x14ac:dyDescent="0.25">
      <c r="B681" s="163">
        <f t="shared" si="13"/>
        <v>679</v>
      </c>
      <c r="C681" s="162"/>
    </row>
    <row r="682" spans="2:3" x14ac:dyDescent="0.25">
      <c r="B682" s="163">
        <f t="shared" si="13"/>
        <v>680</v>
      </c>
      <c r="C682" s="217" t="s">
        <v>1993</v>
      </c>
    </row>
    <row r="683" spans="2:3" x14ac:dyDescent="0.25">
      <c r="B683" s="163">
        <f t="shared" si="13"/>
        <v>681</v>
      </c>
      <c r="C683" s="162"/>
    </row>
    <row r="684" spans="2:3" x14ac:dyDescent="0.25">
      <c r="B684" s="163">
        <f t="shared" si="13"/>
        <v>682</v>
      </c>
      <c r="C684" s="162"/>
    </row>
    <row r="685" spans="2:3" x14ac:dyDescent="0.25">
      <c r="B685" s="163">
        <f t="shared" si="13"/>
        <v>683</v>
      </c>
      <c r="C685" s="164" t="s">
        <v>1998</v>
      </c>
    </row>
    <row r="686" spans="2:3" x14ac:dyDescent="0.25">
      <c r="B686" s="163">
        <f t="shared" si="13"/>
        <v>684</v>
      </c>
      <c r="C686" s="165" t="s">
        <v>1999</v>
      </c>
    </row>
    <row r="687" spans="2:3" x14ac:dyDescent="0.25">
      <c r="B687" s="163">
        <f t="shared" si="13"/>
        <v>685</v>
      </c>
      <c r="C687" s="196" t="s">
        <v>2000</v>
      </c>
    </row>
    <row r="688" spans="2:3" x14ac:dyDescent="0.25">
      <c r="B688" s="163">
        <f t="shared" si="13"/>
        <v>686</v>
      </c>
      <c r="C688" s="164" t="s">
        <v>148</v>
      </c>
    </row>
    <row r="689" spans="2:3" x14ac:dyDescent="0.25">
      <c r="B689" s="163">
        <f t="shared" si="13"/>
        <v>687</v>
      </c>
      <c r="C689" s="162"/>
    </row>
    <row r="690" spans="2:3" x14ac:dyDescent="0.25">
      <c r="B690" s="163">
        <f t="shared" si="13"/>
        <v>688</v>
      </c>
      <c r="C690" s="162"/>
    </row>
    <row r="691" spans="2:3" x14ac:dyDescent="0.25">
      <c r="B691" s="163">
        <f t="shared" si="13"/>
        <v>689</v>
      </c>
      <c r="C691" s="164" t="s">
        <v>2005</v>
      </c>
    </row>
    <row r="692" spans="2:3" x14ac:dyDescent="0.25">
      <c r="B692" s="163">
        <f t="shared" si="13"/>
        <v>690</v>
      </c>
      <c r="C692" s="165" t="s">
        <v>2006</v>
      </c>
    </row>
    <row r="693" spans="2:3" x14ac:dyDescent="0.25">
      <c r="B693" s="163">
        <f t="shared" si="13"/>
        <v>691</v>
      </c>
      <c r="C693" s="196" t="s">
        <v>2007</v>
      </c>
    </row>
    <row r="694" spans="2:3" x14ac:dyDescent="0.25">
      <c r="B694" s="163">
        <f t="shared" si="13"/>
        <v>692</v>
      </c>
      <c r="C694" s="196" t="s">
        <v>2008</v>
      </c>
    </row>
    <row r="695" spans="2:3" x14ac:dyDescent="0.25">
      <c r="B695" s="163">
        <f t="shared" si="13"/>
        <v>693</v>
      </c>
      <c r="C695" s="196" t="s">
        <v>2009</v>
      </c>
    </row>
    <row r="696" spans="2:3" x14ac:dyDescent="0.25">
      <c r="B696" s="163">
        <f t="shared" si="13"/>
        <v>694</v>
      </c>
      <c r="C696" s="196" t="s">
        <v>2010</v>
      </c>
    </row>
    <row r="697" spans="2:3" x14ac:dyDescent="0.25">
      <c r="B697" s="163">
        <f t="shared" si="13"/>
        <v>695</v>
      </c>
      <c r="C697" s="164" t="s">
        <v>148</v>
      </c>
    </row>
    <row r="698" spans="2:3" x14ac:dyDescent="0.25">
      <c r="B698" s="163">
        <f t="shared" si="13"/>
        <v>696</v>
      </c>
      <c r="C698" s="162"/>
    </row>
    <row r="699" spans="2:3" x14ac:dyDescent="0.25">
      <c r="B699" s="163">
        <f t="shared" si="13"/>
        <v>697</v>
      </c>
      <c r="C699" s="162"/>
    </row>
    <row r="700" spans="2:3" x14ac:dyDescent="0.25">
      <c r="B700" s="163">
        <f t="shared" si="13"/>
        <v>698</v>
      </c>
      <c r="C700" s="164" t="s">
        <v>2011</v>
      </c>
    </row>
    <row r="701" spans="2:3" x14ac:dyDescent="0.25">
      <c r="B701" s="163">
        <f t="shared" si="13"/>
        <v>699</v>
      </c>
      <c r="C701" s="162" t="s">
        <v>1788</v>
      </c>
    </row>
    <row r="702" spans="2:3" x14ac:dyDescent="0.25">
      <c r="B702" s="163">
        <f t="shared" si="13"/>
        <v>700</v>
      </c>
      <c r="C702" s="162" t="s">
        <v>1789</v>
      </c>
    </row>
    <row r="703" spans="2:3" x14ac:dyDescent="0.25">
      <c r="B703" s="163">
        <f t="shared" si="13"/>
        <v>701</v>
      </c>
      <c r="C703" s="165" t="s">
        <v>1796</v>
      </c>
    </row>
    <row r="704" spans="2:3" x14ac:dyDescent="0.25">
      <c r="B704" s="163">
        <f t="shared" si="13"/>
        <v>702</v>
      </c>
      <c r="C704" s="164" t="s">
        <v>148</v>
      </c>
    </row>
    <row r="705" spans="2:3" x14ac:dyDescent="0.25">
      <c r="B705" s="163">
        <f t="shared" si="13"/>
        <v>703</v>
      </c>
      <c r="C705" s="162"/>
    </row>
    <row r="706" spans="2:3" x14ac:dyDescent="0.25">
      <c r="B706" s="163">
        <f t="shared" si="13"/>
        <v>704</v>
      </c>
      <c r="C706" s="162"/>
    </row>
    <row r="707" spans="2:3" x14ac:dyDescent="0.25">
      <c r="B707" s="163">
        <f t="shared" si="13"/>
        <v>705</v>
      </c>
      <c r="C707" s="164" t="s">
        <v>2012</v>
      </c>
    </row>
    <row r="708" spans="2:3" x14ac:dyDescent="0.25">
      <c r="B708" s="163">
        <f t="shared" si="13"/>
        <v>706</v>
      </c>
      <c r="C708" s="162" t="s">
        <v>1788</v>
      </c>
    </row>
    <row r="709" spans="2:3" x14ac:dyDescent="0.25">
      <c r="B709" s="163">
        <f t="shared" si="13"/>
        <v>707</v>
      </c>
      <c r="C709" s="162" t="s">
        <v>1803</v>
      </c>
    </row>
    <row r="710" spans="2:3" x14ac:dyDescent="0.25">
      <c r="B710" s="163">
        <f t="shared" si="13"/>
        <v>708</v>
      </c>
      <c r="C710" s="165" t="s">
        <v>1796</v>
      </c>
    </row>
    <row r="711" spans="2:3" x14ac:dyDescent="0.25">
      <c r="B711" s="163">
        <f t="shared" si="13"/>
        <v>709</v>
      </c>
      <c r="C711" s="164" t="s">
        <v>148</v>
      </c>
    </row>
    <row r="712" spans="2:3" x14ac:dyDescent="0.25">
      <c r="B712" s="163">
        <f t="shared" si="13"/>
        <v>710</v>
      </c>
      <c r="C712" s="162"/>
    </row>
    <row r="713" spans="2:3" x14ac:dyDescent="0.25">
      <c r="B713" s="163">
        <f t="shared" si="13"/>
        <v>711</v>
      </c>
      <c r="C713" s="162"/>
    </row>
    <row r="714" spans="2:3" x14ac:dyDescent="0.25">
      <c r="B714" s="163">
        <f t="shared" si="13"/>
        <v>712</v>
      </c>
      <c r="C714" s="164" t="s">
        <v>2015</v>
      </c>
    </row>
    <row r="715" spans="2:3" x14ac:dyDescent="0.25">
      <c r="B715" s="163">
        <f t="shared" si="13"/>
        <v>713</v>
      </c>
      <c r="C715" s="165" t="s">
        <v>2013</v>
      </c>
    </row>
    <row r="716" spans="2:3" x14ac:dyDescent="0.25">
      <c r="B716" s="163">
        <f t="shared" si="13"/>
        <v>714</v>
      </c>
      <c r="C716" s="196" t="s">
        <v>2014</v>
      </c>
    </row>
    <row r="717" spans="2:3" x14ac:dyDescent="0.25">
      <c r="B717" s="163">
        <f t="shared" si="13"/>
        <v>715</v>
      </c>
      <c r="C717" s="196" t="s">
        <v>2018</v>
      </c>
    </row>
    <row r="718" spans="2:3" x14ac:dyDescent="0.25">
      <c r="B718" s="163">
        <f t="shared" si="13"/>
        <v>716</v>
      </c>
      <c r="C718" s="196" t="s">
        <v>2020</v>
      </c>
    </row>
    <row r="719" spans="2:3" x14ac:dyDescent="0.25">
      <c r="B719" s="163">
        <f t="shared" si="13"/>
        <v>717</v>
      </c>
      <c r="C719" s="196" t="s">
        <v>2019</v>
      </c>
    </row>
    <row r="720" spans="2:3" x14ac:dyDescent="0.25">
      <c r="B720" s="163">
        <f t="shared" si="13"/>
        <v>718</v>
      </c>
      <c r="C720" s="164" t="s">
        <v>148</v>
      </c>
    </row>
    <row r="721" spans="2:3" x14ac:dyDescent="0.25">
      <c r="B721" s="163">
        <f t="shared" si="13"/>
        <v>719</v>
      </c>
      <c r="C721" s="162"/>
    </row>
    <row r="722" spans="2:3" x14ac:dyDescent="0.25">
      <c r="B722" s="163">
        <f t="shared" si="13"/>
        <v>720</v>
      </c>
      <c r="C722" s="162"/>
    </row>
    <row r="723" spans="2:3" x14ac:dyDescent="0.25">
      <c r="B723" s="163">
        <f t="shared" si="13"/>
        <v>721</v>
      </c>
      <c r="C723" s="164" t="s">
        <v>2022</v>
      </c>
    </row>
    <row r="724" spans="2:3" x14ac:dyDescent="0.25">
      <c r="B724" s="163">
        <f t="shared" si="13"/>
        <v>722</v>
      </c>
      <c r="C724" s="161" t="s">
        <v>2043</v>
      </c>
    </row>
    <row r="725" spans="2:3" x14ac:dyDescent="0.25">
      <c r="B725" s="163">
        <f t="shared" si="13"/>
        <v>723</v>
      </c>
      <c r="C725" s="165" t="s">
        <v>1796</v>
      </c>
    </row>
    <row r="726" spans="2:3" x14ac:dyDescent="0.25">
      <c r="B726" s="163">
        <f t="shared" si="13"/>
        <v>724</v>
      </c>
      <c r="C726" s="165" t="s">
        <v>2044</v>
      </c>
    </row>
    <row r="727" spans="2:3" x14ac:dyDescent="0.25">
      <c r="B727" s="163">
        <f t="shared" si="13"/>
        <v>725</v>
      </c>
      <c r="C727" s="164" t="s">
        <v>148</v>
      </c>
    </row>
    <row r="728" spans="2:3" x14ac:dyDescent="0.25">
      <c r="B728" s="163">
        <f t="shared" si="13"/>
        <v>726</v>
      </c>
    </row>
    <row r="729" spans="2:3" x14ac:dyDescent="0.25">
      <c r="B729" s="163">
        <f t="shared" si="13"/>
        <v>727</v>
      </c>
      <c r="C729" s="164" t="s">
        <v>2046</v>
      </c>
    </row>
    <row r="730" spans="2:3" x14ac:dyDescent="0.25">
      <c r="B730" s="163">
        <f t="shared" si="13"/>
        <v>728</v>
      </c>
      <c r="C730" s="161" t="s">
        <v>2045</v>
      </c>
    </row>
    <row r="731" spans="2:3" x14ac:dyDescent="0.25">
      <c r="B731" s="163">
        <f t="shared" si="13"/>
        <v>729</v>
      </c>
      <c r="C731" s="165" t="s">
        <v>1796</v>
      </c>
    </row>
    <row r="732" spans="2:3" x14ac:dyDescent="0.25">
      <c r="B732" s="163">
        <f t="shared" si="13"/>
        <v>730</v>
      </c>
      <c r="C732" s="164" t="s">
        <v>148</v>
      </c>
    </row>
    <row r="733" spans="2:3" x14ac:dyDescent="0.25">
      <c r="B733" s="163">
        <f t="shared" si="13"/>
        <v>731</v>
      </c>
      <c r="C733" s="162"/>
    </row>
    <row r="734" spans="2:3" x14ac:dyDescent="0.25">
      <c r="B734" s="163">
        <f t="shared" si="13"/>
        <v>732</v>
      </c>
      <c r="C734" s="162"/>
    </row>
    <row r="735" spans="2:3" x14ac:dyDescent="0.25">
      <c r="B735" s="163">
        <f t="shared" si="13"/>
        <v>733</v>
      </c>
      <c r="C735" s="164" t="s">
        <v>2023</v>
      </c>
    </row>
    <row r="736" spans="2:3" x14ac:dyDescent="0.25">
      <c r="B736" s="163">
        <f t="shared" si="13"/>
        <v>734</v>
      </c>
      <c r="C736" s="165" t="s">
        <v>2036</v>
      </c>
    </row>
    <row r="737" spans="2:3" x14ac:dyDescent="0.25">
      <c r="B737" s="163">
        <f t="shared" si="13"/>
        <v>735</v>
      </c>
      <c r="C737" s="196" t="s">
        <v>2025</v>
      </c>
    </row>
    <row r="738" spans="2:3" x14ac:dyDescent="0.25">
      <c r="B738" s="163">
        <f t="shared" si="13"/>
        <v>736</v>
      </c>
      <c r="C738" s="164" t="s">
        <v>148</v>
      </c>
    </row>
    <row r="739" spans="2:3" x14ac:dyDescent="0.25">
      <c r="B739" s="163">
        <f t="shared" si="13"/>
        <v>737</v>
      </c>
      <c r="C739" s="162"/>
    </row>
    <row r="740" spans="2:3" x14ac:dyDescent="0.25">
      <c r="B740" s="163">
        <f t="shared" si="13"/>
        <v>738</v>
      </c>
      <c r="C740" s="162"/>
    </row>
    <row r="741" spans="2:3" x14ac:dyDescent="0.25">
      <c r="B741" s="163">
        <f t="shared" si="13"/>
        <v>739</v>
      </c>
      <c r="C741" s="164" t="s">
        <v>2032</v>
      </c>
    </row>
    <row r="742" spans="2:3" x14ac:dyDescent="0.25">
      <c r="B742" s="163">
        <f t="shared" si="13"/>
        <v>740</v>
      </c>
      <c r="C742" s="165" t="s">
        <v>2033</v>
      </c>
    </row>
    <row r="743" spans="2:3" x14ac:dyDescent="0.25">
      <c r="B743" s="163">
        <f t="shared" si="13"/>
        <v>741</v>
      </c>
      <c r="C743" s="196" t="s">
        <v>2034</v>
      </c>
    </row>
    <row r="744" spans="2:3" x14ac:dyDescent="0.25">
      <c r="B744" s="163">
        <f t="shared" si="13"/>
        <v>742</v>
      </c>
      <c r="C744" s="196" t="s">
        <v>2035</v>
      </c>
    </row>
    <row r="745" spans="2:3" x14ac:dyDescent="0.25">
      <c r="B745" s="163">
        <f t="shared" si="13"/>
        <v>743</v>
      </c>
      <c r="C745" s="164" t="s">
        <v>148</v>
      </c>
    </row>
    <row r="746" spans="2:3" x14ac:dyDescent="0.25">
      <c r="B746" s="163">
        <f t="shared" si="13"/>
        <v>744</v>
      </c>
      <c r="C746" s="162"/>
    </row>
    <row r="747" spans="2:3" x14ac:dyDescent="0.25">
      <c r="B747" s="163">
        <f t="shared" si="13"/>
        <v>745</v>
      </c>
      <c r="C747" s="162"/>
    </row>
    <row r="748" spans="2:3" x14ac:dyDescent="0.25">
      <c r="B748" s="163">
        <f t="shared" si="13"/>
        <v>746</v>
      </c>
      <c r="C748" s="164" t="s">
        <v>2037</v>
      </c>
    </row>
    <row r="749" spans="2:3" x14ac:dyDescent="0.25">
      <c r="B749" s="163">
        <f t="shared" si="13"/>
        <v>747</v>
      </c>
      <c r="C749" s="162" t="s">
        <v>2039</v>
      </c>
    </row>
    <row r="750" spans="2:3" x14ac:dyDescent="0.25">
      <c r="B750" s="163">
        <f t="shared" si="13"/>
        <v>748</v>
      </c>
      <c r="C750" s="162" t="s">
        <v>2040</v>
      </c>
    </row>
    <row r="751" spans="2:3" x14ac:dyDescent="0.25">
      <c r="B751" s="163">
        <f t="shared" si="13"/>
        <v>749</v>
      </c>
      <c r="C751" s="165" t="s">
        <v>1796</v>
      </c>
    </row>
    <row r="752" spans="2:3" x14ac:dyDescent="0.25">
      <c r="B752" s="163">
        <f t="shared" si="13"/>
        <v>750</v>
      </c>
      <c r="C752" s="164" t="s">
        <v>148</v>
      </c>
    </row>
    <row r="753" spans="2:3" x14ac:dyDescent="0.25">
      <c r="B753" s="163">
        <f t="shared" si="13"/>
        <v>751</v>
      </c>
      <c r="C753" s="162"/>
    </row>
    <row r="754" spans="2:3" x14ac:dyDescent="0.25">
      <c r="B754" s="163">
        <f t="shared" si="13"/>
        <v>752</v>
      </c>
      <c r="C754" s="162"/>
    </row>
    <row r="755" spans="2:3" x14ac:dyDescent="0.25">
      <c r="B755" s="163">
        <f t="shared" si="13"/>
        <v>753</v>
      </c>
      <c r="C755" s="164" t="s">
        <v>2038</v>
      </c>
    </row>
    <row r="756" spans="2:3" x14ac:dyDescent="0.25">
      <c r="B756" s="163">
        <f t="shared" si="13"/>
        <v>754</v>
      </c>
      <c r="C756" s="162" t="s">
        <v>2041</v>
      </c>
    </row>
    <row r="757" spans="2:3" x14ac:dyDescent="0.25">
      <c r="B757" s="163">
        <f t="shared" si="13"/>
        <v>755</v>
      </c>
      <c r="C757" s="162" t="s">
        <v>2042</v>
      </c>
    </row>
    <row r="758" spans="2:3" x14ac:dyDescent="0.25">
      <c r="B758" s="163">
        <f t="shared" si="13"/>
        <v>756</v>
      </c>
      <c r="C758" s="165" t="s">
        <v>1796</v>
      </c>
    </row>
    <row r="759" spans="2:3" x14ac:dyDescent="0.25">
      <c r="B759" s="163">
        <f t="shared" si="13"/>
        <v>757</v>
      </c>
      <c r="C759" s="164" t="s">
        <v>148</v>
      </c>
    </row>
    <row r="760" spans="2:3" x14ac:dyDescent="0.25">
      <c r="B760" s="163">
        <f t="shared" si="13"/>
        <v>758</v>
      </c>
      <c r="C760" s="162"/>
    </row>
    <row r="761" spans="2:3" x14ac:dyDescent="0.25">
      <c r="B761" s="163">
        <f t="shared" si="13"/>
        <v>759</v>
      </c>
      <c r="C761" s="162"/>
    </row>
    <row r="762" spans="2:3" x14ac:dyDescent="0.25">
      <c r="B762" s="163">
        <f t="shared" si="13"/>
        <v>760</v>
      </c>
      <c r="C762" s="162"/>
    </row>
    <row r="763" spans="2:3" x14ac:dyDescent="0.25">
      <c r="B763" s="163">
        <f t="shared" si="13"/>
        <v>761</v>
      </c>
    </row>
    <row r="764" spans="2:3" x14ac:dyDescent="0.25">
      <c r="B764" s="163">
        <f t="shared" si="13"/>
        <v>762</v>
      </c>
      <c r="C764" s="166" t="s">
        <v>1965</v>
      </c>
    </row>
    <row r="765" spans="2:3" x14ac:dyDescent="0.25">
      <c r="B765" s="163">
        <f t="shared" si="13"/>
        <v>763</v>
      </c>
      <c r="C765" s="162"/>
    </row>
    <row r="766" spans="2:3" x14ac:dyDescent="0.25">
      <c r="B766" s="163">
        <f t="shared" si="13"/>
        <v>764</v>
      </c>
      <c r="C766" s="164" t="s">
        <v>1970</v>
      </c>
    </row>
    <row r="767" spans="2:3" x14ac:dyDescent="0.25">
      <c r="B767" s="163">
        <f t="shared" si="13"/>
        <v>765</v>
      </c>
      <c r="C767" s="164" t="s">
        <v>1969</v>
      </c>
    </row>
    <row r="768" spans="2:3" x14ac:dyDescent="0.25">
      <c r="B768" s="163">
        <f t="shared" si="13"/>
        <v>766</v>
      </c>
      <c r="C768" s="164" t="s">
        <v>148</v>
      </c>
    </row>
    <row r="769" spans="2:3" x14ac:dyDescent="0.25">
      <c r="B769" s="163">
        <f t="shared" si="13"/>
        <v>767</v>
      </c>
      <c r="C769" s="162"/>
    </row>
    <row r="770" spans="2:3" x14ac:dyDescent="0.25">
      <c r="B770" s="163">
        <f t="shared" si="13"/>
        <v>768</v>
      </c>
      <c r="C770" s="164" t="s">
        <v>1966</v>
      </c>
    </row>
    <row r="771" spans="2:3" x14ac:dyDescent="0.25">
      <c r="B771" s="163">
        <f t="shared" si="13"/>
        <v>769</v>
      </c>
      <c r="C771" s="165" t="s">
        <v>1967</v>
      </c>
    </row>
    <row r="772" spans="2:3" x14ac:dyDescent="0.25">
      <c r="B772" s="163">
        <f t="shared" si="13"/>
        <v>770</v>
      </c>
      <c r="C772" s="196" t="s">
        <v>1973</v>
      </c>
    </row>
    <row r="773" spans="2:3" x14ac:dyDescent="0.25">
      <c r="B773" s="163">
        <f t="shared" si="13"/>
        <v>771</v>
      </c>
      <c r="C773" s="165" t="s">
        <v>1975</v>
      </c>
    </row>
    <row r="774" spans="2:3" x14ac:dyDescent="0.25">
      <c r="B774" s="163">
        <f t="shared" si="13"/>
        <v>772</v>
      </c>
      <c r="C774" s="165" t="s">
        <v>1968</v>
      </c>
    </row>
    <row r="775" spans="2:3" x14ac:dyDescent="0.25">
      <c r="B775" s="163">
        <f t="shared" si="13"/>
        <v>773</v>
      </c>
      <c r="C775" s="164" t="s">
        <v>1974</v>
      </c>
    </row>
    <row r="776" spans="2:3" x14ac:dyDescent="0.25">
      <c r="B776" s="163">
        <f t="shared" si="13"/>
        <v>774</v>
      </c>
    </row>
    <row r="777" spans="2:3" x14ac:dyDescent="0.25">
      <c r="B777" s="163">
        <f t="shared" si="13"/>
        <v>775</v>
      </c>
    </row>
    <row r="778" spans="2:3" x14ac:dyDescent="0.25">
      <c r="B778" s="163">
        <f t="shared" si="13"/>
        <v>776</v>
      </c>
      <c r="C778" s="164" t="s">
        <v>1977</v>
      </c>
    </row>
    <row r="779" spans="2:3" x14ac:dyDescent="0.25">
      <c r="B779" s="163">
        <f t="shared" si="13"/>
        <v>777</v>
      </c>
      <c r="C779" s="165" t="s">
        <v>1976</v>
      </c>
    </row>
    <row r="780" spans="2:3" x14ac:dyDescent="0.25">
      <c r="B780" s="163">
        <f t="shared" si="13"/>
        <v>778</v>
      </c>
      <c r="C780" s="165" t="s">
        <v>1968</v>
      </c>
    </row>
    <row r="781" spans="2:3" x14ac:dyDescent="0.25">
      <c r="B781" s="163">
        <f t="shared" si="13"/>
        <v>779</v>
      </c>
      <c r="C781" s="164" t="s">
        <v>1974</v>
      </c>
    </row>
    <row r="782" spans="2:3" x14ac:dyDescent="0.25">
      <c r="B782" s="163">
        <f t="shared" si="13"/>
        <v>780</v>
      </c>
    </row>
    <row r="783" spans="2:3" x14ac:dyDescent="0.25">
      <c r="B783" s="163">
        <f t="shared" si="13"/>
        <v>781</v>
      </c>
    </row>
    <row r="784" spans="2:3" x14ac:dyDescent="0.25">
      <c r="B784" s="163">
        <f t="shared" si="13"/>
        <v>782</v>
      </c>
      <c r="C784" s="164" t="s">
        <v>1980</v>
      </c>
    </row>
    <row r="785" spans="2:3" x14ac:dyDescent="0.25">
      <c r="B785" s="163">
        <f t="shared" si="13"/>
        <v>783</v>
      </c>
      <c r="C785" s="165" t="s">
        <v>201</v>
      </c>
    </row>
    <row r="786" spans="2:3" x14ac:dyDescent="0.25">
      <c r="B786" s="163">
        <f t="shared" si="9"/>
        <v>784</v>
      </c>
      <c r="C786" s="196" t="s">
        <v>1986</v>
      </c>
    </row>
    <row r="787" spans="2:3" x14ac:dyDescent="0.25">
      <c r="B787" s="163">
        <f t="shared" si="9"/>
        <v>785</v>
      </c>
      <c r="C787" s="196" t="s">
        <v>1988</v>
      </c>
    </row>
    <row r="788" spans="2:3" x14ac:dyDescent="0.25">
      <c r="B788" s="163">
        <f t="shared" si="9"/>
        <v>786</v>
      </c>
      <c r="C788" s="165" t="s">
        <v>1982</v>
      </c>
    </row>
    <row r="789" spans="2:3" x14ac:dyDescent="0.25">
      <c r="B789" s="163">
        <f t="shared" si="9"/>
        <v>787</v>
      </c>
      <c r="C789" s="165" t="s">
        <v>1968</v>
      </c>
    </row>
    <row r="790" spans="2:3" x14ac:dyDescent="0.25">
      <c r="B790" s="163">
        <f t="shared" si="9"/>
        <v>788</v>
      </c>
      <c r="C790" s="165" t="s">
        <v>1987</v>
      </c>
    </row>
    <row r="791" spans="2:3" x14ac:dyDescent="0.25">
      <c r="B791" s="163">
        <f t="shared" si="9"/>
        <v>789</v>
      </c>
      <c r="C791" s="165" t="s">
        <v>1635</v>
      </c>
    </row>
    <row r="792" spans="2:3" x14ac:dyDescent="0.25">
      <c r="B792" s="163">
        <f t="shared" si="9"/>
        <v>790</v>
      </c>
      <c r="C792" s="165" t="s">
        <v>1984</v>
      </c>
    </row>
    <row r="793" spans="2:3" x14ac:dyDescent="0.25">
      <c r="B793" s="163">
        <f t="shared" si="9"/>
        <v>791</v>
      </c>
      <c r="C793" s="165" t="s">
        <v>1968</v>
      </c>
    </row>
    <row r="794" spans="2:3" x14ac:dyDescent="0.25">
      <c r="B794" s="163">
        <f t="shared" si="9"/>
        <v>792</v>
      </c>
      <c r="C794" s="164" t="s">
        <v>1974</v>
      </c>
    </row>
    <row r="795" spans="2:3" x14ac:dyDescent="0.25">
      <c r="B795" s="163">
        <f t="shared" si="9"/>
        <v>793</v>
      </c>
    </row>
    <row r="796" spans="2:3" x14ac:dyDescent="0.25">
      <c r="B796" s="163">
        <f t="shared" si="9"/>
        <v>794</v>
      </c>
      <c r="C796" s="162"/>
    </row>
    <row r="797" spans="2:3" x14ac:dyDescent="0.25">
      <c r="B797" s="163">
        <f t="shared" si="9"/>
        <v>795</v>
      </c>
      <c r="C797" s="164" t="s">
        <v>1991</v>
      </c>
    </row>
    <row r="798" spans="2:3" x14ac:dyDescent="0.25">
      <c r="B798" s="163">
        <f t="shared" si="9"/>
        <v>796</v>
      </c>
      <c r="C798" s="165" t="s">
        <v>1981</v>
      </c>
    </row>
    <row r="799" spans="2:3" x14ac:dyDescent="0.25">
      <c r="B799" s="163">
        <f t="shared" ref="B799:B805" si="14">B798+1</f>
        <v>797</v>
      </c>
      <c r="C799" s="165" t="s">
        <v>1968</v>
      </c>
    </row>
    <row r="800" spans="2:3" x14ac:dyDescent="0.25">
      <c r="B800" s="163">
        <f t="shared" si="14"/>
        <v>798</v>
      </c>
      <c r="C800" s="165" t="s">
        <v>1987</v>
      </c>
    </row>
    <row r="801" spans="2:3" x14ac:dyDescent="0.25">
      <c r="B801" s="163">
        <f t="shared" si="14"/>
        <v>799</v>
      </c>
      <c r="C801" s="165" t="s">
        <v>1635</v>
      </c>
    </row>
    <row r="802" spans="2:3" x14ac:dyDescent="0.25">
      <c r="B802" s="163">
        <f t="shared" si="14"/>
        <v>800</v>
      </c>
      <c r="C802" s="165" t="s">
        <v>1984</v>
      </c>
    </row>
    <row r="803" spans="2:3" x14ac:dyDescent="0.25">
      <c r="B803" s="163">
        <f t="shared" si="14"/>
        <v>801</v>
      </c>
      <c r="C803" s="165" t="s">
        <v>1968</v>
      </c>
    </row>
    <row r="804" spans="2:3" x14ac:dyDescent="0.25">
      <c r="B804" s="163">
        <f t="shared" si="14"/>
        <v>802</v>
      </c>
      <c r="C804" s="164" t="s">
        <v>1974</v>
      </c>
    </row>
    <row r="805" spans="2:3" x14ac:dyDescent="0.25">
      <c r="B805" s="163">
        <f t="shared" si="14"/>
        <v>803</v>
      </c>
      <c r="C805" s="162"/>
    </row>
    <row r="806" spans="2:3" x14ac:dyDescent="0.25">
      <c r="B806" s="163">
        <f t="shared" ref="B806:B807" si="15">B805+1</f>
        <v>804</v>
      </c>
      <c r="C806" s="162"/>
    </row>
    <row r="807" spans="2:3" x14ac:dyDescent="0.25">
      <c r="B807" s="163">
        <f t="shared" si="15"/>
        <v>805</v>
      </c>
      <c r="C807" s="164" t="s">
        <v>1992</v>
      </c>
    </row>
    <row r="808" spans="2:3" x14ac:dyDescent="0.25">
      <c r="B808" s="163">
        <f t="shared" si="9"/>
        <v>806</v>
      </c>
      <c r="C808" s="165" t="s">
        <v>1982</v>
      </c>
    </row>
    <row r="809" spans="2:3" x14ac:dyDescent="0.25">
      <c r="B809" s="163">
        <f t="shared" si="9"/>
        <v>807</v>
      </c>
      <c r="C809" s="165" t="s">
        <v>1968</v>
      </c>
    </row>
    <row r="810" spans="2:3" x14ac:dyDescent="0.25">
      <c r="B810" s="163">
        <f t="shared" si="9"/>
        <v>808</v>
      </c>
      <c r="C810" s="165" t="s">
        <v>1987</v>
      </c>
    </row>
    <row r="811" spans="2:3" x14ac:dyDescent="0.25">
      <c r="B811" s="163">
        <f t="shared" si="9"/>
        <v>809</v>
      </c>
      <c r="C811" s="165" t="s">
        <v>1635</v>
      </c>
    </row>
    <row r="812" spans="2:3" x14ac:dyDescent="0.25">
      <c r="B812" s="163">
        <f t="shared" si="9"/>
        <v>810</v>
      </c>
      <c r="C812" s="165" t="s">
        <v>1989</v>
      </c>
    </row>
    <row r="813" spans="2:3" x14ac:dyDescent="0.25">
      <c r="B813" s="163">
        <f t="shared" si="9"/>
        <v>811</v>
      </c>
      <c r="C813" s="165" t="s">
        <v>1968</v>
      </c>
    </row>
    <row r="814" spans="2:3" x14ac:dyDescent="0.25">
      <c r="B814" s="163">
        <f t="shared" si="9"/>
        <v>812</v>
      </c>
      <c r="C814" s="164" t="s">
        <v>1974</v>
      </c>
    </row>
    <row r="815" spans="2:3" x14ac:dyDescent="0.25">
      <c r="B815" s="163">
        <f t="shared" si="9"/>
        <v>813</v>
      </c>
      <c r="C815" s="162"/>
    </row>
    <row r="816" spans="2:3" x14ac:dyDescent="0.25">
      <c r="B816" s="163">
        <f t="shared" si="9"/>
        <v>814</v>
      </c>
      <c r="C816" s="162"/>
    </row>
    <row r="817" spans="2:3" x14ac:dyDescent="0.25">
      <c r="B817" s="163">
        <f t="shared" si="9"/>
        <v>815</v>
      </c>
      <c r="C817" s="162"/>
    </row>
    <row r="818" spans="2:3" x14ac:dyDescent="0.25">
      <c r="B818" s="163">
        <f t="shared" si="9"/>
        <v>816</v>
      </c>
      <c r="C818" s="164" t="s">
        <v>2105</v>
      </c>
    </row>
    <row r="819" spans="2:3" x14ac:dyDescent="0.25">
      <c r="B819" s="163">
        <f t="shared" si="9"/>
        <v>817</v>
      </c>
      <c r="C819" s="165" t="s">
        <v>2103</v>
      </c>
    </row>
    <row r="820" spans="2:3" x14ac:dyDescent="0.25">
      <c r="B820" s="163">
        <f t="shared" si="9"/>
        <v>818</v>
      </c>
      <c r="C820" s="165" t="s">
        <v>1968</v>
      </c>
    </row>
    <row r="821" spans="2:3" x14ac:dyDescent="0.25">
      <c r="B821" s="163">
        <f t="shared" si="9"/>
        <v>819</v>
      </c>
      <c r="C821" s="164" t="s">
        <v>1974</v>
      </c>
    </row>
    <row r="822" spans="2:3" x14ac:dyDescent="0.25">
      <c r="B822" s="163">
        <f t="shared" si="9"/>
        <v>820</v>
      </c>
      <c r="C822" s="162"/>
    </row>
    <row r="823" spans="2:3" x14ac:dyDescent="0.25">
      <c r="B823" s="163">
        <f t="shared" si="9"/>
        <v>821</v>
      </c>
      <c r="C823" s="162"/>
    </row>
    <row r="824" spans="2:3" x14ac:dyDescent="0.25">
      <c r="B824" s="163">
        <f t="shared" si="9"/>
        <v>822</v>
      </c>
      <c r="C824" s="162"/>
    </row>
    <row r="825" spans="2:3" ht="15.75" thickBot="1" x14ac:dyDescent="0.3">
      <c r="B825" s="163">
        <f t="shared" si="9"/>
        <v>823</v>
      </c>
      <c r="C825" s="211"/>
    </row>
    <row r="826" spans="2:3" x14ac:dyDescent="0.25">
      <c r="B826" s="163">
        <f t="shared" si="9"/>
        <v>824</v>
      </c>
    </row>
    <row r="827" spans="2:3" x14ac:dyDescent="0.25">
      <c r="B827" s="163">
        <f t="shared" si="9"/>
        <v>825</v>
      </c>
      <c r="C827" s="162"/>
    </row>
    <row r="828" spans="2:3" x14ac:dyDescent="0.25">
      <c r="B828" s="163">
        <f t="shared" si="9"/>
        <v>826</v>
      </c>
      <c r="C828" s="162"/>
    </row>
    <row r="829" spans="2:3" x14ac:dyDescent="0.25">
      <c r="B829" s="163">
        <f t="shared" si="9"/>
        <v>827</v>
      </c>
      <c r="C829" s="162"/>
    </row>
    <row r="830" spans="2:3" ht="15.75" thickBot="1" x14ac:dyDescent="0.3">
      <c r="B830" s="163">
        <f t="shared" si="9"/>
        <v>828</v>
      </c>
      <c r="C830" s="211"/>
    </row>
    <row r="831" spans="2:3" x14ac:dyDescent="0.25">
      <c r="B831" s="163">
        <f t="shared" si="9"/>
        <v>829</v>
      </c>
    </row>
    <row r="832" spans="2:3" x14ac:dyDescent="0.25">
      <c r="B832" s="163">
        <f t="shared" si="9"/>
        <v>830</v>
      </c>
    </row>
    <row r="833" spans="2:3" x14ac:dyDescent="0.25">
      <c r="B833" s="163">
        <f t="shared" si="9"/>
        <v>831</v>
      </c>
    </row>
    <row r="834" spans="2:3" x14ac:dyDescent="0.25">
      <c r="B834" s="163">
        <f t="shared" si="9"/>
        <v>832</v>
      </c>
    </row>
    <row r="835" spans="2:3" x14ac:dyDescent="0.25">
      <c r="B835" s="163">
        <f t="shared" si="9"/>
        <v>833</v>
      </c>
    </row>
    <row r="836" spans="2:3" x14ac:dyDescent="0.25">
      <c r="B836" s="163">
        <f t="shared" si="9"/>
        <v>834</v>
      </c>
      <c r="C836" s="162"/>
    </row>
    <row r="837" spans="2:3" x14ac:dyDescent="0.25">
      <c r="B837" s="163">
        <f t="shared" ref="B837:B847" si="16">B836+1</f>
        <v>835</v>
      </c>
      <c r="C837" s="162"/>
    </row>
    <row r="838" spans="2:3" x14ac:dyDescent="0.25">
      <c r="B838" s="163">
        <f t="shared" si="16"/>
        <v>836</v>
      </c>
      <c r="C838" s="162"/>
    </row>
    <row r="839" spans="2:3" x14ac:dyDescent="0.25">
      <c r="B839" s="163">
        <f t="shared" si="16"/>
        <v>837</v>
      </c>
      <c r="C839" s="162"/>
    </row>
    <row r="840" spans="2:3" x14ac:dyDescent="0.25">
      <c r="B840" s="163">
        <f t="shared" si="16"/>
        <v>838</v>
      </c>
      <c r="C840" s="162"/>
    </row>
    <row r="841" spans="2:3" x14ac:dyDescent="0.25">
      <c r="B841" s="163">
        <f t="shared" si="16"/>
        <v>839</v>
      </c>
      <c r="C841" s="162"/>
    </row>
    <row r="842" spans="2:3" x14ac:dyDescent="0.25">
      <c r="B842" s="163">
        <f t="shared" si="16"/>
        <v>840</v>
      </c>
      <c r="C842" s="162"/>
    </row>
    <row r="843" spans="2:3" x14ac:dyDescent="0.25">
      <c r="B843" s="163">
        <f t="shared" si="16"/>
        <v>841</v>
      </c>
    </row>
    <row r="844" spans="2:3" x14ac:dyDescent="0.25">
      <c r="B844" s="163">
        <f t="shared" si="16"/>
        <v>842</v>
      </c>
    </row>
    <row r="845" spans="2:3" x14ac:dyDescent="0.25">
      <c r="B845" s="163">
        <f t="shared" si="16"/>
        <v>843</v>
      </c>
    </row>
    <row r="846" spans="2:3" ht="15.75" thickBot="1" x14ac:dyDescent="0.3">
      <c r="B846" s="163">
        <f t="shared" si="16"/>
        <v>844</v>
      </c>
    </row>
    <row r="847" spans="2:3" x14ac:dyDescent="0.25">
      <c r="B847" s="163">
        <f t="shared" si="16"/>
        <v>845</v>
      </c>
      <c r="C847" s="210"/>
    </row>
    <row r="848" spans="2:3" x14ac:dyDescent="0.25">
      <c r="B848" s="163">
        <f t="shared" si="9"/>
        <v>846</v>
      </c>
      <c r="C848" s="162"/>
    </row>
    <row r="849" spans="2:3" x14ac:dyDescent="0.25">
      <c r="B849" s="163">
        <f t="shared" si="9"/>
        <v>847</v>
      </c>
      <c r="C849" s="162"/>
    </row>
    <row r="850" spans="2:3" ht="15.75" thickBot="1" x14ac:dyDescent="0.3">
      <c r="B850" s="163">
        <f t="shared" si="9"/>
        <v>848</v>
      </c>
      <c r="C850" s="211"/>
    </row>
    <row r="851" spans="2:3" x14ac:dyDescent="0.25">
      <c r="B851" s="163">
        <f t="shared" si="9"/>
        <v>849</v>
      </c>
    </row>
    <row r="852" spans="2:3" x14ac:dyDescent="0.25">
      <c r="B852" s="163">
        <f t="shared" si="9"/>
        <v>850</v>
      </c>
      <c r="C852" s="162"/>
    </row>
    <row r="853" spans="2:3" x14ac:dyDescent="0.25">
      <c r="B853" s="163">
        <f t="shared" si="9"/>
        <v>851</v>
      </c>
      <c r="C853" s="162"/>
    </row>
    <row r="854" spans="2:3" x14ac:dyDescent="0.25">
      <c r="B854" s="163">
        <f t="shared" si="9"/>
        <v>852</v>
      </c>
    </row>
    <row r="855" spans="2:3" x14ac:dyDescent="0.25">
      <c r="B855" s="163">
        <f t="shared" si="9"/>
        <v>853</v>
      </c>
      <c r="C855" s="162"/>
    </row>
    <row r="856" spans="2:3" x14ac:dyDescent="0.25">
      <c r="B856" s="163">
        <f t="shared" si="9"/>
        <v>854</v>
      </c>
      <c r="C856" s="162"/>
    </row>
    <row r="857" spans="2:3" x14ac:dyDescent="0.25">
      <c r="B857" s="163">
        <f t="shared" si="9"/>
        <v>855</v>
      </c>
      <c r="C857" s="162"/>
    </row>
    <row r="858" spans="2:3" x14ac:dyDescent="0.25">
      <c r="B858" s="163">
        <f t="shared" si="9"/>
        <v>856</v>
      </c>
      <c r="C858" s="162"/>
    </row>
    <row r="859" spans="2:3" x14ac:dyDescent="0.25">
      <c r="B859" s="163">
        <f t="shared" si="9"/>
        <v>857</v>
      </c>
      <c r="C859" s="162"/>
    </row>
    <row r="860" spans="2:3" x14ac:dyDescent="0.25">
      <c r="B860" s="163">
        <f t="shared" si="9"/>
        <v>858</v>
      </c>
      <c r="C860" s="162"/>
    </row>
    <row r="861" spans="2:3" ht="15.75" thickBot="1" x14ac:dyDescent="0.3">
      <c r="B861" s="163">
        <f t="shared" si="9"/>
        <v>859</v>
      </c>
      <c r="C861" s="211"/>
    </row>
    <row r="862" spans="2:3" x14ac:dyDescent="0.25">
      <c r="B862" s="163">
        <f t="shared" si="9"/>
        <v>860</v>
      </c>
    </row>
    <row r="863" spans="2:3" x14ac:dyDescent="0.25">
      <c r="B863" s="163">
        <f t="shared" ref="B863:B871" si="17">B862+1</f>
        <v>861</v>
      </c>
      <c r="C863" s="162"/>
    </row>
    <row r="864" spans="2:3" x14ac:dyDescent="0.25">
      <c r="B864" s="163">
        <f t="shared" si="17"/>
        <v>862</v>
      </c>
      <c r="C864" s="162"/>
    </row>
    <row r="865" spans="2:3" x14ac:dyDescent="0.25">
      <c r="B865" s="163">
        <f t="shared" si="17"/>
        <v>863</v>
      </c>
      <c r="C865" s="162"/>
    </row>
    <row r="866" spans="2:3" x14ac:dyDescent="0.25">
      <c r="B866" s="163">
        <f t="shared" si="17"/>
        <v>864</v>
      </c>
      <c r="C866" s="162"/>
    </row>
    <row r="867" spans="2:3" x14ac:dyDescent="0.25">
      <c r="B867" s="163">
        <f t="shared" si="17"/>
        <v>865</v>
      </c>
    </row>
    <row r="868" spans="2:3" x14ac:dyDescent="0.25">
      <c r="B868" s="163">
        <f t="shared" si="17"/>
        <v>866</v>
      </c>
    </row>
    <row r="869" spans="2:3" x14ac:dyDescent="0.25">
      <c r="B869" s="163">
        <f t="shared" si="17"/>
        <v>867</v>
      </c>
      <c r="C869" s="162"/>
    </row>
    <row r="870" spans="2:3" x14ac:dyDescent="0.25">
      <c r="B870" s="163">
        <f t="shared" si="17"/>
        <v>868</v>
      </c>
    </row>
    <row r="871" spans="2:3" x14ac:dyDescent="0.25">
      <c r="B871" s="163">
        <f t="shared" si="17"/>
        <v>869</v>
      </c>
    </row>
    <row r="872" spans="2:3" x14ac:dyDescent="0.25">
      <c r="B872" s="163">
        <f t="shared" si="9"/>
        <v>870</v>
      </c>
      <c r="C872" s="162"/>
    </row>
    <row r="873" spans="2:3" x14ac:dyDescent="0.25">
      <c r="B873" s="163">
        <f t="shared" si="9"/>
        <v>871</v>
      </c>
      <c r="C873" s="162"/>
    </row>
    <row r="874" spans="2:3" ht="15.75" thickBot="1" x14ac:dyDescent="0.3">
      <c r="B874" s="163">
        <f t="shared" si="9"/>
        <v>872</v>
      </c>
      <c r="C874" s="211"/>
    </row>
    <row r="875" spans="2:3" x14ac:dyDescent="0.25">
      <c r="B875" s="163">
        <f t="shared" si="9"/>
        <v>873</v>
      </c>
    </row>
    <row r="876" spans="2:3" x14ac:dyDescent="0.25">
      <c r="B876" s="163">
        <f t="shared" si="9"/>
        <v>874</v>
      </c>
      <c r="C876" s="162"/>
    </row>
    <row r="877" spans="2:3" x14ac:dyDescent="0.25">
      <c r="B877" s="163">
        <f t="shared" si="9"/>
        <v>875</v>
      </c>
      <c r="C877" s="162"/>
    </row>
    <row r="878" spans="2:3" ht="15.75" thickBot="1" x14ac:dyDescent="0.3">
      <c r="B878" s="163">
        <f t="shared" si="9"/>
        <v>876</v>
      </c>
      <c r="C878" s="211"/>
    </row>
    <row r="879" spans="2:3" x14ac:dyDescent="0.25">
      <c r="B879" s="163">
        <f t="shared" si="9"/>
        <v>877</v>
      </c>
    </row>
    <row r="880" spans="2:3" x14ac:dyDescent="0.25">
      <c r="B880" s="163">
        <f t="shared" si="9"/>
        <v>878</v>
      </c>
      <c r="C880" s="162"/>
    </row>
    <row r="881" spans="2:3" x14ac:dyDescent="0.25">
      <c r="B881" s="163">
        <f t="shared" si="9"/>
        <v>879</v>
      </c>
      <c r="C881" s="162"/>
    </row>
    <row r="882" spans="2:3" ht="15.75" thickBot="1" x14ac:dyDescent="0.3">
      <c r="B882" s="163">
        <f t="shared" si="9"/>
        <v>880</v>
      </c>
      <c r="C882" s="211"/>
    </row>
    <row r="883" spans="2:3" x14ac:dyDescent="0.25">
      <c r="B883" s="163">
        <f t="shared" si="9"/>
        <v>881</v>
      </c>
    </row>
    <row r="884" spans="2:3" x14ac:dyDescent="0.25">
      <c r="B884" s="163">
        <f t="shared" si="9"/>
        <v>882</v>
      </c>
    </row>
    <row r="885" spans="2:3" ht="15.75" thickBot="1" x14ac:dyDescent="0.3">
      <c r="B885" s="163">
        <f t="shared" si="9"/>
        <v>883</v>
      </c>
    </row>
    <row r="886" spans="2:3" x14ac:dyDescent="0.25">
      <c r="B886" s="163">
        <f t="shared" si="9"/>
        <v>884</v>
      </c>
      <c r="C886" s="210"/>
    </row>
    <row r="887" spans="2:3" x14ac:dyDescent="0.25">
      <c r="B887" s="163">
        <f t="shared" si="9"/>
        <v>885</v>
      </c>
      <c r="C887" s="162"/>
    </row>
    <row r="888" spans="2:3" x14ac:dyDescent="0.25">
      <c r="B888" s="163">
        <f t="shared" si="9"/>
        <v>886</v>
      </c>
      <c r="C888" s="162"/>
    </row>
    <row r="889" spans="2:3" x14ac:dyDescent="0.25">
      <c r="B889" s="163">
        <f t="shared" si="9"/>
        <v>887</v>
      </c>
      <c r="C889" s="162"/>
    </row>
    <row r="890" spans="2:3" x14ac:dyDescent="0.25">
      <c r="B890" s="163">
        <f t="shared" si="9"/>
        <v>888</v>
      </c>
    </row>
    <row r="891" spans="2:3" x14ac:dyDescent="0.25">
      <c r="B891" s="163">
        <f t="shared" si="9"/>
        <v>889</v>
      </c>
      <c r="C891" s="162"/>
    </row>
    <row r="892" spans="2:3" x14ac:dyDescent="0.25">
      <c r="B892" s="163">
        <f t="shared" si="9"/>
        <v>890</v>
      </c>
      <c r="C892" s="162"/>
    </row>
    <row r="893" spans="2:3" x14ac:dyDescent="0.25">
      <c r="B893" s="163">
        <f t="shared" si="9"/>
        <v>891</v>
      </c>
      <c r="C893" s="162"/>
    </row>
    <row r="894" spans="2:3" x14ac:dyDescent="0.25">
      <c r="B894" s="163">
        <f t="shared" si="9"/>
        <v>892</v>
      </c>
      <c r="C894" s="162"/>
    </row>
    <row r="895" spans="2:3" ht="15.75" thickBot="1" x14ac:dyDescent="0.3">
      <c r="B895" s="163">
        <f t="shared" si="9"/>
        <v>893</v>
      </c>
      <c r="C895" s="211"/>
    </row>
    <row r="896" spans="2:3" x14ac:dyDescent="0.25">
      <c r="B896" s="163">
        <f t="shared" si="9"/>
        <v>894</v>
      </c>
    </row>
    <row r="897" spans="2:3" x14ac:dyDescent="0.25">
      <c r="B897" s="163">
        <f t="shared" si="9"/>
        <v>895</v>
      </c>
      <c r="C897" s="162"/>
    </row>
    <row r="898" spans="2:3" x14ac:dyDescent="0.25">
      <c r="B898" s="163">
        <f t="shared" si="9"/>
        <v>896</v>
      </c>
      <c r="C898" s="162"/>
    </row>
    <row r="899" spans="2:3" x14ac:dyDescent="0.25">
      <c r="B899" s="163">
        <f t="shared" si="9"/>
        <v>897</v>
      </c>
      <c r="C899" s="162"/>
    </row>
    <row r="900" spans="2:3" x14ac:dyDescent="0.25">
      <c r="B900" s="163">
        <f t="shared" si="9"/>
        <v>898</v>
      </c>
      <c r="C900" s="162"/>
    </row>
    <row r="901" spans="2:3" x14ac:dyDescent="0.25">
      <c r="B901" s="163">
        <f t="shared" si="9"/>
        <v>899</v>
      </c>
    </row>
    <row r="902" spans="2:3" x14ac:dyDescent="0.25">
      <c r="B902" s="163">
        <f t="shared" si="9"/>
        <v>900</v>
      </c>
      <c r="C902" s="162"/>
    </row>
    <row r="903" spans="2:3" x14ac:dyDescent="0.25">
      <c r="B903" s="163">
        <f t="shared" si="9"/>
        <v>901</v>
      </c>
      <c r="C903" s="162"/>
    </row>
    <row r="904" spans="2:3" x14ac:dyDescent="0.25">
      <c r="B904" s="163">
        <f t="shared" si="9"/>
        <v>902</v>
      </c>
    </row>
    <row r="905" spans="2:3" x14ac:dyDescent="0.25">
      <c r="B905" s="163">
        <f t="shared" si="9"/>
        <v>903</v>
      </c>
    </row>
    <row r="906" spans="2:3" x14ac:dyDescent="0.25">
      <c r="B906" s="163">
        <f t="shared" si="9"/>
        <v>904</v>
      </c>
      <c r="C906" s="162"/>
    </row>
    <row r="907" spans="2:3" x14ac:dyDescent="0.25">
      <c r="B907" s="163">
        <f t="shared" si="9"/>
        <v>905</v>
      </c>
      <c r="C907" s="162"/>
    </row>
    <row r="908" spans="2:3" x14ac:dyDescent="0.25">
      <c r="B908" s="163">
        <f t="shared" si="9"/>
        <v>906</v>
      </c>
      <c r="C908" s="162"/>
    </row>
    <row r="909" spans="2:3" x14ac:dyDescent="0.25">
      <c r="B909" s="163">
        <f t="shared" si="9"/>
        <v>907</v>
      </c>
      <c r="C909" s="162"/>
    </row>
    <row r="910" spans="2:3" x14ac:dyDescent="0.25">
      <c r="B910" s="163">
        <f t="shared" si="9"/>
        <v>908</v>
      </c>
      <c r="C910" s="162"/>
    </row>
    <row r="911" spans="2:3" x14ac:dyDescent="0.25">
      <c r="B911" s="163">
        <f t="shared" si="9"/>
        <v>909</v>
      </c>
      <c r="C911" s="162"/>
    </row>
    <row r="912" spans="2:3" x14ac:dyDescent="0.25">
      <c r="B912" s="163">
        <f t="shared" si="9"/>
        <v>910</v>
      </c>
      <c r="C912" s="162"/>
    </row>
    <row r="913" spans="2:3" x14ac:dyDescent="0.25">
      <c r="B913" s="163">
        <f t="shared" si="9"/>
        <v>911</v>
      </c>
      <c r="C913" s="162"/>
    </row>
    <row r="914" spans="2:3" ht="15.75" thickBot="1" x14ac:dyDescent="0.3">
      <c r="B914" s="163">
        <f t="shared" si="9"/>
        <v>912</v>
      </c>
      <c r="C914" s="211"/>
    </row>
    <row r="915" spans="2:3" x14ac:dyDescent="0.25">
      <c r="B915" s="163">
        <f t="shared" si="9"/>
        <v>913</v>
      </c>
    </row>
    <row r="916" spans="2:3" x14ac:dyDescent="0.25">
      <c r="B916" s="163">
        <f t="shared" si="9"/>
        <v>914</v>
      </c>
      <c r="C916" s="162"/>
    </row>
    <row r="917" spans="2:3" x14ac:dyDescent="0.25">
      <c r="B917" s="163">
        <f t="shared" si="9"/>
        <v>915</v>
      </c>
      <c r="C917" s="162"/>
    </row>
    <row r="918" spans="2:3" x14ac:dyDescent="0.25">
      <c r="B918" s="163">
        <f t="shared" si="9"/>
        <v>916</v>
      </c>
      <c r="C918" s="162"/>
    </row>
    <row r="919" spans="2:3" x14ac:dyDescent="0.25">
      <c r="B919" s="163">
        <f t="shared" si="9"/>
        <v>917</v>
      </c>
    </row>
    <row r="920" spans="2:3" x14ac:dyDescent="0.25">
      <c r="B920" s="163">
        <f t="shared" si="9"/>
        <v>918</v>
      </c>
      <c r="C920" s="162"/>
    </row>
    <row r="921" spans="2:3" x14ac:dyDescent="0.25">
      <c r="B921" s="163">
        <f t="shared" si="9"/>
        <v>919</v>
      </c>
      <c r="C921" s="162"/>
    </row>
    <row r="922" spans="2:3" x14ac:dyDescent="0.25">
      <c r="B922" s="163">
        <f t="shared" si="9"/>
        <v>920</v>
      </c>
      <c r="C922" s="162"/>
    </row>
    <row r="923" spans="2:3" x14ac:dyDescent="0.25">
      <c r="B923" s="163">
        <f t="shared" si="9"/>
        <v>921</v>
      </c>
      <c r="C923" s="162"/>
    </row>
    <row r="924" spans="2:3" x14ac:dyDescent="0.25">
      <c r="B924" s="163">
        <f t="shared" si="9"/>
        <v>922</v>
      </c>
      <c r="C924" s="162"/>
    </row>
    <row r="925" spans="2:3" x14ac:dyDescent="0.25">
      <c r="B925" s="163">
        <f t="shared" si="9"/>
        <v>923</v>
      </c>
      <c r="C925" s="162"/>
    </row>
    <row r="926" spans="2:3" ht="15.75" thickBot="1" x14ac:dyDescent="0.3">
      <c r="B926" s="163">
        <f t="shared" si="9"/>
        <v>924</v>
      </c>
      <c r="C926" s="211"/>
    </row>
    <row r="927" spans="2:3" x14ac:dyDescent="0.25">
      <c r="B927" s="163">
        <f t="shared" si="9"/>
        <v>925</v>
      </c>
    </row>
    <row r="928" spans="2:3" x14ac:dyDescent="0.25">
      <c r="B928" s="163">
        <f t="shared" si="9"/>
        <v>926</v>
      </c>
      <c r="C928" s="162"/>
    </row>
    <row r="929" spans="2:3" x14ac:dyDescent="0.25">
      <c r="B929" s="163">
        <f t="shared" si="9"/>
        <v>927</v>
      </c>
      <c r="C929" s="162"/>
    </row>
    <row r="930" spans="2:3" x14ac:dyDescent="0.25">
      <c r="B930" s="163">
        <f t="shared" si="9"/>
        <v>928</v>
      </c>
      <c r="C930" s="162"/>
    </row>
    <row r="931" spans="2:3" ht="15.75" thickBot="1" x14ac:dyDescent="0.3">
      <c r="B931" s="163">
        <f t="shared" si="9"/>
        <v>929</v>
      </c>
      <c r="C931" s="211"/>
    </row>
    <row r="932" spans="2:3" x14ac:dyDescent="0.25">
      <c r="B932" s="163">
        <f t="shared" si="9"/>
        <v>930</v>
      </c>
    </row>
    <row r="933" spans="2:3" x14ac:dyDescent="0.25">
      <c r="B933" s="163">
        <f t="shared" si="9"/>
        <v>931</v>
      </c>
      <c r="C933" s="162"/>
    </row>
    <row r="934" spans="2:3" x14ac:dyDescent="0.25">
      <c r="B934" s="163">
        <f t="shared" si="9"/>
        <v>932</v>
      </c>
      <c r="C934" s="162"/>
    </row>
    <row r="935" spans="2:3" x14ac:dyDescent="0.25">
      <c r="B935" s="163">
        <f t="shared" si="9"/>
        <v>933</v>
      </c>
      <c r="C935" s="162"/>
    </row>
    <row r="936" spans="2:3" ht="15.75" thickBot="1" x14ac:dyDescent="0.3">
      <c r="B936" s="163">
        <f t="shared" si="9"/>
        <v>934</v>
      </c>
      <c r="C936" s="211"/>
    </row>
    <row r="937" spans="2:3" x14ac:dyDescent="0.25">
      <c r="B937" s="163">
        <f t="shared" si="9"/>
        <v>935</v>
      </c>
    </row>
    <row r="938" spans="2:3" ht="15.75" thickBot="1" x14ac:dyDescent="0.3">
      <c r="B938" s="163">
        <f t="shared" si="9"/>
        <v>936</v>
      </c>
    </row>
    <row r="939" spans="2:3" x14ac:dyDescent="0.25">
      <c r="B939" s="163">
        <f t="shared" si="9"/>
        <v>937</v>
      </c>
      <c r="C939" s="210"/>
    </row>
    <row r="940" spans="2:3" x14ac:dyDescent="0.25">
      <c r="B940" s="163">
        <f t="shared" si="9"/>
        <v>938</v>
      </c>
      <c r="C940" s="162"/>
    </row>
    <row r="941" spans="2:3" x14ac:dyDescent="0.25">
      <c r="B941" s="163">
        <f t="shared" si="9"/>
        <v>939</v>
      </c>
      <c r="C941" s="162"/>
    </row>
    <row r="942" spans="2:3" ht="15.75" thickBot="1" x14ac:dyDescent="0.3">
      <c r="B942" s="163">
        <f t="shared" si="9"/>
        <v>940</v>
      </c>
      <c r="C942" s="211"/>
    </row>
    <row r="943" spans="2:3" x14ac:dyDescent="0.25">
      <c r="B943" s="163">
        <f t="shared" si="9"/>
        <v>941</v>
      </c>
    </row>
    <row r="944" spans="2:3" x14ac:dyDescent="0.25">
      <c r="B944" s="163">
        <f t="shared" si="9"/>
        <v>942</v>
      </c>
      <c r="C944" s="162"/>
    </row>
    <row r="945" spans="2:3" x14ac:dyDescent="0.25">
      <c r="B945" s="163">
        <f t="shared" si="9"/>
        <v>943</v>
      </c>
      <c r="C945" s="162"/>
    </row>
    <row r="946" spans="2:3" x14ac:dyDescent="0.25">
      <c r="B946" s="163">
        <f t="shared" si="9"/>
        <v>944</v>
      </c>
    </row>
    <row r="947" spans="2:3" x14ac:dyDescent="0.25">
      <c r="B947" s="163">
        <f t="shared" si="9"/>
        <v>945</v>
      </c>
      <c r="C947" s="162"/>
    </row>
    <row r="948" spans="2:3" x14ac:dyDescent="0.25">
      <c r="B948" s="163">
        <f t="shared" si="9"/>
        <v>946</v>
      </c>
      <c r="C948" s="162"/>
    </row>
    <row r="949" spans="2:3" x14ac:dyDescent="0.25">
      <c r="B949" s="163">
        <f t="shared" si="9"/>
        <v>947</v>
      </c>
      <c r="C949" s="162"/>
    </row>
    <row r="950" spans="2:3" x14ac:dyDescent="0.25">
      <c r="B950" s="163">
        <f t="shared" si="9"/>
        <v>948</v>
      </c>
      <c r="C950" s="162"/>
    </row>
    <row r="951" spans="2:3" x14ac:dyDescent="0.25">
      <c r="B951" s="163">
        <f t="shared" si="9"/>
        <v>949</v>
      </c>
      <c r="C951" s="162"/>
    </row>
    <row r="952" spans="2:3" x14ac:dyDescent="0.25">
      <c r="B952" s="163">
        <f t="shared" si="9"/>
        <v>950</v>
      </c>
      <c r="C952" s="162"/>
    </row>
    <row r="953" spans="2:3" ht="15.75" thickBot="1" x14ac:dyDescent="0.3">
      <c r="B953" s="163">
        <f t="shared" si="9"/>
        <v>951</v>
      </c>
      <c r="C953" s="211"/>
    </row>
    <row r="954" spans="2:3" x14ac:dyDescent="0.25">
      <c r="B954" s="163">
        <f t="shared" si="9"/>
        <v>952</v>
      </c>
    </row>
    <row r="955" spans="2:3" x14ac:dyDescent="0.25">
      <c r="B955" s="163">
        <f t="shared" si="9"/>
        <v>953</v>
      </c>
      <c r="C955" s="162"/>
    </row>
    <row r="956" spans="2:3" x14ac:dyDescent="0.25">
      <c r="B956" s="163">
        <f t="shared" si="9"/>
        <v>954</v>
      </c>
      <c r="C956" s="162"/>
    </row>
    <row r="957" spans="2:3" ht="15.75" thickBot="1" x14ac:dyDescent="0.3">
      <c r="B957" s="163">
        <f t="shared" si="9"/>
        <v>955</v>
      </c>
      <c r="C957" s="211"/>
    </row>
    <row r="958" spans="2:3" x14ac:dyDescent="0.25">
      <c r="B958" s="163">
        <f t="shared" si="9"/>
        <v>956</v>
      </c>
    </row>
    <row r="959" spans="2:3" x14ac:dyDescent="0.25">
      <c r="B959" s="163">
        <f t="shared" si="9"/>
        <v>957</v>
      </c>
      <c r="C959" s="162"/>
    </row>
    <row r="960" spans="2:3" x14ac:dyDescent="0.25">
      <c r="B960" s="163">
        <f t="shared" si="9"/>
        <v>958</v>
      </c>
      <c r="C960" s="162"/>
    </row>
    <row r="961" spans="2:3" ht="15.75" thickBot="1" x14ac:dyDescent="0.3">
      <c r="B961" s="163">
        <f t="shared" si="9"/>
        <v>959</v>
      </c>
      <c r="C961" s="211"/>
    </row>
    <row r="962" spans="2:3" x14ac:dyDescent="0.25">
      <c r="B962" s="163">
        <f t="shared" si="9"/>
        <v>960</v>
      </c>
    </row>
    <row r="963" spans="2:3" x14ac:dyDescent="0.25">
      <c r="B963" s="163">
        <f t="shared" si="9"/>
        <v>961</v>
      </c>
      <c r="C963" s="162"/>
    </row>
    <row r="964" spans="2:3" x14ac:dyDescent="0.25">
      <c r="B964" s="163">
        <f t="shared" si="9"/>
        <v>962</v>
      </c>
      <c r="C964" s="162"/>
    </row>
    <row r="965" spans="2:3" ht="15.75" thickBot="1" x14ac:dyDescent="0.3">
      <c r="B965" s="163">
        <f t="shared" si="9"/>
        <v>963</v>
      </c>
      <c r="C965" s="211"/>
    </row>
    <row r="966" spans="2:3" x14ac:dyDescent="0.25">
      <c r="B966" s="163">
        <f t="shared" si="9"/>
        <v>964</v>
      </c>
    </row>
    <row r="967" spans="2:3" x14ac:dyDescent="0.25">
      <c r="B967" s="163">
        <f t="shared" si="9"/>
        <v>965</v>
      </c>
    </row>
    <row r="968" spans="2:3" x14ac:dyDescent="0.25">
      <c r="B968" s="163">
        <f t="shared" si="9"/>
        <v>966</v>
      </c>
    </row>
    <row r="969" spans="2:3" x14ac:dyDescent="0.25">
      <c r="B969" s="163">
        <f t="shared" si="9"/>
        <v>967</v>
      </c>
    </row>
    <row r="970" spans="2:3" x14ac:dyDescent="0.25">
      <c r="B970" s="163">
        <f t="shared" si="9"/>
        <v>968</v>
      </c>
    </row>
    <row r="971" spans="2:3" x14ac:dyDescent="0.25">
      <c r="B971" s="163">
        <f t="shared" si="9"/>
        <v>969</v>
      </c>
    </row>
    <row r="972" spans="2:3" x14ac:dyDescent="0.25">
      <c r="B972" s="163">
        <f t="shared" si="9"/>
        <v>970</v>
      </c>
    </row>
    <row r="973" spans="2:3" x14ac:dyDescent="0.25">
      <c r="B973" s="163">
        <f t="shared" si="9"/>
        <v>971</v>
      </c>
      <c r="C973" s="166" t="s">
        <v>229</v>
      </c>
    </row>
    <row r="974" spans="2:3" x14ac:dyDescent="0.25">
      <c r="B974" s="163">
        <f t="shared" si="9"/>
        <v>972</v>
      </c>
    </row>
    <row r="975" spans="2:3" x14ac:dyDescent="0.25">
      <c r="B975" s="163">
        <f t="shared" si="9"/>
        <v>973</v>
      </c>
    </row>
    <row r="976" spans="2:3" x14ac:dyDescent="0.25">
      <c r="B976" s="163">
        <f t="shared" si="9"/>
        <v>974</v>
      </c>
    </row>
    <row r="977" spans="2:3" x14ac:dyDescent="0.25">
      <c r="B977" s="163">
        <f t="shared" si="9"/>
        <v>975</v>
      </c>
    </row>
    <row r="978" spans="2:3" x14ac:dyDescent="0.25">
      <c r="B978" s="163">
        <f t="shared" ref="B978:B981" si="18">B977+1</f>
        <v>976</v>
      </c>
    </row>
    <row r="979" spans="2:3" x14ac:dyDescent="0.25">
      <c r="B979" s="163">
        <f t="shared" si="18"/>
        <v>977</v>
      </c>
    </row>
    <row r="980" spans="2:3" x14ac:dyDescent="0.25">
      <c r="B980" s="163">
        <f t="shared" si="18"/>
        <v>978</v>
      </c>
    </row>
    <row r="981" spans="2:3" x14ac:dyDescent="0.25">
      <c r="B981" s="163">
        <f t="shared" si="18"/>
        <v>979</v>
      </c>
    </row>
    <row r="982" spans="2:3" x14ac:dyDescent="0.25">
      <c r="B982" s="163">
        <f t="shared" ref="B982:B1049" si="19">B981+1</f>
        <v>980</v>
      </c>
    </row>
    <row r="983" spans="2:3" x14ac:dyDescent="0.25">
      <c r="B983" s="163">
        <f t="shared" si="19"/>
        <v>981</v>
      </c>
      <c r="C983" s="166" t="s">
        <v>231</v>
      </c>
    </row>
    <row r="984" spans="2:3" x14ac:dyDescent="0.25">
      <c r="B984" s="163">
        <f t="shared" si="19"/>
        <v>982</v>
      </c>
    </row>
    <row r="985" spans="2:3" x14ac:dyDescent="0.25">
      <c r="B985" s="163">
        <f t="shared" si="19"/>
        <v>983</v>
      </c>
    </row>
    <row r="986" spans="2:3" x14ac:dyDescent="0.25">
      <c r="B986" s="163">
        <f t="shared" si="19"/>
        <v>984</v>
      </c>
    </row>
    <row r="987" spans="2:3" x14ac:dyDescent="0.25">
      <c r="B987" s="163">
        <f t="shared" si="19"/>
        <v>985</v>
      </c>
      <c r="C987" s="164" t="s">
        <v>232</v>
      </c>
    </row>
    <row r="988" spans="2:3" x14ac:dyDescent="0.25">
      <c r="B988" s="163">
        <f t="shared" si="19"/>
        <v>986</v>
      </c>
      <c r="C988" s="161" t="s">
        <v>233</v>
      </c>
    </row>
    <row r="989" spans="2:3" x14ac:dyDescent="0.25">
      <c r="B989" s="163">
        <f t="shared" si="19"/>
        <v>987</v>
      </c>
      <c r="C989" s="165" t="s">
        <v>234</v>
      </c>
    </row>
    <row r="990" spans="2:3" x14ac:dyDescent="0.25">
      <c r="B990" s="163">
        <f t="shared" si="19"/>
        <v>988</v>
      </c>
      <c r="C990" s="165" t="s">
        <v>1636</v>
      </c>
    </row>
    <row r="991" spans="2:3" x14ac:dyDescent="0.25">
      <c r="B991" s="163">
        <f t="shared" si="19"/>
        <v>989</v>
      </c>
      <c r="C991" s="164" t="s">
        <v>235</v>
      </c>
    </row>
    <row r="992" spans="2:3" x14ac:dyDescent="0.25">
      <c r="B992" s="163">
        <f t="shared" si="19"/>
        <v>990</v>
      </c>
    </row>
    <row r="993" spans="2:3" x14ac:dyDescent="0.25">
      <c r="B993" s="163">
        <f t="shared" si="19"/>
        <v>991</v>
      </c>
    </row>
    <row r="994" spans="2:3" x14ac:dyDescent="0.25">
      <c r="B994" s="163">
        <f t="shared" si="19"/>
        <v>992</v>
      </c>
    </row>
    <row r="995" spans="2:3" x14ac:dyDescent="0.25">
      <c r="B995" s="163">
        <f t="shared" si="19"/>
        <v>993</v>
      </c>
    </row>
    <row r="996" spans="2:3" x14ac:dyDescent="0.25">
      <c r="B996" s="163">
        <f t="shared" si="19"/>
        <v>994</v>
      </c>
    </row>
    <row r="997" spans="2:3" x14ac:dyDescent="0.25">
      <c r="B997" s="163">
        <f t="shared" si="19"/>
        <v>995</v>
      </c>
    </row>
    <row r="998" spans="2:3" x14ac:dyDescent="0.25">
      <c r="B998" s="163">
        <f t="shared" si="19"/>
        <v>996</v>
      </c>
      <c r="C998" s="164" t="s">
        <v>236</v>
      </c>
    </row>
    <row r="999" spans="2:3" x14ac:dyDescent="0.25">
      <c r="B999" s="163">
        <f t="shared" si="19"/>
        <v>997</v>
      </c>
      <c r="C999" s="161" t="s">
        <v>237</v>
      </c>
    </row>
    <row r="1000" spans="2:3" x14ac:dyDescent="0.25">
      <c r="B1000" s="163">
        <f t="shared" si="19"/>
        <v>998</v>
      </c>
      <c r="C1000" s="165" t="s">
        <v>190</v>
      </c>
    </row>
    <row r="1001" spans="2:3" x14ac:dyDescent="0.25">
      <c r="B1001" s="163">
        <f t="shared" si="19"/>
        <v>999</v>
      </c>
      <c r="C1001" s="164" t="s">
        <v>148</v>
      </c>
    </row>
    <row r="1002" spans="2:3" x14ac:dyDescent="0.25">
      <c r="B1002" s="163">
        <f t="shared" si="19"/>
        <v>1000</v>
      </c>
    </row>
    <row r="1003" spans="2:3" x14ac:dyDescent="0.25">
      <c r="B1003" s="163">
        <f t="shared" si="19"/>
        <v>1001</v>
      </c>
    </row>
    <row r="1004" spans="2:3" x14ac:dyDescent="0.25">
      <c r="B1004" s="163">
        <f t="shared" si="19"/>
        <v>1002</v>
      </c>
    </row>
    <row r="1005" spans="2:3" x14ac:dyDescent="0.25">
      <c r="B1005" s="163">
        <f t="shared" si="19"/>
        <v>1003</v>
      </c>
    </row>
    <row r="1006" spans="2:3" x14ac:dyDescent="0.25">
      <c r="B1006" s="163">
        <f t="shared" si="19"/>
        <v>1004</v>
      </c>
      <c r="C1006" s="164" t="s">
        <v>238</v>
      </c>
    </row>
    <row r="1007" spans="2:3" x14ac:dyDescent="0.25">
      <c r="B1007" s="163">
        <f t="shared" si="19"/>
        <v>1005</v>
      </c>
      <c r="C1007" s="165" t="s">
        <v>239</v>
      </c>
    </row>
    <row r="1008" spans="2:3" x14ac:dyDescent="0.25">
      <c r="B1008" s="163">
        <f t="shared" si="19"/>
        <v>1006</v>
      </c>
      <c r="C1008" s="196" t="s">
        <v>240</v>
      </c>
    </row>
    <row r="1009" spans="2:3" x14ac:dyDescent="0.25">
      <c r="B1009" s="163">
        <f t="shared" si="19"/>
        <v>1007</v>
      </c>
      <c r="C1009" s="165" t="s">
        <v>241</v>
      </c>
    </row>
    <row r="1010" spans="2:3" x14ac:dyDescent="0.25">
      <c r="B1010" s="163">
        <f t="shared" si="19"/>
        <v>1008</v>
      </c>
      <c r="C1010" s="196" t="s">
        <v>242</v>
      </c>
    </row>
    <row r="1011" spans="2:3" x14ac:dyDescent="0.25">
      <c r="B1011" s="163">
        <f t="shared" si="19"/>
        <v>1009</v>
      </c>
      <c r="C1011" s="165" t="s">
        <v>1637</v>
      </c>
    </row>
    <row r="1012" spans="2:3" x14ac:dyDescent="0.25">
      <c r="B1012" s="163">
        <f t="shared" si="19"/>
        <v>1010</v>
      </c>
      <c r="C1012" s="196" t="s">
        <v>1610</v>
      </c>
    </row>
    <row r="1013" spans="2:3" x14ac:dyDescent="0.25">
      <c r="B1013" s="163">
        <f t="shared" si="19"/>
        <v>1011</v>
      </c>
      <c r="C1013" s="165" t="s">
        <v>1638</v>
      </c>
    </row>
    <row r="1014" spans="2:3" x14ac:dyDescent="0.25">
      <c r="B1014" s="163">
        <f t="shared" si="19"/>
        <v>1012</v>
      </c>
      <c r="C1014" s="196" t="s">
        <v>1610</v>
      </c>
    </row>
    <row r="1015" spans="2:3" x14ac:dyDescent="0.25">
      <c r="B1015" s="163">
        <f t="shared" si="19"/>
        <v>1013</v>
      </c>
      <c r="C1015" s="165" t="s">
        <v>1530</v>
      </c>
    </row>
    <row r="1016" spans="2:3" x14ac:dyDescent="0.25">
      <c r="B1016" s="163">
        <f t="shared" si="19"/>
        <v>1014</v>
      </c>
      <c r="C1016" s="164" t="s">
        <v>148</v>
      </c>
    </row>
    <row r="1017" spans="2:3" x14ac:dyDescent="0.25">
      <c r="B1017" s="163">
        <f t="shared" si="19"/>
        <v>1015</v>
      </c>
      <c r="C1017" s="165" t="s">
        <v>1531</v>
      </c>
    </row>
    <row r="1018" spans="2:3" x14ac:dyDescent="0.25">
      <c r="B1018" s="163">
        <f t="shared" si="19"/>
        <v>1016</v>
      </c>
      <c r="C1018" s="164" t="s">
        <v>148</v>
      </c>
    </row>
    <row r="1019" spans="2:3" x14ac:dyDescent="0.25">
      <c r="B1019" s="163">
        <f t="shared" si="19"/>
        <v>1017</v>
      </c>
    </row>
    <row r="1020" spans="2:3" x14ac:dyDescent="0.25">
      <c r="B1020" s="163">
        <f t="shared" si="19"/>
        <v>1018</v>
      </c>
    </row>
    <row r="1021" spans="2:3" x14ac:dyDescent="0.25">
      <c r="B1021" s="163">
        <f t="shared" si="19"/>
        <v>1019</v>
      </c>
    </row>
    <row r="1022" spans="2:3" x14ac:dyDescent="0.25">
      <c r="B1022" s="163">
        <f t="shared" si="19"/>
        <v>1020</v>
      </c>
    </row>
    <row r="1023" spans="2:3" x14ac:dyDescent="0.25">
      <c r="B1023" s="163">
        <f t="shared" si="19"/>
        <v>1021</v>
      </c>
      <c r="C1023" s="164" t="s">
        <v>243</v>
      </c>
    </row>
    <row r="1024" spans="2:3" x14ac:dyDescent="0.25">
      <c r="B1024" s="163">
        <f t="shared" si="19"/>
        <v>1022</v>
      </c>
      <c r="C1024" s="165" t="s">
        <v>241</v>
      </c>
    </row>
    <row r="1025" spans="2:3" x14ac:dyDescent="0.25">
      <c r="B1025" s="163">
        <f t="shared" si="19"/>
        <v>1023</v>
      </c>
      <c r="C1025" s="196" t="s">
        <v>242</v>
      </c>
    </row>
    <row r="1026" spans="2:3" x14ac:dyDescent="0.25">
      <c r="B1026" s="163">
        <f t="shared" si="19"/>
        <v>1024</v>
      </c>
      <c r="C1026" s="165" t="s">
        <v>239</v>
      </c>
    </row>
    <row r="1027" spans="2:3" x14ac:dyDescent="0.25">
      <c r="B1027" s="163">
        <f t="shared" si="19"/>
        <v>1025</v>
      </c>
      <c r="C1027" s="196" t="s">
        <v>240</v>
      </c>
    </row>
    <row r="1028" spans="2:3" x14ac:dyDescent="0.25">
      <c r="B1028" s="163">
        <f t="shared" si="19"/>
        <v>1026</v>
      </c>
      <c r="C1028" s="165" t="s">
        <v>198</v>
      </c>
    </row>
    <row r="1029" spans="2:3" x14ac:dyDescent="0.25">
      <c r="B1029" s="163">
        <f t="shared" si="19"/>
        <v>1027</v>
      </c>
      <c r="C1029" s="196" t="s">
        <v>1469</v>
      </c>
    </row>
    <row r="1030" spans="2:3" x14ac:dyDescent="0.25">
      <c r="B1030" s="163">
        <f t="shared" si="19"/>
        <v>1028</v>
      </c>
      <c r="C1030" s="165" t="s">
        <v>1592</v>
      </c>
    </row>
    <row r="1031" spans="2:3" x14ac:dyDescent="0.25">
      <c r="B1031" s="163">
        <f t="shared" si="19"/>
        <v>1029</v>
      </c>
      <c r="C1031" s="196" t="s">
        <v>1472</v>
      </c>
    </row>
    <row r="1032" spans="2:3" x14ac:dyDescent="0.25">
      <c r="B1032" s="163">
        <f t="shared" si="19"/>
        <v>1030</v>
      </c>
      <c r="C1032" s="165" t="s">
        <v>1421</v>
      </c>
    </row>
    <row r="1033" spans="2:3" x14ac:dyDescent="0.25">
      <c r="B1033" s="163">
        <f t="shared" si="19"/>
        <v>1031</v>
      </c>
      <c r="C1033" s="196" t="s">
        <v>1473</v>
      </c>
    </row>
    <row r="1034" spans="2:3" x14ac:dyDescent="0.25">
      <c r="B1034" s="163">
        <f t="shared" si="19"/>
        <v>1032</v>
      </c>
      <c r="C1034" s="164" t="s">
        <v>1639</v>
      </c>
    </row>
    <row r="1035" spans="2:3" x14ac:dyDescent="0.25">
      <c r="B1035" s="163">
        <f t="shared" si="19"/>
        <v>1033</v>
      </c>
      <c r="C1035" s="165" t="s">
        <v>230</v>
      </c>
    </row>
    <row r="1036" spans="2:3" x14ac:dyDescent="0.25">
      <c r="B1036" s="163">
        <f t="shared" si="19"/>
        <v>1034</v>
      </c>
      <c r="C1036" s="165" t="s">
        <v>1640</v>
      </c>
    </row>
    <row r="1037" spans="2:3" x14ac:dyDescent="0.25">
      <c r="B1037" s="163">
        <f t="shared" si="19"/>
        <v>1035</v>
      </c>
      <c r="C1037" s="165" t="s">
        <v>1641</v>
      </c>
    </row>
    <row r="1038" spans="2:3" x14ac:dyDescent="0.25">
      <c r="B1038" s="163">
        <f t="shared" si="19"/>
        <v>1036</v>
      </c>
      <c r="C1038" s="164" t="s">
        <v>1642</v>
      </c>
    </row>
    <row r="1039" spans="2:3" x14ac:dyDescent="0.25">
      <c r="B1039" s="163">
        <f t="shared" si="19"/>
        <v>1037</v>
      </c>
      <c r="C1039" s="165" t="s">
        <v>1585</v>
      </c>
    </row>
    <row r="1040" spans="2:3" x14ac:dyDescent="0.25">
      <c r="B1040" s="163">
        <f t="shared" si="19"/>
        <v>1038</v>
      </c>
      <c r="C1040" s="161" t="s">
        <v>244</v>
      </c>
    </row>
    <row r="1041" spans="2:3" x14ac:dyDescent="0.25">
      <c r="B1041" s="163">
        <f t="shared" si="19"/>
        <v>1039</v>
      </c>
      <c r="C1041" s="165" t="s">
        <v>1643</v>
      </c>
    </row>
    <row r="1042" spans="2:3" x14ac:dyDescent="0.25">
      <c r="B1042" s="163">
        <f t="shared" si="19"/>
        <v>1040</v>
      </c>
      <c r="C1042" s="164" t="s">
        <v>1644</v>
      </c>
    </row>
    <row r="1043" spans="2:3" x14ac:dyDescent="0.25">
      <c r="B1043" s="163">
        <f t="shared" si="19"/>
        <v>1041</v>
      </c>
      <c r="C1043" s="165" t="s">
        <v>221</v>
      </c>
    </row>
    <row r="1044" spans="2:3" x14ac:dyDescent="0.25">
      <c r="B1044" s="163">
        <f t="shared" si="19"/>
        <v>1042</v>
      </c>
      <c r="C1044" s="165" t="s">
        <v>248</v>
      </c>
    </row>
    <row r="1045" spans="2:3" x14ac:dyDescent="0.25">
      <c r="B1045" s="163">
        <f t="shared" si="19"/>
        <v>1043</v>
      </c>
      <c r="C1045" s="196" t="s">
        <v>249</v>
      </c>
    </row>
    <row r="1046" spans="2:3" x14ac:dyDescent="0.25">
      <c r="B1046" s="163">
        <f t="shared" si="19"/>
        <v>1044</v>
      </c>
      <c r="C1046" s="165" t="s">
        <v>250</v>
      </c>
    </row>
    <row r="1047" spans="2:3" x14ac:dyDescent="0.25">
      <c r="B1047" s="163">
        <f t="shared" si="19"/>
        <v>1045</v>
      </c>
      <c r="C1047" s="165" t="s">
        <v>251</v>
      </c>
    </row>
    <row r="1048" spans="2:3" x14ac:dyDescent="0.25">
      <c r="B1048" s="163">
        <f t="shared" si="19"/>
        <v>1046</v>
      </c>
      <c r="C1048" s="165" t="s">
        <v>197</v>
      </c>
    </row>
    <row r="1049" spans="2:3" x14ac:dyDescent="0.25">
      <c r="B1049" s="163">
        <f t="shared" si="19"/>
        <v>1047</v>
      </c>
      <c r="C1049" s="164" t="s">
        <v>148</v>
      </c>
    </row>
    <row r="1050" spans="2:3" x14ac:dyDescent="0.25">
      <c r="B1050" s="163">
        <f t="shared" ref="B1050:B1093" si="20">B1049+1</f>
        <v>1048</v>
      </c>
    </row>
    <row r="1051" spans="2:3" x14ac:dyDescent="0.25">
      <c r="B1051" s="163">
        <f t="shared" si="20"/>
        <v>1049</v>
      </c>
    </row>
    <row r="1052" spans="2:3" x14ac:dyDescent="0.25">
      <c r="B1052" s="163">
        <f t="shared" si="20"/>
        <v>1050</v>
      </c>
    </row>
    <row r="1053" spans="2:3" x14ac:dyDescent="0.25">
      <c r="B1053" s="163">
        <f t="shared" si="20"/>
        <v>1051</v>
      </c>
    </row>
    <row r="1054" spans="2:3" x14ac:dyDescent="0.25">
      <c r="B1054" s="163">
        <f t="shared" si="20"/>
        <v>1052</v>
      </c>
    </row>
    <row r="1055" spans="2:3" x14ac:dyDescent="0.25">
      <c r="B1055" s="163">
        <f t="shared" si="20"/>
        <v>1053</v>
      </c>
      <c r="C1055" s="166" t="s">
        <v>1539</v>
      </c>
    </row>
    <row r="1056" spans="2:3" x14ac:dyDescent="0.25">
      <c r="B1056" s="163">
        <f t="shared" si="20"/>
        <v>1054</v>
      </c>
      <c r="C1056" s="164" t="s">
        <v>252</v>
      </c>
    </row>
    <row r="1057" spans="2:3" x14ac:dyDescent="0.25">
      <c r="B1057" s="163">
        <f t="shared" si="20"/>
        <v>1055</v>
      </c>
      <c r="C1057" s="165" t="s">
        <v>1547</v>
      </c>
    </row>
    <row r="1058" spans="2:3" x14ac:dyDescent="0.25">
      <c r="B1058" s="163">
        <f t="shared" si="20"/>
        <v>1056</v>
      </c>
      <c r="C1058" s="165" t="s">
        <v>1548</v>
      </c>
    </row>
    <row r="1059" spans="2:3" x14ac:dyDescent="0.25">
      <c r="B1059" s="163">
        <f t="shared" si="20"/>
        <v>1057</v>
      </c>
      <c r="C1059" s="165" t="s">
        <v>1540</v>
      </c>
    </row>
    <row r="1060" spans="2:3" x14ac:dyDescent="0.25">
      <c r="B1060" s="163">
        <f t="shared" si="20"/>
        <v>1058</v>
      </c>
      <c r="C1060" s="196" t="s">
        <v>1541</v>
      </c>
    </row>
    <row r="1061" spans="2:3" x14ac:dyDescent="0.25">
      <c r="B1061" s="163">
        <f t="shared" si="20"/>
        <v>1059</v>
      </c>
      <c r="C1061" s="165" t="s">
        <v>198</v>
      </c>
    </row>
    <row r="1062" spans="2:3" x14ac:dyDescent="0.25">
      <c r="B1062" s="163">
        <f t="shared" si="20"/>
        <v>1060</v>
      </c>
      <c r="C1062" s="196" t="s">
        <v>1645</v>
      </c>
    </row>
    <row r="1063" spans="2:3" x14ac:dyDescent="0.25">
      <c r="B1063" s="163">
        <f t="shared" si="20"/>
        <v>1061</v>
      </c>
      <c r="C1063" s="165" t="s">
        <v>239</v>
      </c>
    </row>
    <row r="1064" spans="2:3" x14ac:dyDescent="0.25">
      <c r="B1064" s="163">
        <f t="shared" si="20"/>
        <v>1062</v>
      </c>
      <c r="C1064" s="165" t="s">
        <v>1542</v>
      </c>
    </row>
    <row r="1065" spans="2:3" x14ac:dyDescent="0.25">
      <c r="B1065" s="163">
        <f t="shared" si="20"/>
        <v>1063</v>
      </c>
      <c r="C1065" s="196" t="s">
        <v>1543</v>
      </c>
    </row>
    <row r="1066" spans="2:3" x14ac:dyDescent="0.25">
      <c r="B1066" s="163">
        <f t="shared" si="20"/>
        <v>1064</v>
      </c>
      <c r="C1066" s="165" t="s">
        <v>1646</v>
      </c>
    </row>
    <row r="1067" spans="2:3" x14ac:dyDescent="0.25">
      <c r="B1067" s="163">
        <f t="shared" si="20"/>
        <v>1065</v>
      </c>
      <c r="C1067" s="164" t="s">
        <v>1544</v>
      </c>
    </row>
    <row r="1068" spans="2:3" x14ac:dyDescent="0.25">
      <c r="B1068" s="163">
        <f t="shared" si="20"/>
        <v>1066</v>
      </c>
      <c r="C1068" s="161" t="s">
        <v>1549</v>
      </c>
    </row>
    <row r="1069" spans="2:3" x14ac:dyDescent="0.25">
      <c r="B1069" s="163">
        <f t="shared" si="20"/>
        <v>1067</v>
      </c>
      <c r="C1069" s="165" t="s">
        <v>198</v>
      </c>
    </row>
    <row r="1070" spans="2:3" x14ac:dyDescent="0.25">
      <c r="B1070" s="163">
        <f t="shared" si="20"/>
        <v>1068</v>
      </c>
      <c r="C1070" s="196" t="s">
        <v>240</v>
      </c>
    </row>
    <row r="1071" spans="2:3" x14ac:dyDescent="0.25">
      <c r="B1071" s="163">
        <f t="shared" si="20"/>
        <v>1069</v>
      </c>
      <c r="C1071" s="164" t="s">
        <v>253</v>
      </c>
    </row>
    <row r="1072" spans="2:3" x14ac:dyDescent="0.25">
      <c r="B1072" s="163">
        <f t="shared" si="20"/>
        <v>1070</v>
      </c>
      <c r="C1072" s="164" t="s">
        <v>148</v>
      </c>
    </row>
    <row r="1073" spans="2:3" x14ac:dyDescent="0.25">
      <c r="B1073" s="163">
        <f t="shared" si="20"/>
        <v>1071</v>
      </c>
    </row>
    <row r="1074" spans="2:3" x14ac:dyDescent="0.25">
      <c r="B1074" s="163">
        <f t="shared" si="20"/>
        <v>1072</v>
      </c>
    </row>
    <row r="1075" spans="2:3" x14ac:dyDescent="0.25">
      <c r="B1075" s="163">
        <f t="shared" si="20"/>
        <v>1073</v>
      </c>
    </row>
    <row r="1076" spans="2:3" x14ac:dyDescent="0.25">
      <c r="B1076" s="163">
        <f t="shared" si="20"/>
        <v>1074</v>
      </c>
    </row>
    <row r="1077" spans="2:3" x14ac:dyDescent="0.25">
      <c r="B1077" s="163">
        <f t="shared" si="20"/>
        <v>1075</v>
      </c>
      <c r="C1077" s="164" t="s">
        <v>254</v>
      </c>
    </row>
    <row r="1078" spans="2:3" x14ac:dyDescent="0.25">
      <c r="B1078" s="163">
        <f t="shared" si="20"/>
        <v>1076</v>
      </c>
      <c r="C1078" s="161" t="s">
        <v>1505</v>
      </c>
    </row>
    <row r="1079" spans="2:3" x14ac:dyDescent="0.25">
      <c r="B1079" s="163">
        <f t="shared" si="20"/>
        <v>1077</v>
      </c>
      <c r="C1079" s="165" t="s">
        <v>1647</v>
      </c>
    </row>
    <row r="1080" spans="2:3" x14ac:dyDescent="0.25">
      <c r="B1080" s="163">
        <f t="shared" si="20"/>
        <v>1078</v>
      </c>
      <c r="C1080" s="165" t="s">
        <v>199</v>
      </c>
    </row>
    <row r="1081" spans="2:3" x14ac:dyDescent="0.25">
      <c r="B1081" s="163">
        <f t="shared" si="20"/>
        <v>1079</v>
      </c>
      <c r="C1081" s="165" t="s">
        <v>230</v>
      </c>
    </row>
    <row r="1082" spans="2:3" x14ac:dyDescent="0.25">
      <c r="B1082" s="163">
        <f t="shared" si="20"/>
        <v>1080</v>
      </c>
      <c r="C1082" s="165" t="s">
        <v>1436</v>
      </c>
    </row>
    <row r="1083" spans="2:3" x14ac:dyDescent="0.25">
      <c r="B1083" s="163">
        <f t="shared" si="20"/>
        <v>1081</v>
      </c>
      <c r="C1083" s="165" t="s">
        <v>255</v>
      </c>
    </row>
    <row r="1084" spans="2:3" x14ac:dyDescent="0.25">
      <c r="B1084" s="163">
        <f t="shared" si="20"/>
        <v>1082</v>
      </c>
      <c r="C1084" s="164" t="s">
        <v>200</v>
      </c>
    </row>
    <row r="1085" spans="2:3" x14ac:dyDescent="0.25">
      <c r="B1085" s="163">
        <f t="shared" si="20"/>
        <v>1083</v>
      </c>
      <c r="C1085" s="164" t="s">
        <v>148</v>
      </c>
    </row>
    <row r="1086" spans="2:3" x14ac:dyDescent="0.25">
      <c r="B1086" s="163">
        <f t="shared" si="20"/>
        <v>1084</v>
      </c>
    </row>
    <row r="1087" spans="2:3" x14ac:dyDescent="0.25">
      <c r="B1087" s="163">
        <f t="shared" si="20"/>
        <v>1085</v>
      </c>
    </row>
    <row r="1088" spans="2:3" x14ac:dyDescent="0.25">
      <c r="B1088" s="163">
        <f t="shared" si="20"/>
        <v>1086</v>
      </c>
      <c r="C1088" s="164" t="s">
        <v>1753</v>
      </c>
    </row>
    <row r="1089" spans="2:3" x14ac:dyDescent="0.25">
      <c r="B1089" s="163">
        <f t="shared" si="20"/>
        <v>1087</v>
      </c>
      <c r="C1089" s="165" t="s">
        <v>1754</v>
      </c>
    </row>
    <row r="1090" spans="2:3" x14ac:dyDescent="0.25">
      <c r="B1090" s="163">
        <f t="shared" si="20"/>
        <v>1088</v>
      </c>
      <c r="C1090" s="165" t="s">
        <v>1755</v>
      </c>
    </row>
    <row r="1091" spans="2:3" x14ac:dyDescent="0.25">
      <c r="B1091" s="163">
        <f t="shared" si="20"/>
        <v>1089</v>
      </c>
      <c r="C1091" s="164" t="s">
        <v>148</v>
      </c>
    </row>
    <row r="1092" spans="2:3" x14ac:dyDescent="0.25">
      <c r="B1092" s="163">
        <f t="shared" si="20"/>
        <v>1090</v>
      </c>
    </row>
    <row r="1093" spans="2:3" x14ac:dyDescent="0.25">
      <c r="B1093" s="163">
        <f t="shared" si="20"/>
        <v>1091</v>
      </c>
    </row>
    <row r="1094" spans="2:3" x14ac:dyDescent="0.25">
      <c r="B1094" s="163">
        <f t="shared" ref="B1094" si="21">B1093+1</f>
        <v>1092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J4095"/>
  <sheetViews>
    <sheetView topLeftCell="A911" zoomScale="80" zoomScaleNormal="80" workbookViewId="0">
      <selection activeCell="G936" sqref="G936"/>
    </sheetView>
  </sheetViews>
  <sheetFormatPr defaultRowHeight="15" x14ac:dyDescent="0.25"/>
  <cols>
    <col min="2" max="2" width="7.42578125" customWidth="1"/>
    <col min="3" max="3" width="9" customWidth="1"/>
    <col min="4" max="4" width="10" style="169" customWidth="1"/>
    <col min="5" max="5" width="27.140625" customWidth="1"/>
    <col min="6" max="6" width="30.28515625" customWidth="1"/>
    <col min="7" max="7" width="21.140625" customWidth="1"/>
    <col min="8" max="8" width="16.42578125" customWidth="1"/>
    <col min="9" max="9" width="12.42578125" customWidth="1"/>
    <col min="10" max="10" width="36.42578125" customWidth="1"/>
  </cols>
  <sheetData>
    <row r="1" spans="1:10" x14ac:dyDescent="0.25">
      <c r="A1" s="22"/>
      <c r="B1" s="23"/>
      <c r="D1" s="148"/>
      <c r="E1" t="s">
        <v>27</v>
      </c>
    </row>
    <row r="2" spans="1:10" ht="15.75" thickBot="1" x14ac:dyDescent="0.3">
      <c r="D2" s="149"/>
      <c r="E2" s="14" t="s">
        <v>256</v>
      </c>
      <c r="F2" s="14"/>
      <c r="G2" s="14"/>
      <c r="H2" s="14"/>
      <c r="I2" s="14"/>
      <c r="J2" s="15"/>
    </row>
    <row r="3" spans="1:10" ht="15.75" thickBot="1" x14ac:dyDescent="0.3">
      <c r="A3" s="106"/>
      <c r="B3" s="107"/>
      <c r="D3" s="150" t="s">
        <v>257</v>
      </c>
      <c r="E3" s="38" t="s">
        <v>2138</v>
      </c>
      <c r="F3" s="16" t="s">
        <v>141</v>
      </c>
      <c r="G3" s="38"/>
      <c r="H3" s="16"/>
      <c r="I3" s="38"/>
      <c r="J3" s="16"/>
    </row>
    <row r="4" spans="1:10" x14ac:dyDescent="0.25">
      <c r="A4" s="106"/>
      <c r="B4" s="107"/>
      <c r="D4" s="151" t="s">
        <v>258</v>
      </c>
      <c r="E4" s="177" t="s">
        <v>2254</v>
      </c>
      <c r="F4" s="174" t="s">
        <v>2253</v>
      </c>
      <c r="G4" s="174"/>
      <c r="H4" s="174"/>
      <c r="I4" s="174"/>
      <c r="J4" s="171"/>
    </row>
    <row r="5" spans="1:10" ht="15.75" thickBot="1" x14ac:dyDescent="0.3">
      <c r="A5" s="106"/>
      <c r="B5" s="107"/>
      <c r="D5" s="151" t="s">
        <v>259</v>
      </c>
      <c r="E5" s="182" t="s">
        <v>2139</v>
      </c>
      <c r="F5" s="183" t="s">
        <v>260</v>
      </c>
      <c r="G5" s="183"/>
      <c r="H5" s="183"/>
      <c r="I5" s="184"/>
      <c r="J5" s="185"/>
    </row>
    <row r="6" spans="1:10" x14ac:dyDescent="0.25">
      <c r="A6" s="106"/>
      <c r="B6" s="107"/>
      <c r="D6" s="151" t="s">
        <v>261</v>
      </c>
      <c r="E6" s="142" t="s">
        <v>262</v>
      </c>
      <c r="F6" s="218" t="s">
        <v>1818</v>
      </c>
      <c r="G6" s="218"/>
      <c r="H6" s="218"/>
      <c r="I6" s="218"/>
      <c r="J6" s="173"/>
    </row>
    <row r="7" spans="1:10" x14ac:dyDescent="0.25">
      <c r="A7" s="106"/>
      <c r="B7" s="107"/>
      <c r="D7" s="151" t="s">
        <v>263</v>
      </c>
      <c r="E7" s="142" t="s">
        <v>262</v>
      </c>
      <c r="F7" s="218" t="s">
        <v>1818</v>
      </c>
      <c r="G7" s="218"/>
      <c r="H7" s="218"/>
      <c r="I7" s="219"/>
      <c r="J7" s="173"/>
    </row>
    <row r="8" spans="1:10" x14ac:dyDescent="0.25">
      <c r="A8" s="106"/>
      <c r="B8" s="107"/>
      <c r="D8" s="151" t="s">
        <v>264</v>
      </c>
      <c r="E8" s="142" t="s">
        <v>262</v>
      </c>
      <c r="F8" s="218" t="s">
        <v>1818</v>
      </c>
      <c r="G8" s="218"/>
      <c r="H8" s="218"/>
      <c r="I8" s="219"/>
      <c r="J8" s="173"/>
    </row>
    <row r="9" spans="1:10" x14ac:dyDescent="0.25">
      <c r="A9" s="106"/>
      <c r="B9" s="107"/>
      <c r="D9" s="151" t="s">
        <v>265</v>
      </c>
      <c r="E9" s="142" t="s">
        <v>262</v>
      </c>
      <c r="F9" s="218" t="s">
        <v>1818</v>
      </c>
      <c r="G9" s="218"/>
      <c r="H9" s="218"/>
      <c r="I9" s="219"/>
      <c r="J9" s="173"/>
    </row>
    <row r="10" spans="1:10" x14ac:dyDescent="0.25">
      <c r="A10" s="106"/>
      <c r="B10" s="107"/>
      <c r="D10" s="151" t="s">
        <v>266</v>
      </c>
      <c r="E10" s="142" t="s">
        <v>262</v>
      </c>
      <c r="F10" s="218" t="s">
        <v>1818</v>
      </c>
      <c r="G10" s="218"/>
      <c r="H10" s="218"/>
      <c r="I10" s="219"/>
      <c r="J10" s="173"/>
    </row>
    <row r="11" spans="1:10" x14ac:dyDescent="0.25">
      <c r="A11" s="106"/>
      <c r="B11" s="107"/>
      <c r="D11" s="151" t="s">
        <v>267</v>
      </c>
      <c r="E11" s="142" t="s">
        <v>262</v>
      </c>
      <c r="F11" s="218" t="s">
        <v>1818</v>
      </c>
      <c r="G11" s="218"/>
      <c r="H11" s="218"/>
      <c r="I11" s="219"/>
      <c r="J11" s="173"/>
    </row>
    <row r="12" spans="1:10" x14ac:dyDescent="0.25">
      <c r="A12" s="106"/>
      <c r="B12" s="107"/>
      <c r="D12" s="151" t="s">
        <v>268</v>
      </c>
      <c r="E12" s="142" t="s">
        <v>262</v>
      </c>
      <c r="F12" s="218" t="s">
        <v>1818</v>
      </c>
      <c r="G12" s="218"/>
      <c r="H12" s="218"/>
      <c r="I12" s="219"/>
      <c r="J12" s="173"/>
    </row>
    <row r="13" spans="1:10" x14ac:dyDescent="0.25">
      <c r="A13" s="106"/>
      <c r="B13" s="107"/>
      <c r="D13" s="151" t="s">
        <v>269</v>
      </c>
      <c r="E13" s="142" t="s">
        <v>262</v>
      </c>
      <c r="F13" s="218" t="s">
        <v>1818</v>
      </c>
      <c r="G13" s="218"/>
      <c r="H13" s="218"/>
      <c r="I13" s="219"/>
      <c r="J13" s="173"/>
    </row>
    <row r="14" spans="1:10" x14ac:dyDescent="0.25">
      <c r="A14" s="106"/>
      <c r="B14" s="107"/>
      <c r="D14" s="151" t="s">
        <v>270</v>
      </c>
      <c r="E14" s="142" t="s">
        <v>262</v>
      </c>
      <c r="F14" s="218" t="s">
        <v>1818</v>
      </c>
      <c r="G14" s="218"/>
      <c r="H14" s="218"/>
      <c r="I14" s="219"/>
      <c r="J14" s="173"/>
    </row>
    <row r="15" spans="1:10" x14ac:dyDescent="0.25">
      <c r="A15" s="106"/>
      <c r="B15" s="107"/>
      <c r="D15" s="151" t="s">
        <v>271</v>
      </c>
      <c r="E15" s="142" t="s">
        <v>262</v>
      </c>
      <c r="F15" s="218" t="s">
        <v>1818</v>
      </c>
      <c r="G15" s="218"/>
      <c r="H15" s="218"/>
      <c r="I15" s="218"/>
      <c r="J15" s="173"/>
    </row>
    <row r="16" spans="1:10" x14ac:dyDescent="0.25">
      <c r="A16" s="106"/>
      <c r="B16" s="107"/>
      <c r="D16" s="151" t="s">
        <v>272</v>
      </c>
      <c r="E16" s="142" t="s">
        <v>262</v>
      </c>
      <c r="F16" s="218" t="s">
        <v>1818</v>
      </c>
      <c r="G16" s="218"/>
      <c r="H16" s="218"/>
      <c r="I16" s="218"/>
      <c r="J16" s="173"/>
    </row>
    <row r="17" spans="1:10" x14ac:dyDescent="0.25">
      <c r="A17" s="106"/>
      <c r="B17" s="107"/>
      <c r="D17" s="151" t="s">
        <v>273</v>
      </c>
      <c r="E17" s="142" t="s">
        <v>262</v>
      </c>
      <c r="F17" s="218" t="s">
        <v>1818</v>
      </c>
      <c r="G17" s="218"/>
      <c r="H17" s="218"/>
      <c r="I17" s="219"/>
      <c r="J17" s="173"/>
    </row>
    <row r="18" spans="1:10" x14ac:dyDescent="0.25">
      <c r="A18" s="106"/>
      <c r="B18" s="107"/>
      <c r="D18" s="151" t="s">
        <v>274</v>
      </c>
      <c r="E18" s="142" t="s">
        <v>262</v>
      </c>
      <c r="F18" s="218" t="s">
        <v>1818</v>
      </c>
      <c r="G18" s="218"/>
      <c r="H18" s="218"/>
      <c r="I18" s="218"/>
      <c r="J18" s="173"/>
    </row>
    <row r="19" spans="1:10" x14ac:dyDescent="0.25">
      <c r="A19" s="106"/>
      <c r="B19" s="107"/>
      <c r="D19" s="151" t="s">
        <v>275</v>
      </c>
      <c r="E19" s="142" t="s">
        <v>262</v>
      </c>
      <c r="F19" s="218" t="s">
        <v>1818</v>
      </c>
      <c r="G19" s="218"/>
      <c r="H19" s="218"/>
      <c r="I19" s="218"/>
      <c r="J19" s="173"/>
    </row>
    <row r="20" spans="1:10" x14ac:dyDescent="0.25">
      <c r="A20" s="106"/>
      <c r="B20" s="107"/>
      <c r="D20" s="151" t="s">
        <v>276</v>
      </c>
      <c r="E20" s="142" t="s">
        <v>262</v>
      </c>
      <c r="F20" s="218" t="s">
        <v>1818</v>
      </c>
      <c r="G20" s="218"/>
      <c r="H20" s="218"/>
      <c r="I20" s="218"/>
      <c r="J20" s="173"/>
    </row>
    <row r="21" spans="1:10" x14ac:dyDescent="0.25">
      <c r="A21" s="106"/>
      <c r="B21" s="107"/>
      <c r="D21" s="151" t="s">
        <v>277</v>
      </c>
      <c r="E21" s="142" t="s">
        <v>262</v>
      </c>
      <c r="F21" s="218" t="s">
        <v>1818</v>
      </c>
      <c r="G21" s="218"/>
      <c r="H21" s="218"/>
      <c r="I21" s="218"/>
      <c r="J21" s="173"/>
    </row>
    <row r="22" spans="1:10" x14ac:dyDescent="0.25">
      <c r="A22" s="106"/>
      <c r="B22" s="107"/>
      <c r="D22" s="151" t="s">
        <v>278</v>
      </c>
      <c r="E22" s="142" t="s">
        <v>262</v>
      </c>
      <c r="F22" s="218" t="s">
        <v>1818</v>
      </c>
      <c r="G22" s="218"/>
      <c r="H22" s="218"/>
      <c r="I22" s="218"/>
      <c r="J22" s="173"/>
    </row>
    <row r="23" spans="1:10" x14ac:dyDescent="0.25">
      <c r="A23" s="106"/>
      <c r="B23" s="107"/>
      <c r="D23" s="151" t="s">
        <v>279</v>
      </c>
      <c r="E23" s="142" t="s">
        <v>262</v>
      </c>
      <c r="F23" s="218" t="s">
        <v>1818</v>
      </c>
      <c r="G23" s="218"/>
      <c r="H23" s="218"/>
      <c r="I23" s="218"/>
      <c r="J23" s="173"/>
    </row>
    <row r="24" spans="1:10" x14ac:dyDescent="0.25">
      <c r="A24" s="106"/>
      <c r="B24" s="107"/>
      <c r="D24" s="151" t="s">
        <v>280</v>
      </c>
      <c r="E24" s="142" t="s">
        <v>262</v>
      </c>
      <c r="F24" s="218" t="s">
        <v>1818</v>
      </c>
      <c r="G24" s="218"/>
      <c r="H24" s="218"/>
      <c r="I24" s="218"/>
      <c r="J24" s="173"/>
    </row>
    <row r="25" spans="1:10" x14ac:dyDescent="0.25">
      <c r="A25" s="106"/>
      <c r="B25" s="107"/>
      <c r="D25" s="151" t="s">
        <v>281</v>
      </c>
      <c r="E25" s="142" t="s">
        <v>262</v>
      </c>
      <c r="F25" s="218" t="s">
        <v>1818</v>
      </c>
      <c r="G25" s="218"/>
      <c r="H25" s="218"/>
      <c r="I25" s="218"/>
      <c r="J25" s="173"/>
    </row>
    <row r="26" spans="1:10" ht="15.75" thickBot="1" x14ac:dyDescent="0.3">
      <c r="A26" s="106"/>
      <c r="B26" s="107"/>
      <c r="D26" s="151" t="s">
        <v>282</v>
      </c>
      <c r="E26" s="142" t="s">
        <v>2140</v>
      </c>
      <c r="F26" s="218" t="s">
        <v>283</v>
      </c>
      <c r="G26" s="218"/>
      <c r="H26" s="218"/>
      <c r="I26" s="218"/>
      <c r="J26" s="173"/>
    </row>
    <row r="27" spans="1:10" ht="15.75" thickBot="1" x14ac:dyDescent="0.3">
      <c r="A27" s="106"/>
      <c r="B27" s="107"/>
      <c r="D27" s="151" t="s">
        <v>284</v>
      </c>
      <c r="E27" s="186" t="s">
        <v>2141</v>
      </c>
      <c r="F27" s="187" t="s">
        <v>285</v>
      </c>
      <c r="G27" s="187"/>
      <c r="H27" s="187"/>
      <c r="I27" s="187"/>
      <c r="J27" s="188"/>
    </row>
    <row r="28" spans="1:10" x14ac:dyDescent="0.25">
      <c r="A28" s="106"/>
      <c r="B28" s="107"/>
      <c r="D28" s="151" t="s">
        <v>286</v>
      </c>
      <c r="E28" s="142" t="s">
        <v>287</v>
      </c>
      <c r="F28" s="218" t="s">
        <v>288</v>
      </c>
      <c r="G28" s="218"/>
      <c r="H28" s="218"/>
      <c r="I28" s="219"/>
      <c r="J28" s="173"/>
    </row>
    <row r="29" spans="1:10" x14ac:dyDescent="0.25">
      <c r="A29" s="106"/>
      <c r="B29" s="107"/>
      <c r="D29" s="151" t="s">
        <v>289</v>
      </c>
      <c r="E29" s="142" t="s">
        <v>2142</v>
      </c>
      <c r="F29" s="218" t="s">
        <v>310</v>
      </c>
      <c r="G29" s="218"/>
      <c r="H29" s="218"/>
      <c r="I29" s="219"/>
      <c r="J29" s="173"/>
    </row>
    <row r="30" spans="1:10" x14ac:dyDescent="0.25">
      <c r="A30" s="106"/>
      <c r="B30" s="107"/>
      <c r="D30" s="151" t="s">
        <v>292</v>
      </c>
      <c r="E30" s="142" t="s">
        <v>2143</v>
      </c>
      <c r="F30" s="218" t="s">
        <v>1483</v>
      </c>
      <c r="G30" s="218"/>
      <c r="H30" s="218"/>
      <c r="I30" s="219"/>
      <c r="J30" s="173"/>
    </row>
    <row r="31" spans="1:10" x14ac:dyDescent="0.25">
      <c r="A31" s="106"/>
      <c r="B31" s="107"/>
      <c r="D31" s="151" t="s">
        <v>295</v>
      </c>
      <c r="E31" s="142" t="s">
        <v>1413</v>
      </c>
      <c r="F31" s="218" t="s">
        <v>1411</v>
      </c>
      <c r="G31" s="218"/>
      <c r="H31" s="218"/>
      <c r="I31" s="219"/>
      <c r="J31" s="173"/>
    </row>
    <row r="32" spans="1:10" x14ac:dyDescent="0.25">
      <c r="A32" s="106"/>
      <c r="B32" s="107"/>
      <c r="D32" s="151" t="s">
        <v>298</v>
      </c>
      <c r="E32" s="142" t="s">
        <v>363</v>
      </c>
      <c r="F32" s="218" t="s">
        <v>460</v>
      </c>
      <c r="G32" s="218"/>
      <c r="H32" s="218"/>
      <c r="I32" s="219"/>
      <c r="J32" s="173"/>
    </row>
    <row r="33" spans="1:10" x14ac:dyDescent="0.25">
      <c r="A33" s="106"/>
      <c r="B33" s="107"/>
      <c r="D33" s="151" t="s">
        <v>301</v>
      </c>
      <c r="E33" s="142" t="s">
        <v>1414</v>
      </c>
      <c r="F33" s="218" t="s">
        <v>1412</v>
      </c>
      <c r="G33" s="218"/>
      <c r="H33" s="218"/>
      <c r="I33" s="219"/>
      <c r="J33" s="173"/>
    </row>
    <row r="34" spans="1:10" x14ac:dyDescent="0.25">
      <c r="A34" s="106"/>
      <c r="B34" s="107"/>
      <c r="D34" s="151" t="s">
        <v>304</v>
      </c>
      <c r="E34" s="142" t="s">
        <v>391</v>
      </c>
      <c r="F34" s="218" t="s">
        <v>392</v>
      </c>
      <c r="G34" s="218"/>
      <c r="H34" s="218"/>
      <c r="I34" s="218"/>
      <c r="J34" s="173"/>
    </row>
    <row r="35" spans="1:10" x14ac:dyDescent="0.25">
      <c r="A35" s="106"/>
      <c r="B35" s="107"/>
      <c r="D35" s="151" t="s">
        <v>307</v>
      </c>
      <c r="E35" s="142" t="s">
        <v>290</v>
      </c>
      <c r="F35" s="218" t="s">
        <v>291</v>
      </c>
      <c r="G35" s="219"/>
      <c r="H35" s="218"/>
      <c r="I35" s="219"/>
      <c r="J35" s="141"/>
    </row>
    <row r="36" spans="1:10" x14ac:dyDescent="0.25">
      <c r="A36" s="106"/>
      <c r="B36" s="107"/>
      <c r="D36" s="151" t="s">
        <v>308</v>
      </c>
      <c r="E36" s="142" t="s">
        <v>293</v>
      </c>
      <c r="F36" s="218" t="s">
        <v>294</v>
      </c>
      <c r="G36" s="219"/>
      <c r="H36" s="218"/>
      <c r="I36" s="219"/>
      <c r="J36" s="173"/>
    </row>
    <row r="37" spans="1:10" x14ac:dyDescent="0.25">
      <c r="A37" s="106"/>
      <c r="B37" s="107"/>
      <c r="D37" s="151" t="s">
        <v>309</v>
      </c>
      <c r="E37" s="142" t="s">
        <v>296</v>
      </c>
      <c r="F37" s="218" t="s">
        <v>297</v>
      </c>
      <c r="G37" s="219"/>
      <c r="H37" s="218"/>
      <c r="I37" s="219"/>
      <c r="J37" s="173"/>
    </row>
    <row r="38" spans="1:10" x14ac:dyDescent="0.25">
      <c r="A38" s="106"/>
      <c r="B38" s="107"/>
      <c r="D38" s="151" t="s">
        <v>311</v>
      </c>
      <c r="E38" s="142" t="s">
        <v>299</v>
      </c>
      <c r="F38" s="218" t="s">
        <v>300</v>
      </c>
      <c r="G38" s="219"/>
      <c r="H38" s="218"/>
      <c r="I38" s="219"/>
      <c r="J38" s="173"/>
    </row>
    <row r="39" spans="1:10" x14ac:dyDescent="0.25">
      <c r="A39" s="106"/>
      <c r="B39" s="107"/>
      <c r="D39" s="151" t="s">
        <v>312</v>
      </c>
      <c r="E39" s="142" t="s">
        <v>302</v>
      </c>
      <c r="F39" s="218" t="s">
        <v>303</v>
      </c>
      <c r="G39" s="219"/>
      <c r="H39" s="218"/>
      <c r="I39" s="219"/>
      <c r="J39" s="173"/>
    </row>
    <row r="40" spans="1:10" x14ac:dyDescent="0.25">
      <c r="A40" s="106"/>
      <c r="B40" s="107"/>
      <c r="D40" s="151" t="s">
        <v>314</v>
      </c>
      <c r="E40" s="142" t="s">
        <v>305</v>
      </c>
      <c r="F40" s="218" t="s">
        <v>306</v>
      </c>
      <c r="G40" s="218"/>
      <c r="H40" s="218"/>
      <c r="I40" s="219"/>
      <c r="J40" s="173"/>
    </row>
    <row r="41" spans="1:10" x14ac:dyDescent="0.25">
      <c r="A41" s="106"/>
      <c r="B41" s="107"/>
      <c r="D41" s="151" t="s">
        <v>316</v>
      </c>
      <c r="E41" s="142" t="s">
        <v>363</v>
      </c>
      <c r="F41" s="218" t="s">
        <v>460</v>
      </c>
      <c r="G41" s="218"/>
      <c r="H41" s="218"/>
      <c r="I41" s="219"/>
      <c r="J41" s="173"/>
    </row>
    <row r="42" spans="1:10" x14ac:dyDescent="0.25">
      <c r="A42" s="106"/>
      <c r="B42" s="107"/>
      <c r="D42" s="151" t="s">
        <v>317</v>
      </c>
      <c r="E42" s="142" t="s">
        <v>1853</v>
      </c>
      <c r="F42" s="218" t="s">
        <v>1511</v>
      </c>
      <c r="G42" s="218"/>
      <c r="H42" s="218"/>
      <c r="I42" s="219"/>
      <c r="J42" s="173"/>
    </row>
    <row r="43" spans="1:10" ht="15.75" thickBot="1" x14ac:dyDescent="0.3">
      <c r="A43" s="106"/>
      <c r="B43" s="107"/>
      <c r="D43" s="151" t="s">
        <v>320</v>
      </c>
      <c r="E43" s="182" t="s">
        <v>313</v>
      </c>
      <c r="F43" s="183" t="s">
        <v>148</v>
      </c>
      <c r="G43" s="183"/>
      <c r="H43" s="183"/>
      <c r="I43" s="183"/>
      <c r="J43" s="185"/>
    </row>
    <row r="44" spans="1:10" x14ac:dyDescent="0.25">
      <c r="A44" s="106"/>
      <c r="B44" s="107"/>
      <c r="D44" s="151" t="s">
        <v>323</v>
      </c>
      <c r="E44" s="142" t="s">
        <v>315</v>
      </c>
      <c r="F44" s="218" t="s">
        <v>150</v>
      </c>
      <c r="G44" s="218"/>
      <c r="H44" s="218"/>
      <c r="I44" s="218"/>
      <c r="J44" s="173"/>
    </row>
    <row r="45" spans="1:10" ht="15.75" thickBot="1" x14ac:dyDescent="0.3">
      <c r="A45" s="106"/>
      <c r="B45" s="107"/>
      <c r="D45" s="151" t="s">
        <v>326</v>
      </c>
      <c r="E45" s="182" t="s">
        <v>313</v>
      </c>
      <c r="F45" s="183" t="s">
        <v>148</v>
      </c>
      <c r="G45" s="183"/>
      <c r="H45" s="183"/>
      <c r="I45" s="183"/>
      <c r="J45" s="185"/>
    </row>
    <row r="46" spans="1:10" x14ac:dyDescent="0.25">
      <c r="A46" s="106"/>
      <c r="B46" s="107"/>
      <c r="D46" s="151" t="s">
        <v>329</v>
      </c>
      <c r="E46" s="142" t="s">
        <v>318</v>
      </c>
      <c r="F46" s="218" t="s">
        <v>319</v>
      </c>
      <c r="G46" s="218"/>
      <c r="H46" s="218"/>
      <c r="I46" s="218"/>
      <c r="J46" s="173"/>
    </row>
    <row r="47" spans="1:10" x14ac:dyDescent="0.25">
      <c r="A47" s="106"/>
      <c r="B47" s="107"/>
      <c r="D47" s="151" t="s">
        <v>332</v>
      </c>
      <c r="E47" s="142" t="s">
        <v>321</v>
      </c>
      <c r="F47" s="218" t="s">
        <v>322</v>
      </c>
      <c r="G47" s="218"/>
      <c r="H47" s="218"/>
      <c r="I47" s="218"/>
      <c r="J47" s="173"/>
    </row>
    <row r="48" spans="1:10" x14ac:dyDescent="0.25">
      <c r="A48" s="106"/>
      <c r="B48" s="107"/>
      <c r="D48" s="151" t="s">
        <v>335</v>
      </c>
      <c r="E48" s="142" t="s">
        <v>324</v>
      </c>
      <c r="F48" s="218" t="s">
        <v>325</v>
      </c>
      <c r="G48" s="218"/>
      <c r="H48" s="218"/>
      <c r="I48" s="218"/>
      <c r="J48" s="173"/>
    </row>
    <row r="49" spans="1:10" x14ac:dyDescent="0.25">
      <c r="A49" s="106"/>
      <c r="B49" s="107"/>
      <c r="D49" s="151" t="s">
        <v>336</v>
      </c>
      <c r="E49" s="142" t="s">
        <v>327</v>
      </c>
      <c r="F49" s="218" t="s">
        <v>328</v>
      </c>
      <c r="G49" s="218"/>
      <c r="H49" s="218"/>
      <c r="I49" s="218"/>
      <c r="J49" s="173"/>
    </row>
    <row r="50" spans="1:10" x14ac:dyDescent="0.25">
      <c r="A50" s="106"/>
      <c r="B50" s="107"/>
      <c r="D50" s="151" t="s">
        <v>339</v>
      </c>
      <c r="E50" s="142" t="s">
        <v>330</v>
      </c>
      <c r="F50" s="218" t="s">
        <v>331</v>
      </c>
      <c r="G50" s="218"/>
      <c r="H50" s="218"/>
      <c r="I50" s="218"/>
      <c r="J50" s="173"/>
    </row>
    <row r="51" spans="1:10" x14ac:dyDescent="0.25">
      <c r="A51" s="106"/>
      <c r="B51" s="107"/>
      <c r="D51" s="151" t="s">
        <v>340</v>
      </c>
      <c r="E51" s="142" t="s">
        <v>333</v>
      </c>
      <c r="F51" s="218" t="s">
        <v>334</v>
      </c>
      <c r="G51" s="218"/>
      <c r="H51" s="218"/>
      <c r="I51" s="218"/>
      <c r="J51" s="173"/>
    </row>
    <row r="52" spans="1:10" ht="15.75" thickBot="1" x14ac:dyDescent="0.3">
      <c r="A52" s="106"/>
      <c r="B52" s="107"/>
      <c r="D52" s="151" t="s">
        <v>343</v>
      </c>
      <c r="E52" s="182" t="s">
        <v>313</v>
      </c>
      <c r="F52" s="183" t="s">
        <v>148</v>
      </c>
      <c r="G52" s="183"/>
      <c r="H52" s="183"/>
      <c r="I52" s="183"/>
      <c r="J52" s="185"/>
    </row>
    <row r="53" spans="1:10" x14ac:dyDescent="0.25">
      <c r="A53" s="106"/>
      <c r="B53" s="107"/>
      <c r="D53" s="151" t="s">
        <v>344</v>
      </c>
      <c r="E53" s="142" t="s">
        <v>337</v>
      </c>
      <c r="F53" s="218" t="s">
        <v>338</v>
      </c>
      <c r="G53" s="218"/>
      <c r="H53" s="218"/>
      <c r="I53" s="218"/>
      <c r="J53" s="173"/>
    </row>
    <row r="54" spans="1:10" ht="15.75" thickBot="1" x14ac:dyDescent="0.3">
      <c r="A54" s="106"/>
      <c r="B54" s="107"/>
      <c r="D54" s="151" t="s">
        <v>346</v>
      </c>
      <c r="E54" s="182" t="s">
        <v>313</v>
      </c>
      <c r="F54" s="183" t="s">
        <v>148</v>
      </c>
      <c r="G54" s="183"/>
      <c r="H54" s="183"/>
      <c r="I54" s="183"/>
      <c r="J54" s="185"/>
    </row>
    <row r="55" spans="1:10" x14ac:dyDescent="0.25">
      <c r="A55" s="106"/>
      <c r="B55" s="107"/>
      <c r="D55" s="151" t="s">
        <v>347</v>
      </c>
      <c r="E55" s="142" t="s">
        <v>341</v>
      </c>
      <c r="F55" s="218" t="s">
        <v>342</v>
      </c>
      <c r="G55" s="218"/>
      <c r="H55" s="218"/>
      <c r="I55" s="218"/>
      <c r="J55" s="173"/>
    </row>
    <row r="56" spans="1:10" ht="15.75" thickBot="1" x14ac:dyDescent="0.3">
      <c r="A56" s="106"/>
      <c r="B56" s="107"/>
      <c r="D56" s="151" t="s">
        <v>348</v>
      </c>
      <c r="E56" s="182" t="s">
        <v>313</v>
      </c>
      <c r="F56" s="183" t="s">
        <v>148</v>
      </c>
      <c r="G56" s="183"/>
      <c r="H56" s="183"/>
      <c r="I56" s="184"/>
      <c r="J56" s="185"/>
    </row>
    <row r="57" spans="1:10" x14ac:dyDescent="0.25">
      <c r="A57" s="106"/>
      <c r="B57" s="107"/>
      <c r="D57" s="151" t="s">
        <v>349</v>
      </c>
      <c r="E57" s="142" t="s">
        <v>438</v>
      </c>
      <c r="F57" s="218" t="s">
        <v>439</v>
      </c>
      <c r="G57" s="218"/>
      <c r="H57" s="218"/>
      <c r="I57" s="219"/>
      <c r="J57" s="173"/>
    </row>
    <row r="58" spans="1:10" x14ac:dyDescent="0.25">
      <c r="A58" s="106"/>
      <c r="B58" s="107"/>
      <c r="D58" s="151" t="s">
        <v>350</v>
      </c>
      <c r="E58" s="142" t="s">
        <v>1556</v>
      </c>
      <c r="F58" s="218" t="s">
        <v>1550</v>
      </c>
      <c r="G58" s="218"/>
      <c r="H58" s="218"/>
      <c r="I58" s="218"/>
      <c r="J58" s="173"/>
    </row>
    <row r="59" spans="1:10" x14ac:dyDescent="0.25">
      <c r="A59" s="106"/>
      <c r="B59" s="107"/>
      <c r="D59" s="151" t="s">
        <v>351</v>
      </c>
      <c r="E59" s="142" t="s">
        <v>363</v>
      </c>
      <c r="F59" s="218" t="s">
        <v>364</v>
      </c>
      <c r="G59" s="218"/>
      <c r="H59" s="218"/>
      <c r="I59" s="218"/>
      <c r="J59" s="173"/>
    </row>
    <row r="60" spans="1:10" x14ac:dyDescent="0.25">
      <c r="A60" s="106"/>
      <c r="B60" s="107"/>
      <c r="D60" s="151" t="s">
        <v>352</v>
      </c>
      <c r="E60" s="142" t="s">
        <v>1856</v>
      </c>
      <c r="F60" s="218" t="s">
        <v>383</v>
      </c>
      <c r="G60" s="218"/>
      <c r="H60" s="218"/>
      <c r="I60" s="218"/>
      <c r="J60" s="173"/>
    </row>
    <row r="61" spans="1:10" x14ac:dyDescent="0.25">
      <c r="A61" s="106"/>
      <c r="B61" s="107"/>
      <c r="D61" s="151" t="s">
        <v>353</v>
      </c>
      <c r="E61" s="142" t="s">
        <v>1857</v>
      </c>
      <c r="F61" s="218" t="s">
        <v>386</v>
      </c>
      <c r="G61" s="218"/>
      <c r="H61" s="218"/>
      <c r="I61" s="218"/>
      <c r="J61" s="173"/>
    </row>
    <row r="62" spans="1:10" x14ac:dyDescent="0.25">
      <c r="A62" s="106"/>
      <c r="B62" s="107"/>
      <c r="D62" s="151" t="s">
        <v>354</v>
      </c>
      <c r="E62" s="142" t="s">
        <v>1858</v>
      </c>
      <c r="F62" s="218" t="s">
        <v>462</v>
      </c>
      <c r="G62" s="218"/>
      <c r="H62" s="218"/>
      <c r="I62" s="219"/>
      <c r="J62" s="173"/>
    </row>
    <row r="63" spans="1:10" x14ac:dyDescent="0.25">
      <c r="A63" s="106"/>
      <c r="B63" s="107"/>
      <c r="D63" s="151" t="s">
        <v>355</v>
      </c>
      <c r="E63" s="142" t="s">
        <v>1853</v>
      </c>
      <c r="F63" s="218" t="s">
        <v>1511</v>
      </c>
      <c r="G63" s="218"/>
      <c r="H63" s="218"/>
      <c r="I63" s="220"/>
      <c r="J63" s="173"/>
    </row>
    <row r="64" spans="1:10" x14ac:dyDescent="0.25">
      <c r="A64" s="106"/>
      <c r="B64" s="107"/>
      <c r="D64" s="151" t="s">
        <v>356</v>
      </c>
      <c r="E64" s="142" t="s">
        <v>388</v>
      </c>
      <c r="F64" s="218" t="s">
        <v>389</v>
      </c>
      <c r="G64" s="218"/>
      <c r="H64" s="218"/>
      <c r="I64" s="220"/>
      <c r="J64" s="173"/>
    </row>
    <row r="65" spans="1:10" x14ac:dyDescent="0.25">
      <c r="A65" s="106"/>
      <c r="B65" s="107"/>
      <c r="D65" s="151" t="s">
        <v>357</v>
      </c>
      <c r="E65" s="142" t="s">
        <v>475</v>
      </c>
      <c r="F65" s="218" t="s">
        <v>476</v>
      </c>
      <c r="G65" s="218"/>
      <c r="H65" s="218"/>
      <c r="I65" s="218"/>
      <c r="J65" s="173"/>
    </row>
    <row r="66" spans="1:10" x14ac:dyDescent="0.25">
      <c r="A66" s="106"/>
      <c r="B66" s="107"/>
      <c r="D66" s="151" t="s">
        <v>358</v>
      </c>
      <c r="E66" s="142" t="s">
        <v>1859</v>
      </c>
      <c r="F66" s="218" t="s">
        <v>1512</v>
      </c>
      <c r="G66" s="218"/>
      <c r="H66" s="218"/>
      <c r="I66" s="219"/>
      <c r="J66" s="173"/>
    </row>
    <row r="67" spans="1:10" ht="15.75" thickBot="1" x14ac:dyDescent="0.3">
      <c r="A67" s="106"/>
      <c r="B67" s="107"/>
      <c r="D67" s="151" t="s">
        <v>359</v>
      </c>
      <c r="E67" s="142" t="s">
        <v>2144</v>
      </c>
      <c r="F67" s="218" t="s">
        <v>400</v>
      </c>
      <c r="G67" s="218"/>
      <c r="H67" s="218"/>
      <c r="I67" s="219"/>
      <c r="J67" s="173"/>
    </row>
    <row r="68" spans="1:10" ht="15.75" thickBot="1" x14ac:dyDescent="0.3">
      <c r="A68" s="106"/>
      <c r="B68" s="107"/>
      <c r="D68" s="151" t="s">
        <v>360</v>
      </c>
      <c r="E68" s="186" t="s">
        <v>313</v>
      </c>
      <c r="F68" s="187" t="s">
        <v>148</v>
      </c>
      <c r="G68" s="246"/>
      <c r="H68" s="187"/>
      <c r="I68" s="187"/>
      <c r="J68" s="188"/>
    </row>
    <row r="69" spans="1:10" x14ac:dyDescent="0.25">
      <c r="A69" s="106"/>
      <c r="B69" s="107"/>
      <c r="D69" s="151" t="s">
        <v>361</v>
      </c>
      <c r="E69" s="142" t="s">
        <v>475</v>
      </c>
      <c r="F69" s="218" t="s">
        <v>476</v>
      </c>
      <c r="G69" s="218"/>
      <c r="H69" s="218"/>
      <c r="I69" s="218"/>
      <c r="J69" s="173"/>
    </row>
    <row r="70" spans="1:10" x14ac:dyDescent="0.25">
      <c r="A70" s="106"/>
      <c r="B70" s="107"/>
      <c r="D70" s="151" t="s">
        <v>362</v>
      </c>
      <c r="E70" s="142" t="s">
        <v>1556</v>
      </c>
      <c r="F70" s="218" t="s">
        <v>1550</v>
      </c>
      <c r="G70" s="218"/>
      <c r="H70" s="218"/>
      <c r="I70" s="218"/>
      <c r="J70" s="173"/>
    </row>
    <row r="71" spans="1:10" ht="15.75" thickBot="1" x14ac:dyDescent="0.3">
      <c r="A71" s="106"/>
      <c r="B71" s="107"/>
      <c r="D71" s="151" t="s">
        <v>365</v>
      </c>
      <c r="E71" s="142" t="s">
        <v>2145</v>
      </c>
      <c r="F71" s="218" t="s">
        <v>1410</v>
      </c>
      <c r="G71" s="218"/>
      <c r="H71" s="218"/>
      <c r="I71" s="218"/>
      <c r="J71" s="173"/>
    </row>
    <row r="72" spans="1:10" ht="15.75" thickBot="1" x14ac:dyDescent="0.3">
      <c r="A72" s="106"/>
      <c r="B72" s="107"/>
      <c r="D72" s="151" t="s">
        <v>367</v>
      </c>
      <c r="E72" s="177" t="s">
        <v>313</v>
      </c>
      <c r="F72" s="174" t="s">
        <v>148</v>
      </c>
      <c r="G72" s="174"/>
      <c r="H72" s="174"/>
      <c r="I72" s="174"/>
      <c r="J72" s="171"/>
    </row>
    <row r="73" spans="1:10" ht="15.75" thickBot="1" x14ac:dyDescent="0.3">
      <c r="A73" s="106"/>
      <c r="B73" s="107"/>
      <c r="D73" s="151" t="s">
        <v>368</v>
      </c>
      <c r="E73" s="186" t="s">
        <v>313</v>
      </c>
      <c r="F73" s="187" t="s">
        <v>148</v>
      </c>
      <c r="G73" s="187"/>
      <c r="H73" s="187"/>
      <c r="I73" s="199"/>
      <c r="J73" s="188"/>
    </row>
    <row r="74" spans="1:10" x14ac:dyDescent="0.25">
      <c r="A74" s="106"/>
      <c r="B74" s="107"/>
      <c r="D74" s="151" t="s">
        <v>369</v>
      </c>
      <c r="E74" s="142" t="s">
        <v>408</v>
      </c>
      <c r="F74" s="218" t="s">
        <v>409</v>
      </c>
      <c r="G74" s="218"/>
      <c r="H74" s="218"/>
      <c r="I74" s="218"/>
      <c r="J74" s="173"/>
    </row>
    <row r="75" spans="1:10" x14ac:dyDescent="0.25">
      <c r="A75" s="106"/>
      <c r="B75" s="107"/>
      <c r="D75" s="151" t="s">
        <v>370</v>
      </c>
      <c r="E75" s="142" t="s">
        <v>2146</v>
      </c>
      <c r="F75" s="218" t="s">
        <v>411</v>
      </c>
      <c r="G75" s="218"/>
      <c r="H75" s="218"/>
      <c r="I75" s="219"/>
      <c r="J75" s="173"/>
    </row>
    <row r="76" spans="1:10" x14ac:dyDescent="0.25">
      <c r="A76" s="106"/>
      <c r="B76" s="107"/>
      <c r="D76" s="151" t="s">
        <v>371</v>
      </c>
      <c r="E76" s="142" t="s">
        <v>2147</v>
      </c>
      <c r="F76" s="218" t="s">
        <v>1513</v>
      </c>
      <c r="G76" s="218"/>
      <c r="H76" s="218"/>
      <c r="I76" s="219"/>
      <c r="J76" s="173"/>
    </row>
    <row r="77" spans="1:10" x14ac:dyDescent="0.25">
      <c r="A77" s="106"/>
      <c r="B77" s="107"/>
      <c r="D77" s="151" t="s">
        <v>374</v>
      </c>
      <c r="E77" s="142" t="s">
        <v>2148</v>
      </c>
      <c r="F77" s="218" t="s">
        <v>414</v>
      </c>
      <c r="G77" s="218"/>
      <c r="H77" s="218"/>
      <c r="I77" s="220"/>
      <c r="J77" s="173"/>
    </row>
    <row r="78" spans="1:10" x14ac:dyDescent="0.25">
      <c r="A78" s="106"/>
      <c r="B78" s="107"/>
      <c r="D78" s="151" t="s">
        <v>375</v>
      </c>
      <c r="E78" s="142" t="s">
        <v>2149</v>
      </c>
      <c r="F78" s="218" t="s">
        <v>416</v>
      </c>
      <c r="G78" s="218"/>
      <c r="H78" s="218"/>
      <c r="I78" s="220"/>
      <c r="J78" s="173"/>
    </row>
    <row r="79" spans="1:10" ht="15.75" thickBot="1" x14ac:dyDescent="0.3">
      <c r="A79" s="106"/>
      <c r="B79" s="107"/>
      <c r="D79" s="151" t="s">
        <v>376</v>
      </c>
      <c r="E79" s="182" t="s">
        <v>313</v>
      </c>
      <c r="F79" s="183" t="s">
        <v>148</v>
      </c>
      <c r="G79" s="183"/>
      <c r="H79" s="183"/>
      <c r="I79" s="205"/>
      <c r="J79" s="185"/>
    </row>
    <row r="80" spans="1:10" x14ac:dyDescent="0.25">
      <c r="A80" s="106"/>
      <c r="B80" s="107"/>
      <c r="D80" s="151" t="s">
        <v>377</v>
      </c>
      <c r="E80" s="142" t="s">
        <v>419</v>
      </c>
      <c r="F80" s="218" t="s">
        <v>420</v>
      </c>
      <c r="G80" s="218"/>
      <c r="H80" s="218"/>
      <c r="I80" s="219"/>
      <c r="J80" s="173"/>
    </row>
    <row r="81" spans="1:10" x14ac:dyDescent="0.25">
      <c r="A81" s="106"/>
      <c r="B81" s="107"/>
      <c r="D81" s="151" t="s">
        <v>378</v>
      </c>
      <c r="E81" s="142" t="s">
        <v>2069</v>
      </c>
      <c r="F81" s="218" t="s">
        <v>422</v>
      </c>
      <c r="G81" s="218"/>
      <c r="H81" s="218"/>
      <c r="I81" s="219"/>
      <c r="J81" s="173"/>
    </row>
    <row r="82" spans="1:10" x14ac:dyDescent="0.25">
      <c r="A82" s="106"/>
      <c r="B82" s="107"/>
      <c r="D82" s="151" t="s">
        <v>379</v>
      </c>
      <c r="E82" s="142" t="s">
        <v>2150</v>
      </c>
      <c r="F82" s="218" t="s">
        <v>424</v>
      </c>
      <c r="G82" s="218"/>
      <c r="H82" s="218"/>
      <c r="I82" s="219"/>
      <c r="J82" s="173"/>
    </row>
    <row r="83" spans="1:10" x14ac:dyDescent="0.25">
      <c r="A83" s="106"/>
      <c r="B83" s="107"/>
      <c r="D83" s="151" t="s">
        <v>380</v>
      </c>
      <c r="E83" s="142" t="s">
        <v>2151</v>
      </c>
      <c r="F83" s="218" t="s">
        <v>426</v>
      </c>
      <c r="G83" s="218"/>
      <c r="H83" s="218"/>
      <c r="I83" s="219"/>
      <c r="J83" s="173"/>
    </row>
    <row r="84" spans="1:10" ht="15.75" thickBot="1" x14ac:dyDescent="0.3">
      <c r="A84" s="106"/>
      <c r="B84" s="107"/>
      <c r="D84" s="151" t="s">
        <v>381</v>
      </c>
      <c r="E84" s="182" t="s">
        <v>313</v>
      </c>
      <c r="F84" s="183" t="s">
        <v>148</v>
      </c>
      <c r="G84" s="183"/>
      <c r="H84" s="183"/>
      <c r="I84" s="184"/>
      <c r="J84" s="185"/>
    </row>
    <row r="85" spans="1:10" x14ac:dyDescent="0.25">
      <c r="A85" s="106"/>
      <c r="B85" s="107"/>
      <c r="D85" s="151" t="s">
        <v>382</v>
      </c>
      <c r="E85" s="142" t="s">
        <v>429</v>
      </c>
      <c r="F85" s="218" t="s">
        <v>430</v>
      </c>
      <c r="G85" s="218"/>
      <c r="H85" s="218"/>
      <c r="I85" s="218"/>
      <c r="J85" s="173"/>
    </row>
    <row r="86" spans="1:10" x14ac:dyDescent="0.25">
      <c r="A86" s="106"/>
      <c r="B86" s="107"/>
      <c r="D86" s="151" t="s">
        <v>384</v>
      </c>
      <c r="E86" s="142" t="s">
        <v>2152</v>
      </c>
      <c r="F86" s="218" t="s">
        <v>432</v>
      </c>
      <c r="G86" s="218"/>
      <c r="H86" s="218"/>
      <c r="I86" s="218"/>
      <c r="J86" s="173"/>
    </row>
    <row r="87" spans="1:10" ht="15.75" thickBot="1" x14ac:dyDescent="0.3">
      <c r="A87" s="106"/>
      <c r="B87" s="107"/>
      <c r="D87" s="151" t="s">
        <v>385</v>
      </c>
      <c r="E87" s="182" t="s">
        <v>313</v>
      </c>
      <c r="F87" s="183" t="s">
        <v>148</v>
      </c>
      <c r="G87" s="183"/>
      <c r="H87" s="183"/>
      <c r="I87" s="183"/>
      <c r="J87" s="185"/>
    </row>
    <row r="88" spans="1:10" x14ac:dyDescent="0.25">
      <c r="A88" s="106"/>
      <c r="B88" s="107"/>
      <c r="D88" s="151" t="s">
        <v>387</v>
      </c>
      <c r="E88" s="142" t="s">
        <v>435</v>
      </c>
      <c r="F88" s="218" t="s">
        <v>436</v>
      </c>
      <c r="G88" s="218"/>
      <c r="H88" s="218"/>
      <c r="I88" s="218"/>
      <c r="J88" s="173"/>
    </row>
    <row r="89" spans="1:10" x14ac:dyDescent="0.25">
      <c r="A89" s="106"/>
      <c r="B89" s="107"/>
      <c r="D89" s="151" t="s">
        <v>390</v>
      </c>
      <c r="E89" s="142" t="s">
        <v>438</v>
      </c>
      <c r="F89" s="218" t="s">
        <v>439</v>
      </c>
      <c r="G89" s="218"/>
      <c r="H89" s="218"/>
      <c r="I89" s="218"/>
      <c r="J89" s="173"/>
    </row>
    <row r="90" spans="1:10" x14ac:dyDescent="0.25">
      <c r="A90" s="106"/>
      <c r="B90" s="107"/>
      <c r="D90" s="151" t="s">
        <v>393</v>
      </c>
      <c r="E90" s="142" t="s">
        <v>1861</v>
      </c>
      <c r="F90" s="218" t="s">
        <v>441</v>
      </c>
      <c r="G90" s="218"/>
      <c r="H90" s="218"/>
      <c r="I90" s="218"/>
      <c r="J90" s="173"/>
    </row>
    <row r="91" spans="1:10" ht="15.75" thickBot="1" x14ac:dyDescent="0.3">
      <c r="A91" s="106"/>
      <c r="B91" s="107"/>
      <c r="D91" s="151" t="s">
        <v>394</v>
      </c>
      <c r="E91" s="182" t="s">
        <v>313</v>
      </c>
      <c r="F91" s="183" t="s">
        <v>148</v>
      </c>
      <c r="G91" s="183"/>
      <c r="H91" s="183"/>
      <c r="I91" s="184"/>
      <c r="J91" s="185"/>
    </row>
    <row r="92" spans="1:10" x14ac:dyDescent="0.25">
      <c r="A92" s="106"/>
      <c r="B92" s="107"/>
      <c r="D92" s="151" t="s">
        <v>395</v>
      </c>
      <c r="E92" s="142" t="s">
        <v>444</v>
      </c>
      <c r="F92" s="218" t="s">
        <v>445</v>
      </c>
      <c r="G92" s="218"/>
      <c r="H92" s="218"/>
      <c r="I92" s="219"/>
      <c r="J92" s="173"/>
    </row>
    <row r="93" spans="1:10" x14ac:dyDescent="0.25">
      <c r="A93" s="106"/>
      <c r="B93" s="107"/>
      <c r="D93" s="151" t="s">
        <v>396</v>
      </c>
      <c r="E93" s="142" t="s">
        <v>475</v>
      </c>
      <c r="F93" s="218" t="s">
        <v>476</v>
      </c>
      <c r="G93" s="218"/>
      <c r="H93" s="218"/>
      <c r="I93" s="218"/>
      <c r="J93" s="173"/>
    </row>
    <row r="94" spans="1:10" x14ac:dyDescent="0.25">
      <c r="A94" s="106"/>
      <c r="B94" s="107"/>
      <c r="D94" s="151" t="s">
        <v>397</v>
      </c>
      <c r="E94" s="142" t="s">
        <v>1861</v>
      </c>
      <c r="F94" s="218" t="s">
        <v>441</v>
      </c>
      <c r="G94" s="218"/>
      <c r="H94" s="218"/>
      <c r="I94" s="218"/>
      <c r="J94" s="173"/>
    </row>
    <row r="95" spans="1:10" x14ac:dyDescent="0.25">
      <c r="A95" s="106"/>
      <c r="B95" s="107"/>
      <c r="D95" s="151" t="s">
        <v>398</v>
      </c>
      <c r="E95" s="142" t="s">
        <v>2153</v>
      </c>
      <c r="F95" s="218" t="s">
        <v>1523</v>
      </c>
      <c r="G95" s="218"/>
      <c r="H95" s="218"/>
      <c r="I95" s="218"/>
      <c r="J95" s="173"/>
    </row>
    <row r="96" spans="1:10" ht="15.75" thickBot="1" x14ac:dyDescent="0.3">
      <c r="A96" s="106"/>
      <c r="B96" s="107"/>
      <c r="D96" s="151" t="s">
        <v>399</v>
      </c>
      <c r="E96" s="182" t="s">
        <v>313</v>
      </c>
      <c r="F96" s="183" t="s">
        <v>148</v>
      </c>
      <c r="G96" s="183"/>
      <c r="H96" s="183"/>
      <c r="I96" s="183"/>
      <c r="J96" s="185"/>
    </row>
    <row r="97" spans="1:10" x14ac:dyDescent="0.25">
      <c r="A97" s="106"/>
      <c r="B97" s="107"/>
      <c r="D97" s="151" t="s">
        <v>401</v>
      </c>
      <c r="E97" s="142" t="s">
        <v>453</v>
      </c>
      <c r="F97" s="218" t="s">
        <v>454</v>
      </c>
      <c r="G97" s="218"/>
      <c r="H97" s="218"/>
      <c r="I97" s="218"/>
      <c r="J97" s="173"/>
    </row>
    <row r="98" spans="1:10" x14ac:dyDescent="0.25">
      <c r="A98" s="106"/>
      <c r="B98" s="107"/>
      <c r="D98" s="151" t="s">
        <v>402</v>
      </c>
      <c r="E98" s="142" t="s">
        <v>1862</v>
      </c>
      <c r="F98" s="218" t="s">
        <v>456</v>
      </c>
      <c r="G98" s="218"/>
      <c r="H98" s="218"/>
      <c r="I98" s="218"/>
      <c r="J98" s="173"/>
    </row>
    <row r="99" spans="1:10" x14ac:dyDescent="0.25">
      <c r="A99" s="106"/>
      <c r="B99" s="107"/>
      <c r="D99" s="151" t="s">
        <v>403</v>
      </c>
      <c r="E99" s="142" t="s">
        <v>2070</v>
      </c>
      <c r="F99" s="218" t="s">
        <v>458</v>
      </c>
      <c r="G99" s="218"/>
      <c r="H99" s="218"/>
      <c r="I99" s="219"/>
      <c r="J99" s="173"/>
    </row>
    <row r="100" spans="1:10" x14ac:dyDescent="0.25">
      <c r="A100" s="106"/>
      <c r="B100" s="107"/>
      <c r="D100" s="151" t="s">
        <v>404</v>
      </c>
      <c r="E100" s="142" t="s">
        <v>2153</v>
      </c>
      <c r="F100" s="218" t="s">
        <v>1523</v>
      </c>
      <c r="G100" s="218"/>
      <c r="H100" s="218"/>
      <c r="I100" s="219"/>
      <c r="J100" s="173"/>
    </row>
    <row r="101" spans="1:10" ht="15.75" thickBot="1" x14ac:dyDescent="0.3">
      <c r="A101" s="106"/>
      <c r="B101" s="107"/>
      <c r="D101" s="151" t="s">
        <v>405</v>
      </c>
      <c r="E101" s="182" t="s">
        <v>313</v>
      </c>
      <c r="F101" s="183" t="s">
        <v>148</v>
      </c>
      <c r="G101" s="183"/>
      <c r="H101" s="183"/>
      <c r="I101" s="184"/>
      <c r="J101" s="185"/>
    </row>
    <row r="102" spans="1:10" x14ac:dyDescent="0.25">
      <c r="A102" s="106"/>
      <c r="B102" s="107"/>
      <c r="D102" s="151" t="s">
        <v>406</v>
      </c>
      <c r="E102" s="142" t="s">
        <v>363</v>
      </c>
      <c r="F102" s="218" t="s">
        <v>460</v>
      </c>
      <c r="G102" s="218"/>
      <c r="H102" s="218"/>
      <c r="I102" s="218"/>
      <c r="J102" s="173"/>
    </row>
    <row r="103" spans="1:10" x14ac:dyDescent="0.25">
      <c r="A103" s="106"/>
      <c r="B103" s="107"/>
      <c r="D103" s="151" t="s">
        <v>407</v>
      </c>
      <c r="E103" s="142" t="s">
        <v>1863</v>
      </c>
      <c r="F103" s="218" t="s">
        <v>448</v>
      </c>
      <c r="G103" s="218"/>
      <c r="H103" s="218"/>
      <c r="I103" s="218"/>
      <c r="J103" s="173"/>
    </row>
    <row r="104" spans="1:10" x14ac:dyDescent="0.25">
      <c r="A104" s="106"/>
      <c r="B104" s="107"/>
      <c r="D104" s="151" t="s">
        <v>410</v>
      </c>
      <c r="E104" s="142" t="s">
        <v>2154</v>
      </c>
      <c r="F104" s="218" t="s">
        <v>450</v>
      </c>
      <c r="G104" s="218"/>
      <c r="H104" s="218"/>
      <c r="I104" s="218"/>
      <c r="J104" s="173"/>
    </row>
    <row r="105" spans="1:10" ht="15.75" thickBot="1" x14ac:dyDescent="0.3">
      <c r="A105" s="106"/>
      <c r="B105" s="107"/>
      <c r="D105" s="151" t="s">
        <v>412</v>
      </c>
      <c r="E105" s="182" t="s">
        <v>313</v>
      </c>
      <c r="F105" s="183" t="s">
        <v>148</v>
      </c>
      <c r="G105" s="183"/>
      <c r="H105" s="183"/>
      <c r="I105" s="183"/>
      <c r="J105" s="185"/>
    </row>
    <row r="106" spans="1:10" x14ac:dyDescent="0.25">
      <c r="A106" s="106"/>
      <c r="B106" s="107"/>
      <c r="D106" s="151" t="s">
        <v>413</v>
      </c>
      <c r="E106" s="142" t="s">
        <v>1864</v>
      </c>
      <c r="F106" s="218" t="s">
        <v>1499</v>
      </c>
      <c r="G106" s="218"/>
      <c r="H106" s="218"/>
      <c r="I106" s="218"/>
      <c r="J106" s="173"/>
    </row>
    <row r="107" spans="1:10" x14ac:dyDescent="0.25">
      <c r="A107" s="106"/>
      <c r="B107" s="107"/>
      <c r="D107" s="151" t="s">
        <v>415</v>
      </c>
      <c r="E107" s="142" t="s">
        <v>2071</v>
      </c>
      <c r="F107" s="218" t="s">
        <v>1526</v>
      </c>
      <c r="G107" s="218"/>
      <c r="H107" s="218"/>
      <c r="I107" s="219"/>
      <c r="J107" s="173"/>
    </row>
    <row r="108" spans="1:10" x14ac:dyDescent="0.25">
      <c r="A108" s="106"/>
      <c r="B108" s="107"/>
      <c r="D108" s="151" t="s">
        <v>417</v>
      </c>
      <c r="E108" s="142" t="s">
        <v>363</v>
      </c>
      <c r="F108" s="218" t="s">
        <v>460</v>
      </c>
      <c r="G108" s="218"/>
      <c r="H108" s="218"/>
      <c r="I108" s="219"/>
      <c r="J108" s="173"/>
    </row>
    <row r="109" spans="1:10" x14ac:dyDescent="0.25">
      <c r="A109" s="106"/>
      <c r="B109" s="107"/>
      <c r="D109" s="151" t="s">
        <v>418</v>
      </c>
      <c r="E109" s="142" t="s">
        <v>1856</v>
      </c>
      <c r="F109" s="218" t="s">
        <v>383</v>
      </c>
      <c r="G109" s="218"/>
      <c r="H109" s="218"/>
      <c r="I109" s="218"/>
      <c r="J109" s="173"/>
    </row>
    <row r="110" spans="1:10" x14ac:dyDescent="0.25">
      <c r="A110" s="106"/>
      <c r="B110" s="107"/>
      <c r="D110" s="151" t="s">
        <v>421</v>
      </c>
      <c r="E110" s="142" t="s">
        <v>475</v>
      </c>
      <c r="F110" s="218" t="s">
        <v>476</v>
      </c>
      <c r="G110" s="218"/>
      <c r="H110" s="218"/>
      <c r="I110" s="218"/>
      <c r="J110" s="173"/>
    </row>
    <row r="111" spans="1:10" x14ac:dyDescent="0.25">
      <c r="A111" s="106"/>
      <c r="B111" s="107"/>
      <c r="D111" s="151" t="s">
        <v>423</v>
      </c>
      <c r="E111" s="142" t="s">
        <v>1865</v>
      </c>
      <c r="F111" s="218" t="s">
        <v>1498</v>
      </c>
      <c r="G111" s="218"/>
      <c r="H111" s="218"/>
      <c r="I111" s="218"/>
      <c r="J111" s="173"/>
    </row>
    <row r="112" spans="1:10" x14ac:dyDescent="0.25">
      <c r="A112" s="106"/>
      <c r="B112" s="107"/>
      <c r="D112" s="151" t="s">
        <v>425</v>
      </c>
      <c r="E112" s="142" t="s">
        <v>372</v>
      </c>
      <c r="F112" s="218" t="s">
        <v>373</v>
      </c>
      <c r="G112" s="218"/>
      <c r="H112" s="218"/>
      <c r="I112" s="218"/>
      <c r="J112" s="173"/>
    </row>
    <row r="113" spans="1:10" x14ac:dyDescent="0.25">
      <c r="A113" s="106"/>
      <c r="B113" s="107"/>
      <c r="D113" s="151" t="s">
        <v>427</v>
      </c>
      <c r="E113" s="142" t="s">
        <v>1866</v>
      </c>
      <c r="F113" s="218" t="s">
        <v>1503</v>
      </c>
      <c r="G113" s="218"/>
      <c r="H113" s="218"/>
      <c r="I113" s="218"/>
      <c r="J113" s="173"/>
    </row>
    <row r="114" spans="1:10" x14ac:dyDescent="0.25">
      <c r="A114" s="106"/>
      <c r="B114" s="107"/>
      <c r="D114" s="151" t="s">
        <v>428</v>
      </c>
      <c r="E114" s="142" t="s">
        <v>2155</v>
      </c>
      <c r="F114" s="218" t="s">
        <v>1504</v>
      </c>
      <c r="G114" s="218"/>
      <c r="H114" s="218"/>
      <c r="I114" s="218"/>
      <c r="J114" s="173"/>
    </row>
    <row r="115" spans="1:10" x14ac:dyDescent="0.25">
      <c r="A115" s="106"/>
      <c r="B115" s="107"/>
      <c r="D115" s="151" t="s">
        <v>431</v>
      </c>
      <c r="E115" s="142" t="s">
        <v>475</v>
      </c>
      <c r="F115" s="218" t="s">
        <v>476</v>
      </c>
      <c r="G115" s="218"/>
      <c r="H115" s="218"/>
      <c r="I115" s="219"/>
      <c r="J115" s="173"/>
    </row>
    <row r="116" spans="1:10" x14ac:dyDescent="0.25">
      <c r="A116" s="106"/>
      <c r="B116" s="107"/>
      <c r="D116" s="151" t="s">
        <v>433</v>
      </c>
      <c r="E116" s="142" t="s">
        <v>1856</v>
      </c>
      <c r="F116" s="218" t="s">
        <v>383</v>
      </c>
      <c r="G116" s="218"/>
      <c r="H116" s="218"/>
      <c r="I116" s="219"/>
      <c r="J116" s="173"/>
    </row>
    <row r="117" spans="1:10" x14ac:dyDescent="0.25">
      <c r="A117" s="106"/>
      <c r="B117" s="107"/>
      <c r="D117" s="151" t="s">
        <v>434</v>
      </c>
      <c r="E117" s="142" t="s">
        <v>363</v>
      </c>
      <c r="F117" s="218" t="s">
        <v>460</v>
      </c>
      <c r="G117" s="218"/>
      <c r="H117" s="218"/>
      <c r="I117" s="218"/>
      <c r="J117" s="173"/>
    </row>
    <row r="118" spans="1:10" x14ac:dyDescent="0.25">
      <c r="A118" s="106"/>
      <c r="B118" s="107"/>
      <c r="D118" s="151" t="s">
        <v>437</v>
      </c>
      <c r="E118" s="142" t="s">
        <v>503</v>
      </c>
      <c r="F118" s="218" t="s">
        <v>504</v>
      </c>
      <c r="G118" s="218"/>
      <c r="H118" s="218"/>
      <c r="I118" s="218"/>
      <c r="J118" s="173"/>
    </row>
    <row r="119" spans="1:10" x14ac:dyDescent="0.25">
      <c r="A119" s="106"/>
      <c r="B119" s="107"/>
      <c r="D119" s="151" t="s">
        <v>440</v>
      </c>
      <c r="E119" s="142" t="s">
        <v>1465</v>
      </c>
      <c r="F119" s="218" t="s">
        <v>1462</v>
      </c>
      <c r="G119" s="218"/>
      <c r="H119" s="218"/>
      <c r="I119" s="218"/>
      <c r="J119" s="173"/>
    </row>
    <row r="120" spans="1:10" x14ac:dyDescent="0.25">
      <c r="A120" s="106"/>
      <c r="B120" s="107"/>
      <c r="D120" s="151" t="s">
        <v>442</v>
      </c>
      <c r="E120" s="142" t="s">
        <v>363</v>
      </c>
      <c r="F120" s="218" t="s">
        <v>460</v>
      </c>
      <c r="G120" s="218"/>
      <c r="H120" s="218"/>
      <c r="I120" s="218"/>
      <c r="J120" s="173"/>
    </row>
    <row r="121" spans="1:10" x14ac:dyDescent="0.25">
      <c r="A121" s="106"/>
      <c r="B121" s="107"/>
      <c r="D121" s="151" t="s">
        <v>443</v>
      </c>
      <c r="E121" s="142" t="s">
        <v>1867</v>
      </c>
      <c r="F121" s="218" t="s">
        <v>1444</v>
      </c>
      <c r="G121" s="218"/>
      <c r="H121" s="218"/>
      <c r="I121" s="218"/>
      <c r="J121" s="173"/>
    </row>
    <row r="122" spans="1:10" x14ac:dyDescent="0.25">
      <c r="A122" s="106"/>
      <c r="B122" s="107"/>
      <c r="D122" s="151" t="s">
        <v>446</v>
      </c>
      <c r="E122" s="142" t="s">
        <v>1859</v>
      </c>
      <c r="F122" s="218" t="s">
        <v>1512</v>
      </c>
      <c r="G122" s="218"/>
      <c r="H122" s="218"/>
      <c r="I122" s="218"/>
      <c r="J122" s="173"/>
    </row>
    <row r="123" spans="1:10" x14ac:dyDescent="0.25">
      <c r="A123" s="106"/>
      <c r="B123" s="107"/>
      <c r="D123" s="151" t="s">
        <v>447</v>
      </c>
      <c r="E123" s="142" t="s">
        <v>2156</v>
      </c>
      <c r="F123" s="218" t="s">
        <v>1535</v>
      </c>
      <c r="G123" s="218"/>
      <c r="H123" s="218"/>
      <c r="I123" s="219"/>
      <c r="J123" s="173"/>
    </row>
    <row r="124" spans="1:10" x14ac:dyDescent="0.25">
      <c r="A124" s="106"/>
      <c r="B124" s="107"/>
      <c r="D124" s="151" t="s">
        <v>449</v>
      </c>
      <c r="E124" s="142" t="s">
        <v>1870</v>
      </c>
      <c r="F124" s="218" t="s">
        <v>488</v>
      </c>
      <c r="G124" s="218"/>
      <c r="H124" s="218"/>
      <c r="I124" s="219"/>
      <c r="J124" s="173"/>
    </row>
    <row r="125" spans="1:10" x14ac:dyDescent="0.25">
      <c r="A125" s="106"/>
      <c r="B125" s="107"/>
      <c r="D125" s="151" t="s">
        <v>451</v>
      </c>
      <c r="E125" s="142" t="s">
        <v>490</v>
      </c>
      <c r="F125" s="218" t="s">
        <v>491</v>
      </c>
      <c r="G125" s="218"/>
      <c r="H125" s="218"/>
      <c r="I125" s="218"/>
      <c r="J125" s="173"/>
    </row>
    <row r="126" spans="1:10" x14ac:dyDescent="0.25">
      <c r="A126" s="106"/>
      <c r="B126" s="107"/>
      <c r="D126" s="151" t="s">
        <v>452</v>
      </c>
      <c r="E126" s="142" t="s">
        <v>2157</v>
      </c>
      <c r="F126" s="218" t="s">
        <v>493</v>
      </c>
      <c r="G126" s="218"/>
      <c r="H126" s="218"/>
      <c r="I126" s="218"/>
      <c r="J126" s="173"/>
    </row>
    <row r="127" spans="1:10" ht="15.75" thickBot="1" x14ac:dyDescent="0.3">
      <c r="A127" s="106"/>
      <c r="B127" s="107"/>
      <c r="D127" s="151" t="s">
        <v>455</v>
      </c>
      <c r="E127" s="182" t="s">
        <v>313</v>
      </c>
      <c r="F127" s="183" t="s">
        <v>148</v>
      </c>
      <c r="G127" s="183"/>
      <c r="H127" s="183"/>
      <c r="I127" s="183"/>
      <c r="J127" s="185"/>
    </row>
    <row r="128" spans="1:10" x14ac:dyDescent="0.25">
      <c r="A128" s="106"/>
      <c r="B128" s="107"/>
      <c r="D128" s="151" t="s">
        <v>457</v>
      </c>
      <c r="E128" s="142" t="s">
        <v>1871</v>
      </c>
      <c r="F128" s="218" t="s">
        <v>1445</v>
      </c>
      <c r="G128" s="218"/>
      <c r="H128" s="218"/>
      <c r="I128" s="218"/>
      <c r="J128" s="173"/>
    </row>
    <row r="129" spans="1:10" x14ac:dyDescent="0.25">
      <c r="A129" s="106"/>
      <c r="B129" s="107"/>
      <c r="D129" s="151" t="s">
        <v>459</v>
      </c>
      <c r="E129" s="142" t="s">
        <v>2158</v>
      </c>
      <c r="F129" s="218" t="s">
        <v>1474</v>
      </c>
      <c r="G129" s="218"/>
      <c r="H129" s="218"/>
      <c r="I129" s="218"/>
      <c r="J129" s="173"/>
    </row>
    <row r="130" spans="1:10" x14ac:dyDescent="0.25">
      <c r="A130" s="106"/>
      <c r="B130" s="107"/>
      <c r="D130" s="151" t="s">
        <v>461</v>
      </c>
      <c r="E130" s="142" t="s">
        <v>1854</v>
      </c>
      <c r="F130" s="218" t="s">
        <v>498</v>
      </c>
      <c r="G130" s="218"/>
      <c r="H130" s="218"/>
      <c r="I130" s="218"/>
      <c r="J130" s="173"/>
    </row>
    <row r="131" spans="1:10" x14ac:dyDescent="0.25">
      <c r="A131" s="106"/>
      <c r="B131" s="107"/>
      <c r="D131" s="151" t="s">
        <v>463</v>
      </c>
      <c r="E131" s="142" t="s">
        <v>1860</v>
      </c>
      <c r="F131" s="218" t="s">
        <v>1437</v>
      </c>
      <c r="G131" s="218"/>
      <c r="H131" s="218"/>
      <c r="I131" s="219"/>
      <c r="J131" s="173"/>
    </row>
    <row r="132" spans="1:10" x14ac:dyDescent="0.25">
      <c r="A132" s="106"/>
      <c r="B132" s="107"/>
      <c r="D132" s="151" t="s">
        <v>464</v>
      </c>
      <c r="E132" s="142" t="s">
        <v>475</v>
      </c>
      <c r="F132" s="218" t="s">
        <v>476</v>
      </c>
      <c r="G132" s="218"/>
      <c r="H132" s="218"/>
      <c r="I132" s="219"/>
      <c r="J132" s="173"/>
    </row>
    <row r="133" spans="1:10" x14ac:dyDescent="0.25">
      <c r="A133" s="106"/>
      <c r="B133" s="107"/>
      <c r="D133" s="151" t="s">
        <v>465</v>
      </c>
      <c r="E133" s="142" t="s">
        <v>1856</v>
      </c>
      <c r="F133" s="218" t="s">
        <v>383</v>
      </c>
      <c r="G133" s="218"/>
      <c r="H133" s="218"/>
      <c r="I133" s="218"/>
      <c r="J133" s="173"/>
    </row>
    <row r="134" spans="1:10" x14ac:dyDescent="0.25">
      <c r="A134" s="106"/>
      <c r="B134" s="107"/>
      <c r="D134" s="151" t="s">
        <v>466</v>
      </c>
      <c r="E134" s="142" t="s">
        <v>363</v>
      </c>
      <c r="F134" s="218" t="s">
        <v>460</v>
      </c>
      <c r="G134" s="218"/>
      <c r="H134" s="218"/>
      <c r="I134" s="218"/>
      <c r="J134" s="173"/>
    </row>
    <row r="135" spans="1:10" x14ac:dyDescent="0.25">
      <c r="A135" s="106"/>
      <c r="B135" s="107"/>
      <c r="D135" s="151" t="s">
        <v>467</v>
      </c>
      <c r="E135" s="142" t="s">
        <v>503</v>
      </c>
      <c r="F135" s="218" t="s">
        <v>504</v>
      </c>
      <c r="G135" s="218"/>
      <c r="H135" s="218"/>
      <c r="I135" s="219"/>
      <c r="J135" s="173"/>
    </row>
    <row r="136" spans="1:10" x14ac:dyDescent="0.25">
      <c r="A136" s="106"/>
      <c r="B136" s="107"/>
      <c r="D136" s="151" t="s">
        <v>470</v>
      </c>
      <c r="E136" s="142" t="s">
        <v>1516</v>
      </c>
      <c r="F136" s="218" t="s">
        <v>1515</v>
      </c>
      <c r="G136" s="218"/>
      <c r="H136" s="218"/>
      <c r="I136" s="219"/>
      <c r="J136" s="173"/>
    </row>
    <row r="137" spans="1:10" ht="15.75" thickBot="1" x14ac:dyDescent="0.3">
      <c r="A137" s="106"/>
      <c r="B137" s="107"/>
      <c r="D137" s="151" t="s">
        <v>471</v>
      </c>
      <c r="E137" s="142" t="s">
        <v>2159</v>
      </c>
      <c r="F137" s="218" t="s">
        <v>507</v>
      </c>
      <c r="G137" s="222"/>
      <c r="H137" s="223"/>
      <c r="I137" s="218"/>
      <c r="J137" s="173"/>
    </row>
    <row r="138" spans="1:10" ht="15.75" thickBot="1" x14ac:dyDescent="0.3">
      <c r="A138" s="106"/>
      <c r="B138" s="107"/>
      <c r="D138" s="151" t="s">
        <v>472</v>
      </c>
      <c r="E138" s="186" t="s">
        <v>313</v>
      </c>
      <c r="F138" s="187" t="s">
        <v>148</v>
      </c>
      <c r="G138" s="187"/>
      <c r="H138" s="187"/>
      <c r="I138" s="187"/>
      <c r="J138" s="188"/>
    </row>
    <row r="139" spans="1:10" x14ac:dyDescent="0.25">
      <c r="A139" s="106"/>
      <c r="B139" s="107"/>
      <c r="D139" s="151" t="s">
        <v>473</v>
      </c>
      <c r="E139" s="142" t="s">
        <v>363</v>
      </c>
      <c r="F139" s="218" t="s">
        <v>460</v>
      </c>
      <c r="G139" s="218"/>
      <c r="H139" s="218"/>
      <c r="I139" s="218"/>
      <c r="J139" s="173"/>
    </row>
    <row r="140" spans="1:10" x14ac:dyDescent="0.25">
      <c r="A140" s="106"/>
      <c r="B140" s="107"/>
      <c r="D140" s="151" t="s">
        <v>474</v>
      </c>
      <c r="E140" s="142" t="s">
        <v>1867</v>
      </c>
      <c r="F140" s="218" t="s">
        <v>1444</v>
      </c>
      <c r="G140" s="218"/>
      <c r="H140" s="218"/>
      <c r="I140" s="218"/>
      <c r="J140" s="173"/>
    </row>
    <row r="141" spans="1:10" ht="15.75" thickBot="1" x14ac:dyDescent="0.3">
      <c r="A141" s="106"/>
      <c r="B141" s="107"/>
      <c r="D141" s="151" t="s">
        <v>477</v>
      </c>
      <c r="E141" s="182" t="s">
        <v>2160</v>
      </c>
      <c r="F141" s="183" t="s">
        <v>1003</v>
      </c>
      <c r="G141" s="183"/>
      <c r="H141" s="183"/>
      <c r="I141" s="183"/>
      <c r="J141" s="185"/>
    </row>
    <row r="142" spans="1:10" x14ac:dyDescent="0.25">
      <c r="A142" s="106"/>
      <c r="B142" s="107"/>
      <c r="D142" s="151" t="s">
        <v>478</v>
      </c>
      <c r="E142" s="142" t="s">
        <v>512</v>
      </c>
      <c r="F142" s="218" t="s">
        <v>513</v>
      </c>
      <c r="G142" s="218"/>
      <c r="H142" s="218"/>
      <c r="I142" s="218"/>
      <c r="J142" s="173"/>
    </row>
    <row r="143" spans="1:10" x14ac:dyDescent="0.25">
      <c r="A143" s="106"/>
      <c r="B143" s="107"/>
      <c r="D143" s="151" t="s">
        <v>479</v>
      </c>
      <c r="E143" s="142" t="s">
        <v>372</v>
      </c>
      <c r="F143" s="218" t="s">
        <v>373</v>
      </c>
      <c r="G143" s="218"/>
      <c r="H143" s="218"/>
      <c r="I143" s="219"/>
      <c r="J143" s="173"/>
    </row>
    <row r="144" spans="1:10" x14ac:dyDescent="0.25">
      <c r="A144" s="106"/>
      <c r="B144" s="107"/>
      <c r="D144" s="151" t="s">
        <v>482</v>
      </c>
      <c r="E144" s="142" t="s">
        <v>1864</v>
      </c>
      <c r="F144" s="218" t="s">
        <v>1499</v>
      </c>
      <c r="G144" s="218"/>
      <c r="H144" s="218"/>
      <c r="I144" s="219"/>
      <c r="J144" s="173"/>
    </row>
    <row r="145" spans="1:10" x14ac:dyDescent="0.25">
      <c r="A145" s="106"/>
      <c r="B145" s="107"/>
      <c r="D145" s="151" t="s">
        <v>485</v>
      </c>
      <c r="E145" s="142" t="s">
        <v>1961</v>
      </c>
      <c r="F145" s="218" t="s">
        <v>1443</v>
      </c>
      <c r="G145" s="218"/>
      <c r="H145" s="218"/>
      <c r="I145" s="219"/>
      <c r="J145" s="173"/>
    </row>
    <row r="146" spans="1:10" x14ac:dyDescent="0.25">
      <c r="A146" s="106"/>
      <c r="B146" s="107"/>
      <c r="D146" s="151" t="s">
        <v>487</v>
      </c>
      <c r="E146" s="142" t="s">
        <v>512</v>
      </c>
      <c r="F146" s="218" t="s">
        <v>513</v>
      </c>
      <c r="G146" s="218"/>
      <c r="H146" s="218"/>
      <c r="I146" s="218"/>
      <c r="J146" s="173"/>
    </row>
    <row r="147" spans="1:10" x14ac:dyDescent="0.25">
      <c r="A147" s="106"/>
      <c r="B147" s="107"/>
      <c r="D147" s="151" t="s">
        <v>489</v>
      </c>
      <c r="E147" s="142" t="s">
        <v>1865</v>
      </c>
      <c r="F147" s="218" t="s">
        <v>1498</v>
      </c>
      <c r="G147" s="218"/>
      <c r="H147" s="218"/>
      <c r="I147" s="219"/>
      <c r="J147" s="173"/>
    </row>
    <row r="148" spans="1:10" x14ac:dyDescent="0.25">
      <c r="A148" s="106"/>
      <c r="B148" s="107"/>
      <c r="D148" s="151" t="s">
        <v>492</v>
      </c>
      <c r="E148" s="142" t="s">
        <v>363</v>
      </c>
      <c r="F148" s="218" t="s">
        <v>460</v>
      </c>
      <c r="G148" s="218"/>
      <c r="H148" s="218"/>
      <c r="I148" s="219"/>
      <c r="J148" s="173"/>
    </row>
    <row r="149" spans="1:10" x14ac:dyDescent="0.25">
      <c r="A149" s="106"/>
      <c r="B149" s="107"/>
      <c r="D149" s="151" t="s">
        <v>494</v>
      </c>
      <c r="E149" s="142" t="s">
        <v>1867</v>
      </c>
      <c r="F149" s="218" t="s">
        <v>1444</v>
      </c>
      <c r="G149" s="218"/>
      <c r="H149" s="218"/>
      <c r="I149" s="219"/>
      <c r="J149" s="173"/>
    </row>
    <row r="150" spans="1:10" x14ac:dyDescent="0.25">
      <c r="A150" s="106"/>
      <c r="B150" s="107"/>
      <c r="D150" s="151" t="s">
        <v>495</v>
      </c>
      <c r="E150" s="142" t="s">
        <v>1854</v>
      </c>
      <c r="F150" s="218" t="s">
        <v>498</v>
      </c>
      <c r="G150" s="218"/>
      <c r="H150" s="218"/>
      <c r="I150" s="219"/>
      <c r="J150" s="173"/>
    </row>
    <row r="151" spans="1:10" x14ac:dyDescent="0.25">
      <c r="A151" s="106"/>
      <c r="B151" s="107"/>
      <c r="D151" s="151" t="s">
        <v>496</v>
      </c>
      <c r="E151" s="142" t="s">
        <v>2072</v>
      </c>
      <c r="F151" s="218" t="s">
        <v>1437</v>
      </c>
      <c r="G151" s="218"/>
      <c r="H151" s="218"/>
      <c r="I151" s="218"/>
      <c r="J151" s="173"/>
    </row>
    <row r="152" spans="1:10" x14ac:dyDescent="0.25">
      <c r="A152" s="106"/>
      <c r="B152" s="107"/>
      <c r="D152" s="151" t="s">
        <v>497</v>
      </c>
      <c r="E152" s="142" t="s">
        <v>475</v>
      </c>
      <c r="F152" s="218" t="s">
        <v>476</v>
      </c>
      <c r="G152" s="221"/>
      <c r="H152" s="218"/>
      <c r="I152" s="218"/>
      <c r="J152" s="173"/>
    </row>
    <row r="153" spans="1:10" x14ac:dyDescent="0.25">
      <c r="A153" s="106"/>
      <c r="B153" s="107"/>
      <c r="D153" s="151" t="s">
        <v>499</v>
      </c>
      <c r="E153" s="142" t="s">
        <v>1856</v>
      </c>
      <c r="F153" s="218" t="s">
        <v>383</v>
      </c>
      <c r="G153" s="218"/>
      <c r="H153" s="218"/>
      <c r="I153" s="218"/>
      <c r="J153" s="173"/>
    </row>
    <row r="154" spans="1:10" x14ac:dyDescent="0.25">
      <c r="A154" s="106"/>
      <c r="B154" s="107"/>
      <c r="D154" s="151" t="s">
        <v>500</v>
      </c>
      <c r="E154" s="142" t="s">
        <v>363</v>
      </c>
      <c r="F154" s="218" t="s">
        <v>460</v>
      </c>
      <c r="G154" s="221"/>
      <c r="H154" s="218"/>
      <c r="I154" s="218"/>
      <c r="J154" s="173"/>
    </row>
    <row r="155" spans="1:10" x14ac:dyDescent="0.25">
      <c r="A155" s="106"/>
      <c r="B155" s="107"/>
      <c r="D155" s="151" t="s">
        <v>501</v>
      </c>
      <c r="E155" s="142" t="s">
        <v>503</v>
      </c>
      <c r="F155" s="218" t="s">
        <v>504</v>
      </c>
      <c r="G155" s="221"/>
      <c r="H155" s="218"/>
      <c r="I155" s="218"/>
      <c r="J155" s="173"/>
    </row>
    <row r="156" spans="1:10" x14ac:dyDescent="0.25">
      <c r="A156" s="106"/>
      <c r="B156" s="107"/>
      <c r="D156" s="151" t="s">
        <v>502</v>
      </c>
      <c r="E156" s="142" t="s">
        <v>1465</v>
      </c>
      <c r="F156" s="218" t="s">
        <v>1462</v>
      </c>
      <c r="G156" s="218"/>
      <c r="H156" s="218"/>
      <c r="I156" s="218"/>
      <c r="J156" s="173"/>
    </row>
    <row r="157" spans="1:10" ht="15.75" thickBot="1" x14ac:dyDescent="0.3">
      <c r="A157" s="106"/>
      <c r="B157" s="107"/>
      <c r="D157" s="151" t="s">
        <v>505</v>
      </c>
      <c r="E157" s="142" t="s">
        <v>2159</v>
      </c>
      <c r="F157" s="218" t="s">
        <v>507</v>
      </c>
      <c r="G157" s="218"/>
      <c r="H157" s="218"/>
      <c r="I157" s="218"/>
      <c r="J157" s="173"/>
    </row>
    <row r="158" spans="1:10" ht="15.75" thickBot="1" x14ac:dyDescent="0.3">
      <c r="A158" s="106"/>
      <c r="B158" s="107"/>
      <c r="D158" s="151" t="s">
        <v>506</v>
      </c>
      <c r="E158" s="186" t="s">
        <v>313</v>
      </c>
      <c r="F158" s="187" t="s">
        <v>148</v>
      </c>
      <c r="G158" s="187"/>
      <c r="H158" s="187"/>
      <c r="I158" s="187"/>
      <c r="J158" s="188"/>
    </row>
    <row r="159" spans="1:10" x14ac:dyDescent="0.25">
      <c r="A159" s="106"/>
      <c r="B159" s="107"/>
      <c r="D159" s="151" t="s">
        <v>508</v>
      </c>
      <c r="E159" s="142" t="s">
        <v>1872</v>
      </c>
      <c r="F159" s="218" t="s">
        <v>1819</v>
      </c>
      <c r="G159" s="218"/>
      <c r="H159" s="218"/>
      <c r="I159" s="218"/>
      <c r="J159" s="173"/>
    </row>
    <row r="160" spans="1:10" x14ac:dyDescent="0.25">
      <c r="A160" s="106"/>
      <c r="B160" s="107"/>
      <c r="D160" s="151" t="s">
        <v>509</v>
      </c>
      <c r="E160" s="142" t="s">
        <v>1873</v>
      </c>
      <c r="F160" s="218" t="s">
        <v>1441</v>
      </c>
      <c r="G160" s="218"/>
      <c r="H160" s="218"/>
      <c r="I160" s="219"/>
      <c r="J160" s="173"/>
    </row>
    <row r="161" spans="1:10" x14ac:dyDescent="0.25">
      <c r="A161" s="106"/>
      <c r="B161" s="107"/>
      <c r="D161" s="151" t="s">
        <v>510</v>
      </c>
      <c r="E161" s="142" t="s">
        <v>535</v>
      </c>
      <c r="F161" s="218" t="s">
        <v>536</v>
      </c>
      <c r="G161" s="218"/>
      <c r="H161" s="218"/>
      <c r="I161" s="219"/>
      <c r="J161" s="173"/>
    </row>
    <row r="162" spans="1:10" x14ac:dyDescent="0.25">
      <c r="A162" s="106"/>
      <c r="B162" s="107"/>
      <c r="D162" s="151" t="s">
        <v>511</v>
      </c>
      <c r="E162" s="142" t="s">
        <v>1392</v>
      </c>
      <c r="F162" s="218" t="s">
        <v>1361</v>
      </c>
      <c r="G162" s="218"/>
      <c r="H162" s="218"/>
      <c r="I162" s="219"/>
      <c r="J162" s="173"/>
    </row>
    <row r="163" spans="1:10" x14ac:dyDescent="0.25">
      <c r="A163" s="106"/>
      <c r="B163" s="107"/>
      <c r="D163" s="151" t="s">
        <v>514</v>
      </c>
      <c r="E163" s="142" t="s">
        <v>1870</v>
      </c>
      <c r="F163" s="218" t="s">
        <v>488</v>
      </c>
      <c r="G163" s="218"/>
      <c r="H163" s="218"/>
      <c r="I163" s="219"/>
      <c r="J163" s="141"/>
    </row>
    <row r="164" spans="1:10" x14ac:dyDescent="0.25">
      <c r="A164" s="106"/>
      <c r="B164" s="107"/>
      <c r="D164" s="151" t="s">
        <v>515</v>
      </c>
      <c r="E164" s="142" t="s">
        <v>490</v>
      </c>
      <c r="F164" s="218" t="s">
        <v>491</v>
      </c>
      <c r="G164" s="218"/>
      <c r="H164" s="218"/>
      <c r="I164" s="218"/>
      <c r="J164" s="173"/>
    </row>
    <row r="165" spans="1:10" x14ac:dyDescent="0.25">
      <c r="A165" s="106"/>
      <c r="B165" s="107"/>
      <c r="D165" s="151" t="s">
        <v>516</v>
      </c>
      <c r="E165" s="119" t="s">
        <v>1874</v>
      </c>
      <c r="F165" s="218" t="s">
        <v>1446</v>
      </c>
      <c r="G165" s="218"/>
      <c r="H165" s="218"/>
      <c r="I165" s="218"/>
      <c r="J165" s="173"/>
    </row>
    <row r="166" spans="1:10" x14ac:dyDescent="0.25">
      <c r="A166" s="106"/>
      <c r="B166" s="107"/>
      <c r="D166" s="151" t="s">
        <v>517</v>
      </c>
      <c r="E166" s="119" t="s">
        <v>2161</v>
      </c>
      <c r="F166" s="218" t="s">
        <v>1447</v>
      </c>
      <c r="G166" s="218"/>
      <c r="H166" s="218"/>
      <c r="I166" s="218"/>
      <c r="J166" s="173"/>
    </row>
    <row r="167" spans="1:10" x14ac:dyDescent="0.25">
      <c r="A167" s="106"/>
      <c r="B167" s="107"/>
      <c r="D167" s="151" t="s">
        <v>518</v>
      </c>
      <c r="E167" s="119" t="s">
        <v>542</v>
      </c>
      <c r="F167" s="218" t="s">
        <v>543</v>
      </c>
      <c r="G167" s="221"/>
      <c r="H167" s="218"/>
      <c r="I167" s="218"/>
      <c r="J167" s="173"/>
    </row>
    <row r="168" spans="1:10" x14ac:dyDescent="0.25">
      <c r="A168" s="106"/>
      <c r="B168" s="107"/>
      <c r="D168" s="151" t="s">
        <v>519</v>
      </c>
      <c r="E168" s="119" t="s">
        <v>1869</v>
      </c>
      <c r="F168" s="218" t="s">
        <v>545</v>
      </c>
      <c r="G168" s="224"/>
      <c r="H168" s="218"/>
      <c r="I168" s="225"/>
      <c r="J168" s="173"/>
    </row>
    <row r="169" spans="1:10" x14ac:dyDescent="0.25">
      <c r="A169" s="106"/>
      <c r="B169" s="107"/>
      <c r="D169" s="151" t="s">
        <v>522</v>
      </c>
      <c r="E169" s="119" t="s">
        <v>1391</v>
      </c>
      <c r="F169" s="218" t="s">
        <v>1365</v>
      </c>
      <c r="G169" s="221"/>
      <c r="H169" s="218"/>
      <c r="I169" s="218"/>
      <c r="J169" s="173"/>
    </row>
    <row r="170" spans="1:10" x14ac:dyDescent="0.25">
      <c r="A170" s="106"/>
      <c r="B170" s="107"/>
      <c r="D170" s="151" t="s">
        <v>525</v>
      </c>
      <c r="E170" s="119" t="s">
        <v>1875</v>
      </c>
      <c r="F170" s="218" t="s">
        <v>548</v>
      </c>
      <c r="G170" s="222"/>
      <c r="H170" s="223"/>
      <c r="I170" s="218"/>
      <c r="J170" s="173"/>
    </row>
    <row r="171" spans="1:10" x14ac:dyDescent="0.25">
      <c r="A171" s="106"/>
      <c r="B171" s="107"/>
      <c r="D171" s="151" t="s">
        <v>526</v>
      </c>
      <c r="E171" s="119" t="s">
        <v>1398</v>
      </c>
      <c r="F171" s="218" t="s">
        <v>1397</v>
      </c>
      <c r="G171" s="221"/>
      <c r="H171" s="218"/>
      <c r="I171" s="218"/>
      <c r="J171" s="173"/>
    </row>
    <row r="172" spans="1:10" x14ac:dyDescent="0.25">
      <c r="A172" s="106"/>
      <c r="B172" s="107"/>
      <c r="D172" s="151" t="s">
        <v>529</v>
      </c>
      <c r="E172" s="119" t="s">
        <v>1876</v>
      </c>
      <c r="F172" s="218" t="s">
        <v>551</v>
      </c>
      <c r="G172" s="221"/>
      <c r="H172" s="218"/>
      <c r="I172" s="218"/>
      <c r="J172" s="173"/>
    </row>
    <row r="173" spans="1:10" x14ac:dyDescent="0.25">
      <c r="A173" s="106"/>
      <c r="B173" s="107"/>
      <c r="D173" s="151" t="s">
        <v>530</v>
      </c>
      <c r="E173" s="119" t="s">
        <v>553</v>
      </c>
      <c r="F173" s="218" t="s">
        <v>554</v>
      </c>
      <c r="G173" s="221"/>
      <c r="H173" s="218"/>
      <c r="I173" s="218"/>
      <c r="J173" s="173"/>
    </row>
    <row r="174" spans="1:10" x14ac:dyDescent="0.25">
      <c r="A174" s="106"/>
      <c r="B174" s="107"/>
      <c r="D174" s="151" t="s">
        <v>531</v>
      </c>
      <c r="E174" s="142" t="s">
        <v>1877</v>
      </c>
      <c r="F174" s="218" t="s">
        <v>556</v>
      </c>
      <c r="G174" s="221"/>
      <c r="H174" s="218"/>
      <c r="I174" s="218"/>
      <c r="J174" s="173"/>
    </row>
    <row r="175" spans="1:10" x14ac:dyDescent="0.25">
      <c r="A175" s="106"/>
      <c r="B175" s="107"/>
      <c r="D175" s="151" t="s">
        <v>532</v>
      </c>
      <c r="E175" s="119" t="s">
        <v>611</v>
      </c>
      <c r="F175" s="218" t="s">
        <v>612</v>
      </c>
      <c r="G175" s="221"/>
      <c r="H175" s="218"/>
      <c r="I175" s="218"/>
      <c r="J175" s="173"/>
    </row>
    <row r="176" spans="1:10" x14ac:dyDescent="0.25">
      <c r="A176" s="106"/>
      <c r="B176" s="107"/>
      <c r="D176" s="151" t="s">
        <v>533</v>
      </c>
      <c r="E176" s="119" t="s">
        <v>1878</v>
      </c>
      <c r="F176" s="218" t="s">
        <v>1448</v>
      </c>
      <c r="G176" s="221"/>
      <c r="H176" s="218"/>
      <c r="I176" s="218"/>
      <c r="J176" s="173"/>
    </row>
    <row r="177" spans="1:10" x14ac:dyDescent="0.25">
      <c r="A177" s="106"/>
      <c r="B177" s="107"/>
      <c r="D177" s="151" t="s">
        <v>534</v>
      </c>
      <c r="E177" s="119" t="s">
        <v>1879</v>
      </c>
      <c r="F177" s="218" t="s">
        <v>1820</v>
      </c>
      <c r="G177" s="221"/>
      <c r="H177" s="218"/>
      <c r="I177" s="218"/>
      <c r="J177" s="173"/>
    </row>
    <row r="178" spans="1:10" x14ac:dyDescent="0.25">
      <c r="A178" s="106"/>
      <c r="B178" s="107"/>
      <c r="D178" s="151" t="s">
        <v>537</v>
      </c>
      <c r="E178" s="119" t="s">
        <v>1880</v>
      </c>
      <c r="F178" s="218" t="s">
        <v>559</v>
      </c>
      <c r="G178" s="221"/>
      <c r="H178" s="218"/>
      <c r="I178" s="218"/>
      <c r="J178" s="173"/>
    </row>
    <row r="179" spans="1:10" x14ac:dyDescent="0.25">
      <c r="A179" s="106"/>
      <c r="B179" s="107"/>
      <c r="D179" s="151" t="s">
        <v>538</v>
      </c>
      <c r="E179" s="119" t="s">
        <v>561</v>
      </c>
      <c r="F179" s="218" t="s">
        <v>697</v>
      </c>
      <c r="G179" s="221"/>
      <c r="H179" s="218"/>
      <c r="I179" s="218"/>
      <c r="J179" s="173"/>
    </row>
    <row r="180" spans="1:10" x14ac:dyDescent="0.25">
      <c r="A180" s="106"/>
      <c r="B180" s="107"/>
      <c r="D180" s="151" t="s">
        <v>540</v>
      </c>
      <c r="E180" s="119" t="s">
        <v>1392</v>
      </c>
      <c r="F180" s="218" t="s">
        <v>1361</v>
      </c>
      <c r="G180" s="221"/>
      <c r="H180" s="218"/>
      <c r="I180" s="218"/>
      <c r="J180" s="173"/>
    </row>
    <row r="181" spans="1:10" x14ac:dyDescent="0.25">
      <c r="A181" s="106"/>
      <c r="B181" s="107"/>
      <c r="D181" s="151" t="s">
        <v>541</v>
      </c>
      <c r="E181" s="119" t="s">
        <v>1393</v>
      </c>
      <c r="F181" s="218" t="s">
        <v>1366</v>
      </c>
      <c r="G181" s="226"/>
      <c r="H181" s="227"/>
      <c r="I181" s="218"/>
      <c r="J181" s="173"/>
    </row>
    <row r="182" spans="1:10" x14ac:dyDescent="0.25">
      <c r="A182" s="106"/>
      <c r="B182" s="107"/>
      <c r="D182" s="151" t="s">
        <v>544</v>
      </c>
      <c r="E182" s="119" t="s">
        <v>2162</v>
      </c>
      <c r="F182" s="218" t="s">
        <v>1438</v>
      </c>
      <c r="G182" s="221"/>
      <c r="H182" s="218"/>
      <c r="I182" s="218"/>
      <c r="J182" s="173"/>
    </row>
    <row r="183" spans="1:10" x14ac:dyDescent="0.25">
      <c r="A183" s="106"/>
      <c r="B183" s="107"/>
      <c r="D183" s="151" t="s">
        <v>546</v>
      </c>
      <c r="E183" s="119" t="s">
        <v>1854</v>
      </c>
      <c r="F183" s="218" t="s">
        <v>498</v>
      </c>
      <c r="G183" s="221"/>
      <c r="H183" s="218"/>
      <c r="I183" s="218"/>
      <c r="J183" s="173"/>
    </row>
    <row r="184" spans="1:10" x14ac:dyDescent="0.25">
      <c r="A184" s="106"/>
      <c r="B184" s="107"/>
      <c r="D184" s="151" t="s">
        <v>547</v>
      </c>
      <c r="E184" s="119" t="s">
        <v>2073</v>
      </c>
      <c r="F184" s="218" t="s">
        <v>564</v>
      </c>
      <c r="G184" s="221"/>
      <c r="H184" s="218"/>
      <c r="I184" s="218"/>
      <c r="J184" s="173"/>
    </row>
    <row r="185" spans="1:10" x14ac:dyDescent="0.25">
      <c r="A185" s="106"/>
      <c r="B185" s="107"/>
      <c r="D185" s="151" t="s">
        <v>549</v>
      </c>
      <c r="E185" s="119" t="s">
        <v>2163</v>
      </c>
      <c r="F185" s="218" t="s">
        <v>566</v>
      </c>
      <c r="G185" s="221"/>
      <c r="H185" s="218"/>
      <c r="I185" s="218"/>
      <c r="J185" s="173"/>
    </row>
    <row r="186" spans="1:10" ht="15.75" thickBot="1" x14ac:dyDescent="0.3">
      <c r="A186" s="106"/>
      <c r="B186" s="107"/>
      <c r="D186" s="151" t="s">
        <v>550</v>
      </c>
      <c r="E186" s="191" t="s">
        <v>313</v>
      </c>
      <c r="F186" s="183" t="s">
        <v>148</v>
      </c>
      <c r="G186" s="189"/>
      <c r="H186" s="183"/>
      <c r="I186" s="183"/>
      <c r="J186" s="185"/>
    </row>
    <row r="187" spans="1:10" x14ac:dyDescent="0.25">
      <c r="A187" s="106"/>
      <c r="B187" s="107"/>
      <c r="D187" s="151" t="s">
        <v>552</v>
      </c>
      <c r="E187" s="119" t="s">
        <v>2164</v>
      </c>
      <c r="F187" s="218" t="s">
        <v>569</v>
      </c>
      <c r="G187" s="221"/>
      <c r="H187" s="218"/>
      <c r="I187" s="218"/>
      <c r="J187" s="173"/>
    </row>
    <row r="188" spans="1:10" ht="15.75" thickBot="1" x14ac:dyDescent="0.3">
      <c r="A188" s="106"/>
      <c r="B188" s="107"/>
      <c r="D188" s="151" t="s">
        <v>555</v>
      </c>
      <c r="E188" s="191" t="s">
        <v>313</v>
      </c>
      <c r="F188" s="183" t="s">
        <v>148</v>
      </c>
      <c r="G188" s="189"/>
      <c r="H188" s="183"/>
      <c r="I188" s="183"/>
      <c r="J188" s="185"/>
    </row>
    <row r="189" spans="1:10" x14ac:dyDescent="0.25">
      <c r="A189" s="106"/>
      <c r="B189" s="107"/>
      <c r="D189" s="151" t="s">
        <v>557</v>
      </c>
      <c r="E189" s="119" t="s">
        <v>1870</v>
      </c>
      <c r="F189" s="218" t="s">
        <v>488</v>
      </c>
      <c r="G189" s="221"/>
      <c r="H189" s="218"/>
      <c r="I189" s="218"/>
      <c r="J189" s="173"/>
    </row>
    <row r="190" spans="1:10" x14ac:dyDescent="0.25">
      <c r="A190" s="106"/>
      <c r="B190" s="107"/>
      <c r="D190" s="151" t="s">
        <v>558</v>
      </c>
      <c r="E190" s="119" t="s">
        <v>490</v>
      </c>
      <c r="F190" s="218" t="s">
        <v>491</v>
      </c>
      <c r="G190" s="221"/>
      <c r="H190" s="218"/>
      <c r="I190" s="218"/>
      <c r="J190" s="173"/>
    </row>
    <row r="191" spans="1:10" ht="15.75" thickBot="1" x14ac:dyDescent="0.3">
      <c r="A191" s="106"/>
      <c r="B191" s="107"/>
      <c r="D191" s="151" t="s">
        <v>560</v>
      </c>
      <c r="E191" s="191" t="s">
        <v>2165</v>
      </c>
      <c r="F191" s="183" t="s">
        <v>1449</v>
      </c>
      <c r="G191" s="189"/>
      <c r="H191" s="183"/>
      <c r="I191" s="183"/>
      <c r="J191" s="185"/>
    </row>
    <row r="192" spans="1:10" x14ac:dyDescent="0.25">
      <c r="A192" s="106"/>
      <c r="B192" s="107"/>
      <c r="D192" s="151" t="s">
        <v>562</v>
      </c>
      <c r="E192" s="119" t="s">
        <v>1881</v>
      </c>
      <c r="F192" s="218" t="s">
        <v>1416</v>
      </c>
      <c r="G192" s="221"/>
      <c r="H192" s="218"/>
      <c r="I192" s="218"/>
      <c r="J192" s="173"/>
    </row>
    <row r="193" spans="1:10" x14ac:dyDescent="0.25">
      <c r="A193" s="106"/>
      <c r="B193" s="107"/>
      <c r="D193" s="151" t="s">
        <v>563</v>
      </c>
      <c r="E193" s="119" t="s">
        <v>1394</v>
      </c>
      <c r="F193" s="218" t="s">
        <v>1363</v>
      </c>
      <c r="G193" s="221"/>
      <c r="H193" s="218"/>
      <c r="I193" s="218"/>
      <c r="J193" s="173"/>
    </row>
    <row r="194" spans="1:10" x14ac:dyDescent="0.25">
      <c r="A194" s="106"/>
      <c r="B194" s="107"/>
      <c r="D194" s="151" t="s">
        <v>565</v>
      </c>
      <c r="E194" s="119" t="s">
        <v>1457</v>
      </c>
      <c r="F194" s="218" t="s">
        <v>1450</v>
      </c>
      <c r="G194" s="221"/>
      <c r="H194" s="218"/>
      <c r="I194" s="218"/>
      <c r="J194" s="173"/>
    </row>
    <row r="195" spans="1:10" x14ac:dyDescent="0.25">
      <c r="A195" s="106"/>
      <c r="B195" s="107"/>
      <c r="D195" s="151" t="s">
        <v>567</v>
      </c>
      <c r="E195" s="119" t="s">
        <v>1882</v>
      </c>
      <c r="F195" s="218" t="s">
        <v>1439</v>
      </c>
      <c r="G195" s="221"/>
      <c r="H195" s="218"/>
      <c r="I195" s="218"/>
      <c r="J195" s="173"/>
    </row>
    <row r="196" spans="1:10" x14ac:dyDescent="0.25">
      <c r="A196" s="106"/>
      <c r="B196" s="107"/>
      <c r="D196" s="151" t="s">
        <v>568</v>
      </c>
      <c r="E196" s="119" t="s">
        <v>1881</v>
      </c>
      <c r="F196" s="218" t="s">
        <v>1416</v>
      </c>
      <c r="G196" s="221"/>
      <c r="H196" s="218"/>
      <c r="I196" s="218"/>
      <c r="J196" s="173"/>
    </row>
    <row r="197" spans="1:10" x14ac:dyDescent="0.25">
      <c r="A197" s="106"/>
      <c r="B197" s="107"/>
      <c r="D197" s="151" t="s">
        <v>570</v>
      </c>
      <c r="E197" s="119" t="s">
        <v>1394</v>
      </c>
      <c r="F197" s="218" t="s">
        <v>1363</v>
      </c>
      <c r="G197" s="221"/>
      <c r="H197" s="218"/>
      <c r="I197" s="218"/>
      <c r="J197" s="173"/>
    </row>
    <row r="198" spans="1:10" x14ac:dyDescent="0.25">
      <c r="A198" s="106"/>
      <c r="B198" s="107"/>
      <c r="D198" s="151" t="s">
        <v>571</v>
      </c>
      <c r="E198" s="119" t="s">
        <v>1458</v>
      </c>
      <c r="F198" s="218" t="s">
        <v>1451</v>
      </c>
      <c r="G198" s="221"/>
      <c r="H198" s="218"/>
      <c r="I198" s="218"/>
      <c r="J198" s="173"/>
    </row>
    <row r="199" spans="1:10" x14ac:dyDescent="0.25">
      <c r="A199" s="106"/>
      <c r="B199" s="107"/>
      <c r="D199" s="151" t="s">
        <v>572</v>
      </c>
      <c r="E199" s="142" t="s">
        <v>1395</v>
      </c>
      <c r="F199" s="218" t="s">
        <v>1368</v>
      </c>
      <c r="G199" s="218"/>
      <c r="H199" s="218"/>
      <c r="I199" s="218"/>
      <c r="J199" s="173"/>
    </row>
    <row r="200" spans="1:10" x14ac:dyDescent="0.25">
      <c r="A200" s="106"/>
      <c r="B200" s="107"/>
      <c r="D200" s="151" t="s">
        <v>573</v>
      </c>
      <c r="E200" s="142" t="s">
        <v>1883</v>
      </c>
      <c r="F200" s="218" t="s">
        <v>1440</v>
      </c>
      <c r="G200" s="218"/>
      <c r="H200" s="218"/>
      <c r="I200" s="219"/>
      <c r="J200" s="173"/>
    </row>
    <row r="201" spans="1:10" x14ac:dyDescent="0.25">
      <c r="A201" s="106"/>
      <c r="B201" s="107"/>
      <c r="D201" s="151" t="s">
        <v>574</v>
      </c>
      <c r="E201" s="142" t="s">
        <v>535</v>
      </c>
      <c r="F201" s="218" t="s">
        <v>536</v>
      </c>
      <c r="G201" s="218"/>
      <c r="H201" s="218"/>
      <c r="I201" s="219"/>
      <c r="J201" s="173"/>
    </row>
    <row r="202" spans="1:10" x14ac:dyDescent="0.25">
      <c r="A202" s="106"/>
      <c r="B202" s="107"/>
      <c r="D202" s="151" t="s">
        <v>575</v>
      </c>
      <c r="E202" s="142" t="s">
        <v>1873</v>
      </c>
      <c r="F202" s="218" t="s">
        <v>1441</v>
      </c>
      <c r="G202" s="218"/>
      <c r="H202" s="218"/>
      <c r="I202" s="219"/>
      <c r="J202" s="173"/>
    </row>
    <row r="203" spans="1:10" ht="15.75" thickBot="1" x14ac:dyDescent="0.3">
      <c r="A203" s="106"/>
      <c r="B203" s="107"/>
      <c r="D203" s="151" t="s">
        <v>576</v>
      </c>
      <c r="E203" s="182" t="s">
        <v>313</v>
      </c>
      <c r="F203" s="183" t="s">
        <v>148</v>
      </c>
      <c r="G203" s="183"/>
      <c r="H203" s="183"/>
      <c r="I203" s="184"/>
      <c r="J203" s="185"/>
    </row>
    <row r="204" spans="1:10" x14ac:dyDescent="0.25">
      <c r="A204" s="106"/>
      <c r="B204" s="107"/>
      <c r="D204" s="151" t="s">
        <v>577</v>
      </c>
      <c r="E204" s="142" t="s">
        <v>341</v>
      </c>
      <c r="F204" s="218" t="s">
        <v>342</v>
      </c>
      <c r="G204" s="218"/>
      <c r="H204" s="218"/>
      <c r="I204" s="219"/>
      <c r="J204" s="173"/>
    </row>
    <row r="205" spans="1:10" x14ac:dyDescent="0.25">
      <c r="A205" s="106"/>
      <c r="B205" s="107"/>
      <c r="D205" s="151" t="s">
        <v>578</v>
      </c>
      <c r="E205" s="142" t="s">
        <v>2074</v>
      </c>
      <c r="F205" s="218" t="s">
        <v>1362</v>
      </c>
      <c r="G205" s="218"/>
      <c r="H205" s="218"/>
      <c r="I205" s="219"/>
      <c r="J205" s="173"/>
    </row>
    <row r="206" spans="1:10" x14ac:dyDescent="0.25">
      <c r="A206" s="106"/>
      <c r="B206" s="107"/>
      <c r="D206" s="151" t="s">
        <v>579</v>
      </c>
      <c r="E206" s="142" t="s">
        <v>293</v>
      </c>
      <c r="F206" s="218" t="s">
        <v>294</v>
      </c>
      <c r="G206" s="218"/>
      <c r="H206" s="218"/>
      <c r="I206" s="219"/>
      <c r="J206" s="173"/>
    </row>
    <row r="207" spans="1:10" x14ac:dyDescent="0.25">
      <c r="A207" s="106"/>
      <c r="B207" s="107"/>
      <c r="D207" s="151" t="s">
        <v>580</v>
      </c>
      <c r="E207" s="142" t="s">
        <v>299</v>
      </c>
      <c r="F207" s="218" t="s">
        <v>300</v>
      </c>
      <c r="G207" s="218"/>
      <c r="H207" s="218"/>
      <c r="I207" s="219"/>
      <c r="J207" s="173"/>
    </row>
    <row r="208" spans="1:10" x14ac:dyDescent="0.25">
      <c r="A208" s="106"/>
      <c r="B208" s="107"/>
      <c r="D208" s="151" t="s">
        <v>581</v>
      </c>
      <c r="E208" s="142" t="s">
        <v>1884</v>
      </c>
      <c r="F208" s="218" t="s">
        <v>1821</v>
      </c>
      <c r="G208" s="218"/>
      <c r="H208" s="218"/>
      <c r="I208" s="219"/>
      <c r="J208" s="173"/>
    </row>
    <row r="209" spans="1:10" x14ac:dyDescent="0.25">
      <c r="A209" s="106"/>
      <c r="B209" s="107"/>
      <c r="D209" s="151" t="s">
        <v>582</v>
      </c>
      <c r="E209" s="142" t="s">
        <v>1885</v>
      </c>
      <c r="F209" s="218" t="s">
        <v>1822</v>
      </c>
      <c r="G209" s="218"/>
      <c r="H209" s="218"/>
      <c r="I209" s="219"/>
      <c r="J209" s="173"/>
    </row>
    <row r="210" spans="1:10" x14ac:dyDescent="0.25">
      <c r="A210" s="106"/>
      <c r="B210" s="107"/>
      <c r="D210" s="151" t="s">
        <v>583</v>
      </c>
      <c r="E210" s="142" t="s">
        <v>1403</v>
      </c>
      <c r="F210" s="218" t="s">
        <v>1401</v>
      </c>
      <c r="G210" s="218"/>
      <c r="H210" s="218"/>
      <c r="I210" s="219"/>
      <c r="J210" s="173"/>
    </row>
    <row r="211" spans="1:10" x14ac:dyDescent="0.25">
      <c r="A211" s="106"/>
      <c r="B211" s="107"/>
      <c r="D211" s="151" t="s">
        <v>584</v>
      </c>
      <c r="E211" s="142" t="s">
        <v>1404</v>
      </c>
      <c r="F211" s="218" t="s">
        <v>1402</v>
      </c>
      <c r="G211" s="218"/>
      <c r="H211" s="218"/>
      <c r="I211" s="219"/>
      <c r="J211" s="173"/>
    </row>
    <row r="212" spans="1:10" x14ac:dyDescent="0.25">
      <c r="A212" s="106"/>
      <c r="B212" s="107"/>
      <c r="D212" s="151" t="s">
        <v>585</v>
      </c>
      <c r="E212" s="142" t="s">
        <v>1403</v>
      </c>
      <c r="F212" s="218" t="s">
        <v>1401</v>
      </c>
      <c r="G212" s="218"/>
      <c r="H212" s="218"/>
      <c r="I212" s="219"/>
      <c r="J212" s="173"/>
    </row>
    <row r="213" spans="1:10" x14ac:dyDescent="0.25">
      <c r="A213" s="106"/>
      <c r="B213" s="107"/>
      <c r="D213" s="151" t="s">
        <v>588</v>
      </c>
      <c r="E213" s="142" t="s">
        <v>1886</v>
      </c>
      <c r="F213" s="218" t="s">
        <v>1823</v>
      </c>
      <c r="G213" s="218"/>
      <c r="H213" s="218"/>
      <c r="I213" s="219"/>
      <c r="J213" s="173"/>
    </row>
    <row r="214" spans="1:10" x14ac:dyDescent="0.25">
      <c r="A214" s="106"/>
      <c r="B214" s="107"/>
      <c r="D214" s="151" t="s">
        <v>589</v>
      </c>
      <c r="E214" s="142" t="s">
        <v>1403</v>
      </c>
      <c r="F214" s="218" t="s">
        <v>1401</v>
      </c>
      <c r="G214" s="218"/>
      <c r="H214" s="218"/>
      <c r="I214" s="219"/>
      <c r="J214" s="173"/>
    </row>
    <row r="215" spans="1:10" x14ac:dyDescent="0.25">
      <c r="A215" s="106"/>
      <c r="B215" s="107"/>
      <c r="D215" s="151" t="s">
        <v>591</v>
      </c>
      <c r="E215" s="142" t="s">
        <v>1870</v>
      </c>
      <c r="F215" s="218" t="s">
        <v>488</v>
      </c>
      <c r="G215" s="218"/>
      <c r="H215" s="218"/>
      <c r="I215" s="219"/>
      <c r="J215" s="173"/>
    </row>
    <row r="216" spans="1:10" x14ac:dyDescent="0.25">
      <c r="A216" s="106"/>
      <c r="B216" s="107"/>
      <c r="D216" s="151" t="s">
        <v>594</v>
      </c>
      <c r="E216" s="142" t="s">
        <v>490</v>
      </c>
      <c r="F216" s="218" t="s">
        <v>491</v>
      </c>
      <c r="G216" s="218"/>
      <c r="H216" s="218"/>
      <c r="I216" s="219"/>
      <c r="J216" s="173"/>
    </row>
    <row r="217" spans="1:10" x14ac:dyDescent="0.25">
      <c r="A217" s="106"/>
      <c r="B217" s="107"/>
      <c r="D217" s="151" t="s">
        <v>595</v>
      </c>
      <c r="E217" s="142" t="s">
        <v>1403</v>
      </c>
      <c r="F217" s="218" t="s">
        <v>1401</v>
      </c>
      <c r="G217" s="218"/>
      <c r="H217" s="218"/>
      <c r="I217" s="219"/>
      <c r="J217" s="173"/>
    </row>
    <row r="218" spans="1:10" x14ac:dyDescent="0.25">
      <c r="A218" s="106"/>
      <c r="B218" s="107"/>
      <c r="D218" s="151" t="s">
        <v>596</v>
      </c>
      <c r="E218" s="142" t="s">
        <v>1887</v>
      </c>
      <c r="F218" s="218" t="s">
        <v>1824</v>
      </c>
      <c r="G218" s="218"/>
      <c r="H218" s="218"/>
      <c r="I218" s="219"/>
      <c r="J218" s="173"/>
    </row>
    <row r="219" spans="1:10" x14ac:dyDescent="0.25">
      <c r="A219" s="106"/>
      <c r="B219" s="107"/>
      <c r="D219" s="151" t="s">
        <v>597</v>
      </c>
      <c r="E219" s="142" t="s">
        <v>1888</v>
      </c>
      <c r="F219" s="218" t="s">
        <v>1825</v>
      </c>
      <c r="G219" s="218"/>
      <c r="H219" s="218"/>
      <c r="I219" s="219"/>
      <c r="J219" s="173"/>
    </row>
    <row r="220" spans="1:10" x14ac:dyDescent="0.25">
      <c r="A220" s="106"/>
      <c r="B220" s="107"/>
      <c r="D220" s="151" t="s">
        <v>600</v>
      </c>
      <c r="E220" s="142" t="s">
        <v>2166</v>
      </c>
      <c r="F220" s="218" t="s">
        <v>1692</v>
      </c>
      <c r="G220" s="218"/>
      <c r="H220" s="218"/>
      <c r="I220" s="219"/>
      <c r="J220" s="173"/>
    </row>
    <row r="221" spans="1:10" ht="15.75" thickBot="1" x14ac:dyDescent="0.3">
      <c r="A221" s="106"/>
      <c r="B221" s="107"/>
      <c r="D221" s="151" t="s">
        <v>601</v>
      </c>
      <c r="E221" s="182" t="s">
        <v>313</v>
      </c>
      <c r="F221" s="183" t="s">
        <v>148</v>
      </c>
      <c r="G221" s="183"/>
      <c r="H221" s="183"/>
      <c r="I221" s="184"/>
      <c r="J221" s="185"/>
    </row>
    <row r="222" spans="1:10" x14ac:dyDescent="0.25">
      <c r="A222" s="106"/>
      <c r="B222" s="107"/>
      <c r="D222" s="151" t="s">
        <v>602</v>
      </c>
      <c r="E222" s="142" t="s">
        <v>693</v>
      </c>
      <c r="F222" s="218" t="s">
        <v>694</v>
      </c>
      <c r="G222" s="218"/>
      <c r="H222" s="218"/>
      <c r="I222" s="219"/>
      <c r="J222" s="173"/>
    </row>
    <row r="223" spans="1:10" x14ac:dyDescent="0.25">
      <c r="A223" s="106"/>
      <c r="B223" s="107"/>
      <c r="D223" s="151" t="s">
        <v>603</v>
      </c>
      <c r="E223" s="142" t="s">
        <v>2167</v>
      </c>
      <c r="F223" s="218" t="s">
        <v>1693</v>
      </c>
      <c r="G223" s="218"/>
      <c r="H223" s="218"/>
      <c r="I223" s="219"/>
      <c r="J223" s="173"/>
    </row>
    <row r="224" spans="1:10" ht="15.75" thickBot="1" x14ac:dyDescent="0.3">
      <c r="A224" s="106"/>
      <c r="B224" s="107"/>
      <c r="D224" s="151" t="s">
        <v>604</v>
      </c>
      <c r="E224" s="182" t="s">
        <v>313</v>
      </c>
      <c r="F224" s="183" t="s">
        <v>148</v>
      </c>
      <c r="G224" s="183"/>
      <c r="H224" s="183"/>
      <c r="I224" s="184"/>
      <c r="J224" s="185"/>
    </row>
    <row r="225" spans="1:10" x14ac:dyDescent="0.25">
      <c r="A225" s="106"/>
      <c r="B225" s="107"/>
      <c r="D225" s="151" t="s">
        <v>605</v>
      </c>
      <c r="E225" s="142" t="s">
        <v>480</v>
      </c>
      <c r="F225" s="218" t="s">
        <v>481</v>
      </c>
      <c r="G225" s="218"/>
      <c r="H225" s="218"/>
      <c r="I225" s="219"/>
      <c r="J225" s="173"/>
    </row>
    <row r="226" spans="1:10" x14ac:dyDescent="0.25">
      <c r="A226" s="106"/>
      <c r="B226" s="107"/>
      <c r="D226" s="151" t="s">
        <v>606</v>
      </c>
      <c r="E226" s="142" t="s">
        <v>483</v>
      </c>
      <c r="F226" s="218" t="s">
        <v>484</v>
      </c>
      <c r="G226" s="218"/>
      <c r="H226" s="218"/>
      <c r="I226" s="219"/>
      <c r="J226" s="173"/>
    </row>
    <row r="227" spans="1:10" x14ac:dyDescent="0.25">
      <c r="A227" s="106"/>
      <c r="B227" s="107"/>
      <c r="D227" s="151" t="s">
        <v>607</v>
      </c>
      <c r="E227" s="142" t="s">
        <v>2075</v>
      </c>
      <c r="F227" s="218" t="s">
        <v>486</v>
      </c>
      <c r="G227" s="218"/>
      <c r="H227" s="218"/>
      <c r="I227" s="219"/>
      <c r="J227" s="173"/>
    </row>
    <row r="228" spans="1:10" x14ac:dyDescent="0.25">
      <c r="A228" s="106"/>
      <c r="B228" s="107"/>
      <c r="D228" s="151" t="s">
        <v>608</v>
      </c>
      <c r="E228" s="142" t="s">
        <v>2168</v>
      </c>
      <c r="F228" s="218" t="s">
        <v>1694</v>
      </c>
      <c r="G228" s="218"/>
      <c r="H228" s="218"/>
      <c r="I228" s="219"/>
      <c r="J228" s="173"/>
    </row>
    <row r="229" spans="1:10" x14ac:dyDescent="0.25">
      <c r="A229" s="106"/>
      <c r="B229" s="107"/>
      <c r="D229" s="151" t="s">
        <v>610</v>
      </c>
      <c r="E229" s="142" t="s">
        <v>2157</v>
      </c>
      <c r="F229" s="218" t="s">
        <v>493</v>
      </c>
      <c r="G229" s="218"/>
      <c r="H229" s="218"/>
      <c r="I229" s="219"/>
      <c r="J229" s="173"/>
    </row>
    <row r="230" spans="1:10" ht="15.75" thickBot="1" x14ac:dyDescent="0.3">
      <c r="A230" s="106"/>
      <c r="B230" s="107"/>
      <c r="D230" s="151" t="s">
        <v>613</v>
      </c>
      <c r="E230" s="182" t="s">
        <v>313</v>
      </c>
      <c r="F230" s="183" t="s">
        <v>148</v>
      </c>
      <c r="G230" s="183"/>
      <c r="H230" s="183"/>
      <c r="I230" s="184"/>
      <c r="J230" s="185"/>
    </row>
    <row r="231" spans="1:10" x14ac:dyDescent="0.25">
      <c r="A231" s="106"/>
      <c r="B231" s="107"/>
      <c r="D231" s="151" t="s">
        <v>614</v>
      </c>
      <c r="E231" s="142" t="s">
        <v>684</v>
      </c>
      <c r="F231" s="228" t="s">
        <v>685</v>
      </c>
      <c r="G231" s="218"/>
      <c r="H231" s="218"/>
      <c r="I231" s="219"/>
      <c r="J231" s="173"/>
    </row>
    <row r="232" spans="1:10" x14ac:dyDescent="0.25">
      <c r="A232" s="106"/>
      <c r="B232" s="107"/>
      <c r="D232" s="151" t="s">
        <v>615</v>
      </c>
      <c r="E232" s="142" t="s">
        <v>2169</v>
      </c>
      <c r="F232" s="218" t="s">
        <v>1695</v>
      </c>
      <c r="G232" s="218"/>
      <c r="H232" s="218"/>
      <c r="I232" s="219"/>
      <c r="J232" s="173"/>
    </row>
    <row r="233" spans="1:10" ht="15.75" thickBot="1" x14ac:dyDescent="0.3">
      <c r="A233" s="106"/>
      <c r="B233" s="107"/>
      <c r="D233" s="151" t="s">
        <v>616</v>
      </c>
      <c r="E233" s="182" t="s">
        <v>313</v>
      </c>
      <c r="F233" s="183" t="s">
        <v>148</v>
      </c>
      <c r="G233" s="189"/>
      <c r="H233" s="183"/>
      <c r="I233" s="184"/>
      <c r="J233" s="185"/>
    </row>
    <row r="234" spans="1:10" x14ac:dyDescent="0.25">
      <c r="A234" s="106"/>
      <c r="B234" s="107"/>
      <c r="D234" s="151" t="s">
        <v>617</v>
      </c>
      <c r="E234" s="142" t="s">
        <v>480</v>
      </c>
      <c r="F234" s="218" t="s">
        <v>481</v>
      </c>
      <c r="G234" s="218"/>
      <c r="H234" s="218"/>
      <c r="I234" s="219"/>
      <c r="J234" s="173"/>
    </row>
    <row r="235" spans="1:10" x14ac:dyDescent="0.25">
      <c r="A235" s="106"/>
      <c r="B235" s="107"/>
      <c r="D235" s="151" t="s">
        <v>619</v>
      </c>
      <c r="E235" s="142" t="s">
        <v>2076</v>
      </c>
      <c r="F235" s="218" t="s">
        <v>486</v>
      </c>
      <c r="G235" s="218"/>
      <c r="H235" s="218"/>
      <c r="I235" s="219"/>
      <c r="J235" s="173"/>
    </row>
    <row r="236" spans="1:10" x14ac:dyDescent="0.25">
      <c r="A236" s="106"/>
      <c r="B236" s="107"/>
      <c r="D236" s="151" t="s">
        <v>621</v>
      </c>
      <c r="E236" s="142" t="s">
        <v>2157</v>
      </c>
      <c r="F236" s="218" t="s">
        <v>493</v>
      </c>
      <c r="G236" s="218"/>
      <c r="H236" s="218"/>
      <c r="I236" s="219"/>
      <c r="J236" s="173"/>
    </row>
    <row r="237" spans="1:10" ht="15.75" thickBot="1" x14ac:dyDescent="0.3">
      <c r="A237" s="106"/>
      <c r="B237" s="107"/>
      <c r="D237" s="151" t="s">
        <v>622</v>
      </c>
      <c r="E237" s="182" t="s">
        <v>313</v>
      </c>
      <c r="F237" s="183" t="s">
        <v>148</v>
      </c>
      <c r="G237" s="183"/>
      <c r="H237" s="183"/>
      <c r="I237" s="184"/>
      <c r="J237" s="185"/>
    </row>
    <row r="238" spans="1:10" x14ac:dyDescent="0.25">
      <c r="A238" s="106"/>
      <c r="B238" s="107"/>
      <c r="D238" s="151" t="s">
        <v>623</v>
      </c>
      <c r="E238" s="142" t="s">
        <v>1854</v>
      </c>
      <c r="F238" s="218" t="s">
        <v>498</v>
      </c>
      <c r="G238" s="218"/>
      <c r="H238" s="218"/>
      <c r="I238" s="219"/>
      <c r="J238" s="173"/>
    </row>
    <row r="239" spans="1:10" x14ac:dyDescent="0.25">
      <c r="A239" s="106"/>
      <c r="B239" s="107"/>
      <c r="D239" s="151" t="s">
        <v>624</v>
      </c>
      <c r="E239" s="142" t="s">
        <v>2080</v>
      </c>
      <c r="F239" s="218" t="s">
        <v>1696</v>
      </c>
      <c r="G239" s="218"/>
      <c r="H239" s="218"/>
      <c r="I239" s="219"/>
      <c r="J239" s="173"/>
    </row>
    <row r="240" spans="1:10" x14ac:dyDescent="0.25">
      <c r="A240" s="106"/>
      <c r="B240" s="107"/>
      <c r="D240" s="151" t="s">
        <v>625</v>
      </c>
      <c r="E240" s="142" t="s">
        <v>1889</v>
      </c>
      <c r="F240" s="218" t="s">
        <v>1481</v>
      </c>
      <c r="G240" s="218"/>
      <c r="H240" s="218"/>
      <c r="I240" s="219"/>
      <c r="J240" s="173"/>
    </row>
    <row r="241" spans="1:10" ht="15.75" thickBot="1" x14ac:dyDescent="0.3">
      <c r="A241" s="106"/>
      <c r="B241" s="107"/>
      <c r="D241" s="151" t="s">
        <v>626</v>
      </c>
      <c r="E241" s="182" t="s">
        <v>2081</v>
      </c>
      <c r="F241" s="183" t="s">
        <v>366</v>
      </c>
      <c r="G241" s="183"/>
      <c r="H241" s="183"/>
      <c r="I241" s="184"/>
      <c r="J241" s="185"/>
    </row>
    <row r="242" spans="1:10" x14ac:dyDescent="0.25">
      <c r="A242" s="106"/>
      <c r="B242" s="107"/>
      <c r="D242" s="151" t="s">
        <v>627</v>
      </c>
      <c r="E242" s="142" t="s">
        <v>1890</v>
      </c>
      <c r="F242" s="218" t="s">
        <v>1442</v>
      </c>
      <c r="G242" s="218"/>
      <c r="H242" s="218"/>
      <c r="I242" s="219"/>
      <c r="J242" s="173"/>
    </row>
    <row r="243" spans="1:10" x14ac:dyDescent="0.25">
      <c r="A243" s="106"/>
      <c r="B243" s="107"/>
      <c r="D243" s="151" t="s">
        <v>629</v>
      </c>
      <c r="E243" s="142" t="s">
        <v>2082</v>
      </c>
      <c r="F243" s="218" t="s">
        <v>1697</v>
      </c>
      <c r="G243" s="218"/>
      <c r="H243" s="218"/>
      <c r="I243" s="219"/>
      <c r="J243" s="141"/>
    </row>
    <row r="244" spans="1:10" x14ac:dyDescent="0.25">
      <c r="A244" s="106"/>
      <c r="B244" s="107"/>
      <c r="D244" s="151" t="s">
        <v>632</v>
      </c>
      <c r="E244" s="142" t="s">
        <v>2083</v>
      </c>
      <c r="F244" s="218" t="s">
        <v>1698</v>
      </c>
      <c r="G244" s="226"/>
      <c r="H244" s="227"/>
      <c r="I244" s="219"/>
      <c r="J244" s="173"/>
    </row>
    <row r="245" spans="1:10" x14ac:dyDescent="0.25">
      <c r="A245" s="106"/>
      <c r="B245" s="107"/>
      <c r="D245" s="151" t="s">
        <v>633</v>
      </c>
      <c r="E245" s="142" t="s">
        <v>2084</v>
      </c>
      <c r="F245" s="218" t="s">
        <v>1699</v>
      </c>
      <c r="G245" s="218"/>
      <c r="H245" s="218"/>
      <c r="I245" s="219"/>
      <c r="J245" s="173"/>
    </row>
    <row r="246" spans="1:10" x14ac:dyDescent="0.25">
      <c r="A246" s="106"/>
      <c r="B246" s="107"/>
      <c r="D246" s="151" t="s">
        <v>634</v>
      </c>
      <c r="E246" s="142" t="s">
        <v>2085</v>
      </c>
      <c r="F246" s="218" t="s">
        <v>1700</v>
      </c>
      <c r="G246" s="218"/>
      <c r="H246" s="218"/>
      <c r="I246" s="219"/>
      <c r="J246" s="173"/>
    </row>
    <row r="247" spans="1:10" x14ac:dyDescent="0.25">
      <c r="A247" s="106"/>
      <c r="B247" s="107"/>
      <c r="D247" s="151" t="s">
        <v>635</v>
      </c>
      <c r="E247" s="142" t="s">
        <v>1461</v>
      </c>
      <c r="F247" s="218" t="s">
        <v>1454</v>
      </c>
      <c r="G247" s="218"/>
      <c r="H247" s="218"/>
      <c r="I247" s="219"/>
      <c r="J247" s="173"/>
    </row>
    <row r="248" spans="1:10" ht="15.75" thickBot="1" x14ac:dyDescent="0.3">
      <c r="A248" s="106"/>
      <c r="B248" s="107"/>
      <c r="D248" s="151" t="s">
        <v>636</v>
      </c>
      <c r="E248" s="182" t="s">
        <v>2086</v>
      </c>
      <c r="F248" s="183" t="s">
        <v>1701</v>
      </c>
      <c r="G248" s="206"/>
      <c r="H248" s="207"/>
      <c r="I248" s="184"/>
      <c r="J248" s="185"/>
    </row>
    <row r="249" spans="1:10" x14ac:dyDescent="0.25">
      <c r="A249" s="106"/>
      <c r="B249" s="107"/>
      <c r="D249" s="151" t="s">
        <v>637</v>
      </c>
      <c r="E249" s="142" t="s">
        <v>1460</v>
      </c>
      <c r="F249" s="218" t="s">
        <v>1453</v>
      </c>
      <c r="G249" s="226"/>
      <c r="H249" s="227"/>
      <c r="I249" s="219"/>
      <c r="J249" s="173"/>
    </row>
    <row r="250" spans="1:10" ht="15.75" thickBot="1" x14ac:dyDescent="0.3">
      <c r="A250" s="106"/>
      <c r="B250" s="107"/>
      <c r="D250" s="151" t="s">
        <v>639</v>
      </c>
      <c r="E250" s="182" t="s">
        <v>2086</v>
      </c>
      <c r="F250" s="183" t="s">
        <v>1702</v>
      </c>
      <c r="G250" s="206"/>
      <c r="H250" s="207"/>
      <c r="I250" s="184"/>
      <c r="J250" s="185"/>
    </row>
    <row r="251" spans="1:10" x14ac:dyDescent="0.25">
      <c r="A251" s="106"/>
      <c r="B251" s="107"/>
      <c r="D251" s="151" t="s">
        <v>642</v>
      </c>
      <c r="E251" s="142" t="s">
        <v>1459</v>
      </c>
      <c r="F251" s="218" t="s">
        <v>1452</v>
      </c>
      <c r="G251" s="218"/>
      <c r="H251" s="218"/>
      <c r="I251" s="219"/>
      <c r="J251" s="173"/>
    </row>
    <row r="252" spans="1:10" ht="15.75" thickBot="1" x14ac:dyDescent="0.3">
      <c r="A252" s="106"/>
      <c r="B252" s="107"/>
      <c r="D252" s="151" t="s">
        <v>643</v>
      </c>
      <c r="E252" s="182" t="s">
        <v>2086</v>
      </c>
      <c r="F252" s="183" t="s">
        <v>704</v>
      </c>
      <c r="G252" s="183"/>
      <c r="H252" s="183"/>
      <c r="I252" s="184"/>
      <c r="J252" s="185"/>
    </row>
    <row r="253" spans="1:10" x14ac:dyDescent="0.25">
      <c r="A253" s="106"/>
      <c r="B253" s="107"/>
      <c r="D253" s="151" t="s">
        <v>644</v>
      </c>
      <c r="E253" s="142" t="s">
        <v>512</v>
      </c>
      <c r="F253" s="218" t="s">
        <v>513</v>
      </c>
      <c r="G253" s="218"/>
      <c r="H253" s="218"/>
      <c r="I253" s="219"/>
      <c r="J253" s="173"/>
    </row>
    <row r="254" spans="1:10" ht="15.75" thickBot="1" x14ac:dyDescent="0.3">
      <c r="A254" s="106"/>
      <c r="B254" s="107"/>
      <c r="D254" s="151" t="s">
        <v>645</v>
      </c>
      <c r="E254" s="182" t="s">
        <v>2086</v>
      </c>
      <c r="F254" s="183" t="s">
        <v>366</v>
      </c>
      <c r="G254" s="183"/>
      <c r="H254" s="183"/>
      <c r="I254" s="184"/>
      <c r="J254" s="185"/>
    </row>
    <row r="255" spans="1:10" x14ac:dyDescent="0.25">
      <c r="A255" s="106"/>
      <c r="B255" s="107"/>
      <c r="D255" s="151" t="s">
        <v>646</v>
      </c>
      <c r="E255" s="142" t="s">
        <v>475</v>
      </c>
      <c r="F255" s="218" t="s">
        <v>476</v>
      </c>
      <c r="G255" s="218"/>
      <c r="H255" s="218"/>
      <c r="I255" s="219"/>
      <c r="J255" s="173"/>
    </row>
    <row r="256" spans="1:10" x14ac:dyDescent="0.25">
      <c r="A256" s="106"/>
      <c r="B256" s="107"/>
      <c r="D256" s="151" t="s">
        <v>647</v>
      </c>
      <c r="E256" s="142" t="s">
        <v>586</v>
      </c>
      <c r="F256" s="218" t="s">
        <v>587</v>
      </c>
      <c r="G256" s="218"/>
      <c r="H256" s="218"/>
      <c r="I256" s="219"/>
      <c r="J256" s="173"/>
    </row>
    <row r="257" spans="1:10" x14ac:dyDescent="0.25">
      <c r="A257" s="106"/>
      <c r="B257" s="107"/>
      <c r="D257" s="151" t="s">
        <v>648</v>
      </c>
      <c r="E257" s="142" t="s">
        <v>2170</v>
      </c>
      <c r="F257" s="218" t="s">
        <v>1455</v>
      </c>
      <c r="G257" s="218"/>
      <c r="H257" s="218"/>
      <c r="I257" s="218"/>
      <c r="J257" s="173"/>
    </row>
    <row r="258" spans="1:10" ht="15.75" thickBot="1" x14ac:dyDescent="0.3">
      <c r="A258" s="106"/>
      <c r="B258" s="107"/>
      <c r="D258" s="151" t="s">
        <v>649</v>
      </c>
      <c r="E258" s="182" t="s">
        <v>313</v>
      </c>
      <c r="F258" s="183" t="s">
        <v>148</v>
      </c>
      <c r="G258" s="183"/>
      <c r="H258" s="183"/>
      <c r="I258" s="183"/>
      <c r="J258" s="185"/>
    </row>
    <row r="259" spans="1:10" x14ac:dyDescent="0.25">
      <c r="A259" s="106"/>
      <c r="B259" s="107"/>
      <c r="D259" s="151" t="s">
        <v>650</v>
      </c>
      <c r="E259" s="142" t="s">
        <v>1460</v>
      </c>
      <c r="F259" s="218" t="s">
        <v>1453</v>
      </c>
      <c r="G259" s="218"/>
      <c r="H259" s="218"/>
      <c r="I259" s="218"/>
      <c r="J259" s="173"/>
    </row>
    <row r="260" spans="1:10" x14ac:dyDescent="0.25">
      <c r="A260" s="106"/>
      <c r="B260" s="107"/>
      <c r="D260" s="151" t="s">
        <v>651</v>
      </c>
      <c r="E260" s="142" t="s">
        <v>586</v>
      </c>
      <c r="F260" s="218" t="s">
        <v>587</v>
      </c>
      <c r="G260" s="218"/>
      <c r="H260" s="218"/>
      <c r="I260" s="218"/>
      <c r="J260" s="173"/>
    </row>
    <row r="261" spans="1:10" x14ac:dyDescent="0.25">
      <c r="A261" s="106"/>
      <c r="B261" s="107"/>
      <c r="D261" s="151" t="s">
        <v>653</v>
      </c>
      <c r="E261" s="142" t="s">
        <v>1891</v>
      </c>
      <c r="F261" s="218" t="s">
        <v>1826</v>
      </c>
      <c r="G261" s="218"/>
      <c r="H261" s="218"/>
      <c r="I261" s="218"/>
      <c r="J261" s="173"/>
    </row>
    <row r="262" spans="1:10" x14ac:dyDescent="0.25">
      <c r="A262" s="106"/>
      <c r="B262" s="107"/>
      <c r="D262" s="151" t="s">
        <v>654</v>
      </c>
      <c r="E262" s="142" t="s">
        <v>598</v>
      </c>
      <c r="F262" s="218" t="s">
        <v>599</v>
      </c>
      <c r="G262" s="226"/>
      <c r="H262" s="227"/>
      <c r="I262" s="218"/>
      <c r="J262" s="173"/>
    </row>
    <row r="263" spans="1:10" ht="15.75" thickBot="1" x14ac:dyDescent="0.3">
      <c r="A263" s="106"/>
      <c r="B263" s="107"/>
      <c r="D263" s="151" t="s">
        <v>657</v>
      </c>
      <c r="E263" s="182" t="s">
        <v>313</v>
      </c>
      <c r="F263" s="183" t="s">
        <v>148</v>
      </c>
      <c r="G263" s="183"/>
      <c r="H263" s="183"/>
      <c r="I263" s="183"/>
      <c r="J263" s="185"/>
    </row>
    <row r="264" spans="1:10" x14ac:dyDescent="0.25">
      <c r="A264" s="106"/>
      <c r="B264" s="107"/>
      <c r="D264" s="151" t="s">
        <v>660</v>
      </c>
      <c r="E264" s="142" t="s">
        <v>1889</v>
      </c>
      <c r="F264" s="218" t="s">
        <v>1481</v>
      </c>
      <c r="G264" s="218"/>
      <c r="H264" s="218"/>
      <c r="I264" s="218"/>
      <c r="J264" s="173"/>
    </row>
    <row r="265" spans="1:10" x14ac:dyDescent="0.25">
      <c r="A265" s="106"/>
      <c r="B265" s="107"/>
      <c r="D265" s="151" t="s">
        <v>661</v>
      </c>
      <c r="E265" s="142" t="s">
        <v>2087</v>
      </c>
      <c r="F265" s="218" t="s">
        <v>1697</v>
      </c>
      <c r="G265" s="218"/>
      <c r="H265" s="218"/>
      <c r="I265" s="219"/>
      <c r="J265" s="173"/>
    </row>
    <row r="266" spans="1:10" x14ac:dyDescent="0.25">
      <c r="A266" s="106"/>
      <c r="B266" s="107"/>
      <c r="D266" s="151" t="s">
        <v>664</v>
      </c>
      <c r="E266" s="142" t="s">
        <v>2088</v>
      </c>
      <c r="F266" s="218" t="s">
        <v>1698</v>
      </c>
      <c r="G266" s="218"/>
      <c r="H266" s="218"/>
      <c r="I266" s="218"/>
      <c r="J266" s="173"/>
    </row>
    <row r="267" spans="1:10" x14ac:dyDescent="0.25">
      <c r="A267" s="106"/>
      <c r="B267" s="107"/>
      <c r="D267" s="151" t="s">
        <v>667</v>
      </c>
      <c r="E267" s="142" t="s">
        <v>2089</v>
      </c>
      <c r="F267" s="218" t="s">
        <v>1699</v>
      </c>
      <c r="G267" s="218"/>
      <c r="H267" s="218"/>
      <c r="I267" s="218"/>
      <c r="J267" s="173"/>
    </row>
    <row r="268" spans="1:10" x14ac:dyDescent="0.25">
      <c r="A268" s="106"/>
      <c r="B268" s="107"/>
      <c r="D268" s="151" t="s">
        <v>668</v>
      </c>
      <c r="E268" s="142" t="s">
        <v>2090</v>
      </c>
      <c r="F268" s="218" t="s">
        <v>1700</v>
      </c>
      <c r="G268" s="218"/>
      <c r="H268" s="218"/>
      <c r="I268" s="218"/>
      <c r="J268" s="173"/>
    </row>
    <row r="269" spans="1:10" x14ac:dyDescent="0.25">
      <c r="A269" s="106"/>
      <c r="B269" s="107"/>
      <c r="D269" s="151" t="s">
        <v>670</v>
      </c>
      <c r="E269" s="142" t="s">
        <v>1892</v>
      </c>
      <c r="F269" s="218" t="s">
        <v>1703</v>
      </c>
      <c r="G269" s="218"/>
      <c r="H269" s="218"/>
      <c r="I269" s="218"/>
      <c r="J269" s="173"/>
    </row>
    <row r="270" spans="1:10" ht="15.75" thickBot="1" x14ac:dyDescent="0.3">
      <c r="A270" s="106"/>
      <c r="B270" s="107"/>
      <c r="D270" s="151" t="s">
        <v>671</v>
      </c>
      <c r="E270" s="182" t="s">
        <v>2091</v>
      </c>
      <c r="F270" s="183" t="s">
        <v>1701</v>
      </c>
      <c r="G270" s="183"/>
      <c r="H270" s="183"/>
      <c r="I270" s="183"/>
      <c r="J270" s="185"/>
    </row>
    <row r="271" spans="1:10" x14ac:dyDescent="0.25">
      <c r="A271" s="106"/>
      <c r="B271" s="107"/>
      <c r="D271" s="151" t="s">
        <v>672</v>
      </c>
      <c r="E271" s="142" t="s">
        <v>1893</v>
      </c>
      <c r="F271" s="218" t="s">
        <v>1704</v>
      </c>
      <c r="G271" s="218"/>
      <c r="H271" s="218"/>
      <c r="I271" s="218"/>
      <c r="J271" s="173"/>
    </row>
    <row r="272" spans="1:10" ht="15.75" thickBot="1" x14ac:dyDescent="0.3">
      <c r="A272" s="106"/>
      <c r="B272" s="107"/>
      <c r="D272" s="151" t="s">
        <v>673</v>
      </c>
      <c r="E272" s="182" t="s">
        <v>2091</v>
      </c>
      <c r="F272" s="183" t="s">
        <v>1702</v>
      </c>
      <c r="G272" s="183"/>
      <c r="H272" s="183"/>
      <c r="I272" s="184"/>
      <c r="J272" s="185"/>
    </row>
    <row r="273" spans="1:10" x14ac:dyDescent="0.25">
      <c r="A273" s="106"/>
      <c r="B273" s="107"/>
      <c r="D273" s="151" t="s">
        <v>674</v>
      </c>
      <c r="E273" s="142" t="s">
        <v>1894</v>
      </c>
      <c r="F273" s="218" t="s">
        <v>1705</v>
      </c>
      <c r="G273" s="218"/>
      <c r="H273" s="218"/>
      <c r="I273" s="219"/>
      <c r="J273" s="173"/>
    </row>
    <row r="274" spans="1:10" ht="15.75" thickBot="1" x14ac:dyDescent="0.3">
      <c r="A274" s="106"/>
      <c r="B274" s="107"/>
      <c r="D274" s="151" t="s">
        <v>675</v>
      </c>
      <c r="E274" s="182" t="s">
        <v>2091</v>
      </c>
      <c r="F274" s="183" t="s">
        <v>704</v>
      </c>
      <c r="G274" s="183"/>
      <c r="H274" s="183"/>
      <c r="I274" s="184"/>
      <c r="J274" s="185"/>
    </row>
    <row r="275" spans="1:10" x14ac:dyDescent="0.25">
      <c r="A275" s="106"/>
      <c r="B275" s="107"/>
      <c r="D275" s="151" t="s">
        <v>677</v>
      </c>
      <c r="E275" s="142" t="s">
        <v>1895</v>
      </c>
      <c r="F275" s="218" t="s">
        <v>1706</v>
      </c>
      <c r="G275" s="218"/>
      <c r="H275" s="218"/>
      <c r="I275" s="219"/>
      <c r="J275" s="173"/>
    </row>
    <row r="276" spans="1:10" ht="15.75" thickBot="1" x14ac:dyDescent="0.3">
      <c r="A276" s="106"/>
      <c r="B276" s="107"/>
      <c r="D276" s="151" t="s">
        <v>678</v>
      </c>
      <c r="E276" s="182" t="s">
        <v>2091</v>
      </c>
      <c r="F276" s="183" t="s">
        <v>366</v>
      </c>
      <c r="G276" s="183"/>
      <c r="H276" s="183"/>
      <c r="I276" s="184"/>
      <c r="J276" s="185"/>
    </row>
    <row r="277" spans="1:10" x14ac:dyDescent="0.25">
      <c r="A277" s="106"/>
      <c r="B277" s="107"/>
      <c r="D277" s="151" t="s">
        <v>679</v>
      </c>
      <c r="E277" s="142" t="s">
        <v>1896</v>
      </c>
      <c r="F277" s="218" t="s">
        <v>1707</v>
      </c>
      <c r="G277" s="218"/>
      <c r="H277" s="218"/>
      <c r="I277" s="219"/>
      <c r="J277" s="173"/>
    </row>
    <row r="278" spans="1:10" x14ac:dyDescent="0.25">
      <c r="A278" s="106"/>
      <c r="B278" s="107"/>
      <c r="D278" s="151" t="s">
        <v>680</v>
      </c>
      <c r="E278" s="142" t="s">
        <v>586</v>
      </c>
      <c r="F278" s="218" t="s">
        <v>587</v>
      </c>
      <c r="G278" s="218"/>
      <c r="H278" s="218"/>
      <c r="I278" s="219"/>
      <c r="J278" s="173"/>
    </row>
    <row r="279" spans="1:10" x14ac:dyDescent="0.25">
      <c r="A279" s="106"/>
      <c r="B279" s="107"/>
      <c r="D279" s="151" t="s">
        <v>681</v>
      </c>
      <c r="E279" s="142" t="s">
        <v>2171</v>
      </c>
      <c r="F279" s="218" t="s">
        <v>1708</v>
      </c>
      <c r="G279" s="218"/>
      <c r="H279" s="218"/>
      <c r="I279" s="219"/>
      <c r="J279" s="173"/>
    </row>
    <row r="280" spans="1:10" ht="15.75" thickBot="1" x14ac:dyDescent="0.3">
      <c r="A280" s="106"/>
      <c r="B280" s="107"/>
      <c r="D280" s="151" t="s">
        <v>682</v>
      </c>
      <c r="E280" s="182" t="s">
        <v>313</v>
      </c>
      <c r="F280" s="183" t="s">
        <v>148</v>
      </c>
      <c r="G280" s="183"/>
      <c r="H280" s="183"/>
      <c r="I280" s="184"/>
      <c r="J280" s="185"/>
    </row>
    <row r="281" spans="1:10" x14ac:dyDescent="0.25">
      <c r="A281" s="106"/>
      <c r="B281" s="107"/>
      <c r="D281" s="151" t="s">
        <v>683</v>
      </c>
      <c r="E281" s="142" t="s">
        <v>542</v>
      </c>
      <c r="F281" s="218" t="s">
        <v>543</v>
      </c>
      <c r="G281" s="218"/>
      <c r="H281" s="218"/>
      <c r="I281" s="219"/>
      <c r="J281" s="173"/>
    </row>
    <row r="282" spans="1:10" x14ac:dyDescent="0.25">
      <c r="A282" s="106"/>
      <c r="B282" s="107"/>
      <c r="D282" s="151" t="s">
        <v>686</v>
      </c>
      <c r="E282" s="142" t="s">
        <v>1869</v>
      </c>
      <c r="F282" s="218" t="s">
        <v>545</v>
      </c>
      <c r="G282" s="218"/>
      <c r="H282" s="218"/>
      <c r="I282" s="219"/>
      <c r="J282" s="173"/>
    </row>
    <row r="283" spans="1:10" x14ac:dyDescent="0.25">
      <c r="A283" s="106"/>
      <c r="B283" s="107"/>
      <c r="D283" s="151" t="s">
        <v>687</v>
      </c>
      <c r="E283" s="142" t="s">
        <v>620</v>
      </c>
      <c r="F283" s="218" t="s">
        <v>1709</v>
      </c>
      <c r="G283" s="218"/>
      <c r="H283" s="218"/>
      <c r="I283" s="219"/>
      <c r="J283" s="173"/>
    </row>
    <row r="284" spans="1:10" x14ac:dyDescent="0.25">
      <c r="A284" s="106"/>
      <c r="B284" s="107"/>
      <c r="D284" s="151" t="s">
        <v>688</v>
      </c>
      <c r="E284" s="142" t="s">
        <v>1894</v>
      </c>
      <c r="F284" s="218" t="s">
        <v>1705</v>
      </c>
      <c r="G284" s="218"/>
      <c r="H284" s="218"/>
      <c r="I284" s="219"/>
      <c r="J284" s="173"/>
    </row>
    <row r="285" spans="1:10" x14ac:dyDescent="0.25">
      <c r="A285" s="106"/>
      <c r="B285" s="107"/>
      <c r="D285" s="151" t="s">
        <v>689</v>
      </c>
      <c r="E285" s="142" t="s">
        <v>586</v>
      </c>
      <c r="F285" s="218" t="s">
        <v>587</v>
      </c>
      <c r="G285" s="218"/>
      <c r="H285" s="218"/>
      <c r="I285" s="219"/>
      <c r="J285" s="173"/>
    </row>
    <row r="286" spans="1:10" x14ac:dyDescent="0.25">
      <c r="A286" s="106"/>
      <c r="B286" s="107"/>
      <c r="D286" s="151" t="s">
        <v>690</v>
      </c>
      <c r="E286" s="142" t="s">
        <v>2171</v>
      </c>
      <c r="F286" s="218" t="s">
        <v>1708</v>
      </c>
      <c r="G286" s="218"/>
      <c r="H286" s="218"/>
      <c r="I286" s="219"/>
      <c r="J286" s="173"/>
    </row>
    <row r="287" spans="1:10" ht="15.75" thickBot="1" x14ac:dyDescent="0.3">
      <c r="A287" s="106"/>
      <c r="B287" s="107"/>
      <c r="D287" s="151" t="s">
        <v>691</v>
      </c>
      <c r="E287" s="182" t="s">
        <v>313</v>
      </c>
      <c r="F287" s="183" t="s">
        <v>148</v>
      </c>
      <c r="G287" s="183"/>
      <c r="H287" s="183"/>
      <c r="I287" s="184"/>
      <c r="J287" s="185"/>
    </row>
    <row r="288" spans="1:10" x14ac:dyDescent="0.25">
      <c r="A288" s="106"/>
      <c r="B288" s="107"/>
      <c r="D288" s="151" t="s">
        <v>692</v>
      </c>
      <c r="E288" s="142" t="s">
        <v>630</v>
      </c>
      <c r="F288" s="218" t="s">
        <v>631</v>
      </c>
      <c r="G288" s="218"/>
      <c r="H288" s="218"/>
      <c r="I288" s="219"/>
      <c r="J288" s="173"/>
    </row>
    <row r="289" spans="1:10" x14ac:dyDescent="0.25">
      <c r="A289" s="106"/>
      <c r="B289" s="107"/>
      <c r="D289" s="151" t="s">
        <v>695</v>
      </c>
      <c r="E289" s="142" t="s">
        <v>1869</v>
      </c>
      <c r="F289" s="218" t="s">
        <v>545</v>
      </c>
      <c r="G289" s="218"/>
      <c r="H289" s="218"/>
      <c r="I289" s="219"/>
      <c r="J289" s="173"/>
    </row>
    <row r="290" spans="1:10" x14ac:dyDescent="0.25">
      <c r="A290" s="106"/>
      <c r="B290" s="107"/>
      <c r="D290" s="151" t="s">
        <v>696</v>
      </c>
      <c r="E290" s="142" t="s">
        <v>628</v>
      </c>
      <c r="F290" s="218" t="s">
        <v>1710</v>
      </c>
      <c r="G290" s="218"/>
      <c r="H290" s="218"/>
      <c r="I290" s="219"/>
      <c r="J290" s="173"/>
    </row>
    <row r="291" spans="1:10" x14ac:dyDescent="0.25">
      <c r="A291" s="106"/>
      <c r="B291" s="107"/>
      <c r="D291" s="151" t="s">
        <v>698</v>
      </c>
      <c r="E291" s="142" t="s">
        <v>1895</v>
      </c>
      <c r="F291" s="218" t="s">
        <v>1706</v>
      </c>
      <c r="G291" s="218"/>
      <c r="H291" s="218"/>
      <c r="I291" s="219"/>
      <c r="J291" s="173"/>
    </row>
    <row r="292" spans="1:10" ht="15.75" thickBot="1" x14ac:dyDescent="0.3">
      <c r="A292" s="106"/>
      <c r="B292" s="107"/>
      <c r="D292" s="151" t="s">
        <v>699</v>
      </c>
      <c r="E292" s="182" t="s">
        <v>2172</v>
      </c>
      <c r="F292" s="183" t="s">
        <v>618</v>
      </c>
      <c r="G292" s="183"/>
      <c r="H292" s="183"/>
      <c r="I292" s="184"/>
      <c r="J292" s="185"/>
    </row>
    <row r="293" spans="1:10" x14ac:dyDescent="0.25">
      <c r="A293" s="106"/>
      <c r="B293" s="107"/>
      <c r="D293" s="151" t="s">
        <v>700</v>
      </c>
      <c r="E293" s="142" t="s">
        <v>640</v>
      </c>
      <c r="F293" s="218" t="s">
        <v>641</v>
      </c>
      <c r="G293" s="221"/>
      <c r="H293" s="218"/>
      <c r="I293" s="219"/>
      <c r="J293" s="173"/>
    </row>
    <row r="294" spans="1:10" x14ac:dyDescent="0.25">
      <c r="A294" s="106"/>
      <c r="B294" s="107"/>
      <c r="D294" s="151" t="s">
        <v>701</v>
      </c>
      <c r="E294" s="142" t="s">
        <v>1869</v>
      </c>
      <c r="F294" s="218" t="s">
        <v>545</v>
      </c>
      <c r="G294" s="218"/>
      <c r="H294" s="218"/>
      <c r="I294" s="219"/>
      <c r="J294" s="173"/>
    </row>
    <row r="295" spans="1:10" x14ac:dyDescent="0.25">
      <c r="A295" s="106"/>
      <c r="B295" s="107"/>
      <c r="D295" s="151" t="s">
        <v>702</v>
      </c>
      <c r="E295" s="142" t="s">
        <v>638</v>
      </c>
      <c r="F295" s="218" t="s">
        <v>1711</v>
      </c>
      <c r="G295" s="218"/>
      <c r="H295" s="218"/>
      <c r="I295" s="219"/>
      <c r="J295" s="173"/>
    </row>
    <row r="296" spans="1:10" x14ac:dyDescent="0.25">
      <c r="A296" s="106"/>
      <c r="B296" s="107"/>
      <c r="D296" s="151" t="s">
        <v>703</v>
      </c>
      <c r="E296" s="142" t="s">
        <v>1896</v>
      </c>
      <c r="F296" s="218" t="s">
        <v>1707</v>
      </c>
      <c r="G296" s="218"/>
      <c r="H296" s="218"/>
      <c r="I296" s="219"/>
      <c r="J296" s="173"/>
    </row>
    <row r="297" spans="1:10" ht="15.75" thickBot="1" x14ac:dyDescent="0.3">
      <c r="A297" s="106"/>
      <c r="B297" s="107"/>
      <c r="D297" s="151" t="s">
        <v>705</v>
      </c>
      <c r="E297" s="182" t="s">
        <v>2172</v>
      </c>
      <c r="F297" s="183" t="s">
        <v>618</v>
      </c>
      <c r="G297" s="183"/>
      <c r="H297" s="183"/>
      <c r="I297" s="184"/>
      <c r="J297" s="185"/>
    </row>
    <row r="298" spans="1:10" x14ac:dyDescent="0.25">
      <c r="A298" s="106"/>
      <c r="B298" s="107"/>
      <c r="D298" s="151" t="s">
        <v>706</v>
      </c>
      <c r="E298" s="142" t="s">
        <v>592</v>
      </c>
      <c r="F298" s="218" t="s">
        <v>593</v>
      </c>
      <c r="G298" s="218"/>
      <c r="H298" s="218"/>
      <c r="I298" s="219"/>
      <c r="J298" s="173"/>
    </row>
    <row r="299" spans="1:10" x14ac:dyDescent="0.25">
      <c r="A299" s="106"/>
      <c r="B299" s="107"/>
      <c r="D299" s="151" t="s">
        <v>707</v>
      </c>
      <c r="E299" s="142" t="s">
        <v>1869</v>
      </c>
      <c r="F299" s="218" t="s">
        <v>545</v>
      </c>
      <c r="G299" s="218"/>
      <c r="H299" s="218"/>
      <c r="I299" s="219"/>
      <c r="J299" s="173"/>
    </row>
    <row r="300" spans="1:10" x14ac:dyDescent="0.25">
      <c r="A300" s="106"/>
      <c r="B300" s="107"/>
      <c r="D300" s="151" t="s">
        <v>708</v>
      </c>
      <c r="E300" s="142" t="s">
        <v>590</v>
      </c>
      <c r="F300" s="218" t="s">
        <v>1712</v>
      </c>
      <c r="G300" s="218"/>
      <c r="H300" s="218"/>
      <c r="I300" s="219"/>
      <c r="J300" s="173"/>
    </row>
    <row r="301" spans="1:10" x14ac:dyDescent="0.25">
      <c r="A301" s="106"/>
      <c r="B301" s="107"/>
      <c r="D301" s="151" t="s">
        <v>710</v>
      </c>
      <c r="E301" s="142" t="s">
        <v>1893</v>
      </c>
      <c r="F301" s="218" t="s">
        <v>1704</v>
      </c>
      <c r="G301" s="218"/>
      <c r="H301" s="218"/>
      <c r="I301" s="218"/>
      <c r="J301" s="173"/>
    </row>
    <row r="302" spans="1:10" ht="15.75" thickBot="1" x14ac:dyDescent="0.3">
      <c r="A302" s="106"/>
      <c r="B302" s="107"/>
      <c r="D302" s="151" t="s">
        <v>711</v>
      </c>
      <c r="E302" s="182" t="s">
        <v>2172</v>
      </c>
      <c r="F302" s="183" t="s">
        <v>618</v>
      </c>
      <c r="G302" s="183"/>
      <c r="H302" s="183"/>
      <c r="I302" s="183"/>
      <c r="J302" s="185"/>
    </row>
    <row r="303" spans="1:10" x14ac:dyDescent="0.25">
      <c r="A303" s="106"/>
      <c r="B303" s="107"/>
      <c r="D303" s="151" t="s">
        <v>713</v>
      </c>
      <c r="E303" s="142" t="s">
        <v>611</v>
      </c>
      <c r="F303" s="218" t="s">
        <v>612</v>
      </c>
      <c r="G303" s="218"/>
      <c r="H303" s="218"/>
      <c r="I303" s="218"/>
      <c r="J303" s="173"/>
    </row>
    <row r="304" spans="1:10" x14ac:dyDescent="0.25">
      <c r="A304" s="106"/>
      <c r="B304" s="107"/>
      <c r="D304" s="151" t="s">
        <v>714</v>
      </c>
      <c r="E304" s="142" t="s">
        <v>1869</v>
      </c>
      <c r="F304" s="218" t="s">
        <v>545</v>
      </c>
      <c r="G304" s="218"/>
      <c r="H304" s="218"/>
      <c r="I304" s="218"/>
      <c r="J304" s="173"/>
    </row>
    <row r="305" spans="1:10" x14ac:dyDescent="0.25">
      <c r="A305" s="106"/>
      <c r="B305" s="107"/>
      <c r="D305" s="151" t="s">
        <v>715</v>
      </c>
      <c r="E305" s="142" t="s">
        <v>609</v>
      </c>
      <c r="F305" s="218" t="s">
        <v>1713</v>
      </c>
      <c r="G305" s="218"/>
      <c r="H305" s="218"/>
      <c r="I305" s="218"/>
      <c r="J305" s="173"/>
    </row>
    <row r="306" spans="1:10" x14ac:dyDescent="0.25">
      <c r="A306" s="106"/>
      <c r="B306" s="107"/>
      <c r="D306" s="151" t="s">
        <v>716</v>
      </c>
      <c r="E306" s="142" t="s">
        <v>1892</v>
      </c>
      <c r="F306" s="218" t="s">
        <v>1703</v>
      </c>
      <c r="G306" s="218"/>
      <c r="H306" s="218"/>
      <c r="I306" s="218"/>
      <c r="J306" s="173"/>
    </row>
    <row r="307" spans="1:10" ht="15.75" thickBot="1" x14ac:dyDescent="0.3">
      <c r="A307" s="106"/>
      <c r="B307" s="107"/>
      <c r="D307" s="151" t="s">
        <v>717</v>
      </c>
      <c r="E307" s="182" t="s">
        <v>2172</v>
      </c>
      <c r="F307" s="183" t="s">
        <v>618</v>
      </c>
      <c r="G307" s="206"/>
      <c r="H307" s="183"/>
      <c r="I307" s="183"/>
      <c r="J307" s="185"/>
    </row>
    <row r="308" spans="1:10" x14ac:dyDescent="0.25">
      <c r="A308" s="106"/>
      <c r="B308" s="107"/>
      <c r="D308" s="151" t="s">
        <v>718</v>
      </c>
      <c r="E308" s="142" t="s">
        <v>2173</v>
      </c>
      <c r="F308" s="218" t="s">
        <v>652</v>
      </c>
      <c r="G308" s="218"/>
      <c r="H308" s="218"/>
      <c r="I308" s="218"/>
      <c r="J308" s="173"/>
    </row>
    <row r="309" spans="1:10" x14ac:dyDescent="0.25">
      <c r="A309" s="106"/>
      <c r="B309" s="107"/>
      <c r="D309" s="151" t="s">
        <v>719</v>
      </c>
      <c r="E309" s="142" t="s">
        <v>2170</v>
      </c>
      <c r="F309" s="218" t="s">
        <v>1455</v>
      </c>
      <c r="G309" s="218"/>
      <c r="H309" s="218"/>
      <c r="I309" s="218"/>
      <c r="J309" s="173"/>
    </row>
    <row r="310" spans="1:10" x14ac:dyDescent="0.25">
      <c r="A310" s="106"/>
      <c r="B310" s="107"/>
      <c r="D310" s="151" t="s">
        <v>720</v>
      </c>
      <c r="E310" s="142" t="s">
        <v>655</v>
      </c>
      <c r="F310" s="218" t="s">
        <v>656</v>
      </c>
      <c r="G310" s="218"/>
      <c r="H310" s="218"/>
      <c r="I310" s="218"/>
      <c r="J310" s="173"/>
    </row>
    <row r="311" spans="1:10" x14ac:dyDescent="0.25">
      <c r="A311" s="106"/>
      <c r="B311" s="107"/>
      <c r="D311" s="151" t="s">
        <v>721</v>
      </c>
      <c r="E311" s="142" t="s">
        <v>658</v>
      </c>
      <c r="F311" s="218" t="s">
        <v>659</v>
      </c>
      <c r="G311" s="218"/>
      <c r="H311" s="218"/>
      <c r="I311" s="219"/>
      <c r="J311" s="173"/>
    </row>
    <row r="312" spans="1:10" x14ac:dyDescent="0.25">
      <c r="A312" s="106"/>
      <c r="B312" s="107"/>
      <c r="D312" s="151" t="s">
        <v>722</v>
      </c>
      <c r="E312" s="142" t="s">
        <v>1868</v>
      </c>
      <c r="F312" s="218" t="s">
        <v>539</v>
      </c>
      <c r="G312" s="218"/>
      <c r="H312" s="218"/>
      <c r="I312" s="219"/>
      <c r="J312" s="173"/>
    </row>
    <row r="313" spans="1:10" x14ac:dyDescent="0.25">
      <c r="A313" s="106"/>
      <c r="B313" s="107"/>
      <c r="D313" s="151" t="s">
        <v>723</v>
      </c>
      <c r="E313" s="142" t="s">
        <v>662</v>
      </c>
      <c r="F313" s="218" t="s">
        <v>663</v>
      </c>
      <c r="G313" s="218"/>
      <c r="H313" s="218"/>
      <c r="I313" s="218"/>
      <c r="J313" s="173"/>
    </row>
    <row r="314" spans="1:10" x14ac:dyDescent="0.25">
      <c r="A314" s="106"/>
      <c r="B314" s="107"/>
      <c r="D314" s="151" t="s">
        <v>726</v>
      </c>
      <c r="E314" s="142" t="s">
        <v>665</v>
      </c>
      <c r="F314" s="218" t="s">
        <v>666</v>
      </c>
      <c r="G314" s="218"/>
      <c r="H314" s="218"/>
      <c r="I314" s="218"/>
      <c r="J314" s="173"/>
    </row>
    <row r="315" spans="1:10" ht="15.75" thickBot="1" x14ac:dyDescent="0.3">
      <c r="A315" s="106"/>
      <c r="B315" s="107"/>
      <c r="D315" s="151" t="s">
        <v>727</v>
      </c>
      <c r="E315" s="182" t="s">
        <v>313</v>
      </c>
      <c r="F315" s="183" t="s">
        <v>148</v>
      </c>
      <c r="G315" s="183"/>
      <c r="H315" s="183"/>
      <c r="I315" s="183"/>
      <c r="J315" s="185"/>
    </row>
    <row r="316" spans="1:10" x14ac:dyDescent="0.25">
      <c r="A316" s="106"/>
      <c r="B316" s="107"/>
      <c r="D316" s="151" t="s">
        <v>728</v>
      </c>
      <c r="E316" s="142" t="s">
        <v>363</v>
      </c>
      <c r="F316" s="218" t="s">
        <v>669</v>
      </c>
      <c r="G316" s="229"/>
      <c r="H316" s="218"/>
      <c r="I316" s="218"/>
      <c r="J316" s="173"/>
    </row>
    <row r="317" spans="1:10" x14ac:dyDescent="0.25">
      <c r="A317" s="106"/>
      <c r="B317" s="107"/>
      <c r="D317" s="151" t="s">
        <v>729</v>
      </c>
      <c r="E317" s="142" t="s">
        <v>598</v>
      </c>
      <c r="F317" s="218" t="s">
        <v>599</v>
      </c>
      <c r="G317" s="218"/>
      <c r="H317" s="218"/>
      <c r="I317" s="218"/>
      <c r="J317" s="173"/>
    </row>
    <row r="318" spans="1:10" ht="15.75" thickBot="1" x14ac:dyDescent="0.3">
      <c r="A318" s="106"/>
      <c r="B318" s="107"/>
      <c r="D318" s="151" t="s">
        <v>730</v>
      </c>
      <c r="E318" s="182" t="s">
        <v>313</v>
      </c>
      <c r="F318" s="183" t="s">
        <v>148</v>
      </c>
      <c r="G318" s="245"/>
      <c r="H318" s="190"/>
      <c r="I318" s="184"/>
      <c r="J318" s="185"/>
    </row>
    <row r="319" spans="1:10" x14ac:dyDescent="0.25">
      <c r="A319" s="106"/>
      <c r="B319" s="107"/>
      <c r="D319" s="151" t="s">
        <v>731</v>
      </c>
      <c r="E319" s="142" t="s">
        <v>2173</v>
      </c>
      <c r="F319" s="218" t="s">
        <v>652</v>
      </c>
      <c r="G319" s="218"/>
      <c r="H319" s="218"/>
      <c r="I319" s="218"/>
      <c r="J319" s="173"/>
    </row>
    <row r="320" spans="1:10" x14ac:dyDescent="0.25">
      <c r="A320" s="106"/>
      <c r="B320" s="107"/>
      <c r="D320" s="151" t="s">
        <v>732</v>
      </c>
      <c r="E320" s="142" t="s">
        <v>2170</v>
      </c>
      <c r="F320" s="218" t="s">
        <v>1455</v>
      </c>
      <c r="G320" s="218"/>
      <c r="H320" s="218"/>
      <c r="I320" s="218"/>
      <c r="J320" s="173"/>
    </row>
    <row r="321" spans="1:10" x14ac:dyDescent="0.25">
      <c r="A321" s="106"/>
      <c r="B321" s="107"/>
      <c r="D321" s="151" t="s">
        <v>733</v>
      </c>
      <c r="E321" s="142" t="s">
        <v>1962</v>
      </c>
      <c r="F321" s="218" t="s">
        <v>1958</v>
      </c>
      <c r="G321" s="218"/>
      <c r="H321" s="218"/>
      <c r="I321" s="218"/>
      <c r="J321" s="173"/>
    </row>
    <row r="322" spans="1:10" x14ac:dyDescent="0.25">
      <c r="A322" s="106"/>
      <c r="B322" s="107"/>
      <c r="D322" s="151" t="s">
        <v>734</v>
      </c>
      <c r="E322" s="142" t="s">
        <v>676</v>
      </c>
      <c r="F322" s="218" t="s">
        <v>1959</v>
      </c>
      <c r="G322" s="218"/>
      <c r="H322" s="218"/>
      <c r="I322" s="218"/>
      <c r="J322" s="173"/>
    </row>
    <row r="323" spans="1:10" x14ac:dyDescent="0.25">
      <c r="A323" s="106"/>
      <c r="B323" s="107"/>
      <c r="D323" s="151" t="s">
        <v>735</v>
      </c>
      <c r="E323" s="142" t="s">
        <v>1963</v>
      </c>
      <c r="F323" s="218" t="s">
        <v>1960</v>
      </c>
      <c r="G323" s="218"/>
      <c r="H323" s="218"/>
      <c r="I323" s="219"/>
      <c r="J323" s="173"/>
    </row>
    <row r="324" spans="1:10" x14ac:dyDescent="0.25">
      <c r="A324" s="106"/>
      <c r="B324" s="107"/>
      <c r="D324" s="151" t="s">
        <v>736</v>
      </c>
      <c r="E324" s="142" t="s">
        <v>2092</v>
      </c>
      <c r="F324" s="218" t="s">
        <v>1714</v>
      </c>
      <c r="G324" s="218"/>
      <c r="H324" s="218"/>
      <c r="I324" s="219"/>
      <c r="J324" s="173"/>
    </row>
    <row r="325" spans="1:10" x14ac:dyDescent="0.25">
      <c r="A325" s="106"/>
      <c r="B325" s="107"/>
      <c r="D325" s="151" t="s">
        <v>737</v>
      </c>
      <c r="E325" s="142" t="s">
        <v>1886</v>
      </c>
      <c r="F325" s="218" t="s">
        <v>1823</v>
      </c>
      <c r="G325" s="218"/>
      <c r="H325" s="218"/>
      <c r="I325" s="219"/>
      <c r="J325" s="173"/>
    </row>
    <row r="326" spans="1:10" ht="15.75" thickBot="1" x14ac:dyDescent="0.3">
      <c r="A326" s="106"/>
      <c r="B326" s="107"/>
      <c r="D326" s="151" t="s">
        <v>738</v>
      </c>
      <c r="E326" s="182" t="s">
        <v>313</v>
      </c>
      <c r="F326" s="183" t="s">
        <v>148</v>
      </c>
      <c r="G326" s="183"/>
      <c r="H326" s="183"/>
      <c r="I326" s="184"/>
      <c r="J326" s="185"/>
    </row>
    <row r="327" spans="1:10" x14ac:dyDescent="0.25">
      <c r="A327" s="106"/>
      <c r="B327" s="107"/>
      <c r="D327" s="151" t="s">
        <v>739</v>
      </c>
      <c r="E327" s="142" t="s">
        <v>1897</v>
      </c>
      <c r="F327" s="218" t="s">
        <v>1827</v>
      </c>
      <c r="G327" s="218"/>
      <c r="H327" s="218"/>
      <c r="I327" s="219"/>
      <c r="J327" s="173"/>
    </row>
    <row r="328" spans="1:10" ht="15.75" thickBot="1" x14ac:dyDescent="0.3">
      <c r="A328" s="106"/>
      <c r="B328" s="107"/>
      <c r="D328" s="151" t="s">
        <v>740</v>
      </c>
      <c r="E328" s="182" t="s">
        <v>313</v>
      </c>
      <c r="F328" s="183" t="s">
        <v>148</v>
      </c>
      <c r="G328" s="183"/>
      <c r="H328" s="183"/>
      <c r="I328" s="184"/>
      <c r="J328" s="185"/>
    </row>
    <row r="329" spans="1:10" x14ac:dyDescent="0.25">
      <c r="A329" s="106"/>
      <c r="B329" s="107"/>
      <c r="D329" s="151" t="s">
        <v>741</v>
      </c>
      <c r="E329" s="142" t="s">
        <v>475</v>
      </c>
      <c r="F329" s="218" t="s">
        <v>998</v>
      </c>
      <c r="G329" s="218"/>
      <c r="H329" s="218"/>
      <c r="I329" s="219"/>
      <c r="J329" s="173"/>
    </row>
    <row r="330" spans="1:10" ht="15.75" thickBot="1" x14ac:dyDescent="0.3">
      <c r="A330" s="106"/>
      <c r="B330" s="107"/>
      <c r="D330" s="151" t="s">
        <v>742</v>
      </c>
      <c r="E330" s="182" t="s">
        <v>2174</v>
      </c>
      <c r="F330" s="183" t="s">
        <v>903</v>
      </c>
      <c r="G330" s="183"/>
      <c r="H330" s="183"/>
      <c r="I330" s="184"/>
      <c r="J330" s="185"/>
    </row>
    <row r="331" spans="1:10" x14ac:dyDescent="0.25">
      <c r="A331" s="106"/>
      <c r="B331" s="107"/>
      <c r="D331" s="151" t="s">
        <v>743</v>
      </c>
      <c r="E331" s="142" t="s">
        <v>363</v>
      </c>
      <c r="F331" s="218" t="s">
        <v>460</v>
      </c>
      <c r="G331" s="218"/>
      <c r="H331" s="218"/>
      <c r="I331" s="219"/>
      <c r="J331" s="173"/>
    </row>
    <row r="332" spans="1:10" x14ac:dyDescent="0.25">
      <c r="A332" s="106"/>
      <c r="B332" s="107"/>
      <c r="D332" s="151" t="s">
        <v>744</v>
      </c>
      <c r="E332" s="142" t="s">
        <v>1898</v>
      </c>
      <c r="F332" s="218" t="s">
        <v>709</v>
      </c>
      <c r="G332" s="218"/>
      <c r="H332" s="218"/>
      <c r="I332" s="219"/>
      <c r="J332" s="173"/>
    </row>
    <row r="333" spans="1:10" x14ac:dyDescent="0.25">
      <c r="A333" s="106"/>
      <c r="B333" s="107"/>
      <c r="D333" s="151" t="s">
        <v>745</v>
      </c>
      <c r="E333" s="142" t="s">
        <v>1855</v>
      </c>
      <c r="F333" s="218" t="s">
        <v>345</v>
      </c>
      <c r="G333" s="218"/>
      <c r="H333" s="218"/>
      <c r="I333" s="219"/>
      <c r="J333" s="173"/>
    </row>
    <row r="334" spans="1:10" x14ac:dyDescent="0.25">
      <c r="A334" s="106"/>
      <c r="B334" s="107"/>
      <c r="D334" s="151" t="s">
        <v>746</v>
      </c>
      <c r="E334" s="142" t="s">
        <v>2175</v>
      </c>
      <c r="F334" s="218" t="s">
        <v>1828</v>
      </c>
      <c r="G334" s="226"/>
      <c r="H334" s="227"/>
      <c r="I334" s="219"/>
      <c r="J334" s="173"/>
    </row>
    <row r="335" spans="1:10" x14ac:dyDescent="0.25">
      <c r="A335" s="106"/>
      <c r="B335" s="107"/>
      <c r="D335" s="151" t="s">
        <v>747</v>
      </c>
      <c r="E335" s="142" t="s">
        <v>1899</v>
      </c>
      <c r="F335" s="218" t="s">
        <v>758</v>
      </c>
      <c r="G335" s="218"/>
      <c r="H335" s="218"/>
      <c r="I335" s="219"/>
      <c r="J335" s="173"/>
    </row>
    <row r="336" spans="1:10" x14ac:dyDescent="0.25">
      <c r="A336" s="106"/>
      <c r="B336" s="107"/>
      <c r="D336" s="151" t="s">
        <v>748</v>
      </c>
      <c r="E336" s="142" t="s">
        <v>906</v>
      </c>
      <c r="F336" s="218" t="s">
        <v>907</v>
      </c>
      <c r="G336" s="218"/>
      <c r="H336" s="218"/>
      <c r="I336" s="219"/>
      <c r="J336" s="173"/>
    </row>
    <row r="337" spans="1:10" x14ac:dyDescent="0.25">
      <c r="A337" s="106"/>
      <c r="B337" s="107"/>
      <c r="D337" s="151" t="s">
        <v>749</v>
      </c>
      <c r="E337" s="142" t="s">
        <v>1898</v>
      </c>
      <c r="F337" s="218" t="s">
        <v>709</v>
      </c>
      <c r="G337" s="218"/>
      <c r="H337" s="218"/>
      <c r="I337" s="219"/>
      <c r="J337" s="173"/>
    </row>
    <row r="338" spans="1:10" x14ac:dyDescent="0.25">
      <c r="A338" s="106"/>
      <c r="B338" s="107"/>
      <c r="D338" s="151" t="s">
        <v>750</v>
      </c>
      <c r="E338" s="142" t="s">
        <v>1855</v>
      </c>
      <c r="F338" s="218" t="s">
        <v>345</v>
      </c>
      <c r="G338" s="218"/>
      <c r="H338" s="218"/>
      <c r="I338" s="219"/>
      <c r="J338" s="173"/>
    </row>
    <row r="339" spans="1:10" x14ac:dyDescent="0.25">
      <c r="A339" s="106"/>
      <c r="B339" s="107"/>
      <c r="D339" s="151" t="s">
        <v>751</v>
      </c>
      <c r="E339" s="142" t="s">
        <v>2176</v>
      </c>
      <c r="F339" s="218" t="s">
        <v>1829</v>
      </c>
      <c r="G339" s="218"/>
      <c r="H339" s="218"/>
      <c r="I339" s="230"/>
      <c r="J339" s="173"/>
    </row>
    <row r="340" spans="1:10" x14ac:dyDescent="0.25">
      <c r="A340" s="106"/>
      <c r="B340" s="107"/>
      <c r="D340" s="151" t="s">
        <v>752</v>
      </c>
      <c r="E340" s="142" t="s">
        <v>1899</v>
      </c>
      <c r="F340" s="218" t="s">
        <v>758</v>
      </c>
      <c r="G340" s="218"/>
      <c r="H340" s="218"/>
      <c r="I340" s="230"/>
      <c r="J340" s="173"/>
    </row>
    <row r="341" spans="1:10" x14ac:dyDescent="0.25">
      <c r="A341" s="106"/>
      <c r="B341" s="107"/>
      <c r="D341" s="151" t="s">
        <v>753</v>
      </c>
      <c r="E341" s="142" t="s">
        <v>1900</v>
      </c>
      <c r="F341" s="218" t="s">
        <v>1830</v>
      </c>
      <c r="G341" s="218"/>
      <c r="H341" s="218"/>
      <c r="I341" s="219"/>
      <c r="J341" s="173"/>
    </row>
    <row r="342" spans="1:10" x14ac:dyDescent="0.25">
      <c r="A342" s="106"/>
      <c r="B342" s="107"/>
      <c r="D342" s="151" t="s">
        <v>754</v>
      </c>
      <c r="E342" s="142" t="s">
        <v>1898</v>
      </c>
      <c r="F342" s="218" t="s">
        <v>709</v>
      </c>
      <c r="G342" s="223"/>
      <c r="H342" s="218"/>
      <c r="I342" s="219"/>
      <c r="J342" s="173"/>
    </row>
    <row r="343" spans="1:10" x14ac:dyDescent="0.25">
      <c r="A343" s="106"/>
      <c r="B343" s="107"/>
      <c r="D343" s="151" t="s">
        <v>755</v>
      </c>
      <c r="E343" s="142" t="s">
        <v>1901</v>
      </c>
      <c r="F343" s="218" t="s">
        <v>1762</v>
      </c>
      <c r="G343" s="218"/>
      <c r="H343" s="218"/>
      <c r="I343" s="219"/>
      <c r="J343" s="173"/>
    </row>
    <row r="344" spans="1:10" x14ac:dyDescent="0.25">
      <c r="A344" s="106"/>
      <c r="B344" s="107"/>
      <c r="D344" s="151" t="s">
        <v>756</v>
      </c>
      <c r="E344" s="142" t="s">
        <v>2177</v>
      </c>
      <c r="F344" s="218" t="s">
        <v>1831</v>
      </c>
      <c r="G344" s="218"/>
      <c r="H344" s="218"/>
      <c r="I344" s="219"/>
      <c r="J344" s="173"/>
    </row>
    <row r="345" spans="1:10" x14ac:dyDescent="0.25">
      <c r="A345" s="106"/>
      <c r="B345" s="107"/>
      <c r="D345" s="151" t="s">
        <v>757</v>
      </c>
      <c r="E345" s="142" t="s">
        <v>1899</v>
      </c>
      <c r="F345" s="218" t="s">
        <v>758</v>
      </c>
      <c r="G345" s="223"/>
      <c r="H345" s="218"/>
      <c r="I345" s="219"/>
      <c r="J345" s="173"/>
    </row>
    <row r="346" spans="1:10" x14ac:dyDescent="0.25">
      <c r="A346" s="106"/>
      <c r="B346" s="107"/>
      <c r="D346" s="151" t="s">
        <v>759</v>
      </c>
      <c r="E346" s="142" t="s">
        <v>2095</v>
      </c>
      <c r="F346" s="218" t="s">
        <v>2094</v>
      </c>
      <c r="G346" s="223"/>
      <c r="H346" s="218"/>
      <c r="I346" s="219"/>
      <c r="J346" s="173"/>
    </row>
    <row r="347" spans="1:10" x14ac:dyDescent="0.25">
      <c r="A347" s="106"/>
      <c r="B347" s="107"/>
      <c r="D347" s="151" t="s">
        <v>760</v>
      </c>
      <c r="E347" s="142" t="s">
        <v>1898</v>
      </c>
      <c r="F347" s="218" t="s">
        <v>709</v>
      </c>
      <c r="G347" s="223"/>
      <c r="H347" s="218"/>
      <c r="I347" s="219"/>
      <c r="J347" s="173"/>
    </row>
    <row r="348" spans="1:10" x14ac:dyDescent="0.25">
      <c r="A348" s="106"/>
      <c r="B348" s="107"/>
      <c r="D348" s="151" t="s">
        <v>761</v>
      </c>
      <c r="E348" s="142" t="s">
        <v>1864</v>
      </c>
      <c r="F348" s="218" t="s">
        <v>1499</v>
      </c>
      <c r="G348" s="218"/>
      <c r="H348" s="218"/>
      <c r="I348" s="219"/>
      <c r="J348" s="173"/>
    </row>
    <row r="349" spans="1:10" x14ac:dyDescent="0.25">
      <c r="A349" s="106"/>
      <c r="B349" s="107"/>
      <c r="D349" s="151" t="s">
        <v>762</v>
      </c>
      <c r="E349" s="142" t="s">
        <v>2178</v>
      </c>
      <c r="F349" s="218" t="s">
        <v>1832</v>
      </c>
      <c r="G349" s="223"/>
      <c r="H349" s="218"/>
      <c r="I349" s="219"/>
      <c r="J349" s="173"/>
    </row>
    <row r="350" spans="1:10" x14ac:dyDescent="0.25">
      <c r="A350" s="106"/>
      <c r="B350" s="107"/>
      <c r="D350" s="151" t="s">
        <v>763</v>
      </c>
      <c r="E350" s="142" t="s">
        <v>1899</v>
      </c>
      <c r="F350" s="218" t="s">
        <v>758</v>
      </c>
      <c r="G350" s="218"/>
      <c r="H350" s="218"/>
      <c r="I350" s="219"/>
      <c r="J350" s="173"/>
    </row>
    <row r="351" spans="1:10" x14ac:dyDescent="0.25">
      <c r="A351" s="106"/>
      <c r="B351" s="107"/>
      <c r="D351" s="151" t="s">
        <v>764</v>
      </c>
      <c r="E351" s="142" t="s">
        <v>1902</v>
      </c>
      <c r="F351" s="218" t="s">
        <v>1833</v>
      </c>
      <c r="G351" s="218"/>
      <c r="H351" s="218"/>
      <c r="I351" s="219"/>
      <c r="J351" s="173"/>
    </row>
    <row r="352" spans="1:10" x14ac:dyDescent="0.25">
      <c r="A352" s="106"/>
      <c r="B352" s="107"/>
      <c r="D352" s="151" t="s">
        <v>765</v>
      </c>
      <c r="E352" s="142" t="s">
        <v>1898</v>
      </c>
      <c r="F352" s="218" t="s">
        <v>709</v>
      </c>
      <c r="G352" s="223"/>
      <c r="H352" s="218"/>
      <c r="I352" s="219"/>
      <c r="J352" s="173"/>
    </row>
    <row r="353" spans="1:10" x14ac:dyDescent="0.25">
      <c r="A353" s="106"/>
      <c r="B353" s="107"/>
      <c r="D353" s="151" t="s">
        <v>766</v>
      </c>
      <c r="E353" s="142" t="s">
        <v>1864</v>
      </c>
      <c r="F353" s="218" t="s">
        <v>1499</v>
      </c>
      <c r="G353" s="223"/>
      <c r="H353" s="218"/>
      <c r="I353" s="219"/>
      <c r="J353" s="173"/>
    </row>
    <row r="354" spans="1:10" x14ac:dyDescent="0.25">
      <c r="A354" s="106"/>
      <c r="B354" s="107"/>
      <c r="D354" s="151" t="s">
        <v>767</v>
      </c>
      <c r="E354" s="142" t="s">
        <v>2179</v>
      </c>
      <c r="F354" s="218" t="s">
        <v>1834</v>
      </c>
      <c r="G354" s="223"/>
      <c r="H354" s="218"/>
      <c r="I354" s="219"/>
      <c r="J354" s="173"/>
    </row>
    <row r="355" spans="1:10" x14ac:dyDescent="0.25">
      <c r="A355" s="106"/>
      <c r="B355" s="107"/>
      <c r="D355" s="151" t="s">
        <v>768</v>
      </c>
      <c r="E355" s="142" t="s">
        <v>1899</v>
      </c>
      <c r="F355" s="218" t="s">
        <v>758</v>
      </c>
      <c r="G355" s="223"/>
      <c r="H355" s="218"/>
      <c r="I355" s="219"/>
      <c r="J355" s="173"/>
    </row>
    <row r="356" spans="1:10" x14ac:dyDescent="0.25">
      <c r="A356" s="106"/>
      <c r="B356" s="107"/>
      <c r="D356" s="151" t="s">
        <v>769</v>
      </c>
      <c r="E356" s="142" t="s">
        <v>1903</v>
      </c>
      <c r="F356" s="218" t="s">
        <v>1835</v>
      </c>
      <c r="G356" s="223"/>
      <c r="H356" s="218"/>
      <c r="I356" s="219"/>
      <c r="J356" s="173"/>
    </row>
    <row r="357" spans="1:10" x14ac:dyDescent="0.25">
      <c r="A357" s="106"/>
      <c r="B357" s="107"/>
      <c r="D357" s="151" t="s">
        <v>770</v>
      </c>
      <c r="E357" s="142" t="s">
        <v>1898</v>
      </c>
      <c r="F357" s="218" t="s">
        <v>709</v>
      </c>
      <c r="G357" s="218"/>
      <c r="H357" s="218"/>
      <c r="I357" s="219"/>
      <c r="J357" s="173"/>
    </row>
    <row r="358" spans="1:10" x14ac:dyDescent="0.25">
      <c r="A358" s="106"/>
      <c r="B358" s="107"/>
      <c r="D358" s="151" t="s">
        <v>771</v>
      </c>
      <c r="E358" s="142" t="s">
        <v>1904</v>
      </c>
      <c r="F358" s="218" t="s">
        <v>1777</v>
      </c>
      <c r="G358" s="218"/>
      <c r="H358" s="218"/>
      <c r="I358" s="219"/>
      <c r="J358" s="173"/>
    </row>
    <row r="359" spans="1:10" x14ac:dyDescent="0.25">
      <c r="A359" s="106"/>
      <c r="B359" s="107"/>
      <c r="D359" s="151" t="s">
        <v>772</v>
      </c>
      <c r="E359" s="142" t="s">
        <v>2180</v>
      </c>
      <c r="F359" s="218" t="s">
        <v>1836</v>
      </c>
      <c r="G359" s="218"/>
      <c r="H359" s="218"/>
      <c r="I359" s="219"/>
      <c r="J359" s="173"/>
    </row>
    <row r="360" spans="1:10" x14ac:dyDescent="0.25">
      <c r="A360" s="106"/>
      <c r="B360" s="107"/>
      <c r="D360" s="151" t="s">
        <v>773</v>
      </c>
      <c r="E360" s="142" t="s">
        <v>1899</v>
      </c>
      <c r="F360" s="218" t="s">
        <v>758</v>
      </c>
      <c r="G360" s="218"/>
      <c r="H360" s="218"/>
      <c r="I360" s="219"/>
      <c r="J360" s="173"/>
    </row>
    <row r="361" spans="1:10" x14ac:dyDescent="0.25">
      <c r="A361" s="106"/>
      <c r="B361" s="107"/>
      <c r="D361" s="151" t="s">
        <v>774</v>
      </c>
      <c r="E361" s="142" t="s">
        <v>1905</v>
      </c>
      <c r="F361" s="218" t="s">
        <v>1837</v>
      </c>
      <c r="G361" s="218"/>
      <c r="H361" s="218"/>
      <c r="I361" s="219"/>
      <c r="J361" s="173"/>
    </row>
    <row r="362" spans="1:10" x14ac:dyDescent="0.25">
      <c r="A362" s="106"/>
      <c r="B362" s="107"/>
      <c r="D362" s="151" t="s">
        <v>775</v>
      </c>
      <c r="E362" s="142" t="s">
        <v>1898</v>
      </c>
      <c r="F362" s="218" t="s">
        <v>709</v>
      </c>
      <c r="G362" s="218"/>
      <c r="H362" s="218"/>
      <c r="I362" s="219"/>
      <c r="J362" s="173"/>
    </row>
    <row r="363" spans="1:10" x14ac:dyDescent="0.25">
      <c r="A363" s="106"/>
      <c r="B363" s="107"/>
      <c r="D363" s="151" t="s">
        <v>776</v>
      </c>
      <c r="E363" s="142" t="s">
        <v>1899</v>
      </c>
      <c r="F363" s="218" t="s">
        <v>758</v>
      </c>
      <c r="G363" s="218"/>
      <c r="H363" s="218"/>
      <c r="I363" s="219"/>
      <c r="J363" s="173"/>
    </row>
    <row r="364" spans="1:10" x14ac:dyDescent="0.25">
      <c r="A364" s="106"/>
      <c r="B364" s="107"/>
      <c r="D364" s="151" t="s">
        <v>777</v>
      </c>
      <c r="E364" s="142" t="s">
        <v>712</v>
      </c>
      <c r="F364" s="218" t="s">
        <v>1838</v>
      </c>
      <c r="G364" s="218"/>
      <c r="H364" s="218"/>
      <c r="I364" s="230"/>
      <c r="J364" s="173"/>
    </row>
    <row r="365" spans="1:10" ht="15.75" thickBot="1" x14ac:dyDescent="0.3">
      <c r="A365" s="106"/>
      <c r="B365" s="107"/>
      <c r="D365" s="151" t="s">
        <v>778</v>
      </c>
      <c r="E365" s="182" t="s">
        <v>313</v>
      </c>
      <c r="F365" s="183" t="s">
        <v>148</v>
      </c>
      <c r="G365" s="183"/>
      <c r="H365" s="183"/>
      <c r="I365" s="192"/>
      <c r="J365" s="185"/>
    </row>
    <row r="366" spans="1:10" x14ac:dyDescent="0.25">
      <c r="A366" s="106"/>
      <c r="B366" s="107"/>
      <c r="D366" s="151" t="s">
        <v>779</v>
      </c>
      <c r="E366" s="142" t="s">
        <v>1854</v>
      </c>
      <c r="F366" s="218" t="s">
        <v>498</v>
      </c>
      <c r="G366" s="218"/>
      <c r="H366" s="218"/>
      <c r="I366" s="219"/>
      <c r="J366" s="173"/>
    </row>
    <row r="367" spans="1:10" x14ac:dyDescent="0.25">
      <c r="A367" s="106"/>
      <c r="B367" s="107"/>
      <c r="D367" s="151" t="s">
        <v>780</v>
      </c>
      <c r="E367" s="142" t="s">
        <v>2181</v>
      </c>
      <c r="F367" s="218" t="s">
        <v>1840</v>
      </c>
      <c r="G367" s="223"/>
      <c r="H367" s="218"/>
      <c r="I367" s="219"/>
      <c r="J367" s="173"/>
    </row>
    <row r="368" spans="1:10" x14ac:dyDescent="0.25">
      <c r="A368" s="106"/>
      <c r="B368" s="107"/>
      <c r="D368" s="151" t="s">
        <v>781</v>
      </c>
      <c r="E368" s="142" t="s">
        <v>2182</v>
      </c>
      <c r="F368" s="218" t="s">
        <v>2109</v>
      </c>
      <c r="G368" s="218"/>
      <c r="H368" s="218"/>
      <c r="I368" s="219"/>
      <c r="J368" s="173"/>
    </row>
    <row r="369" spans="1:10" x14ac:dyDescent="0.25">
      <c r="A369" s="106"/>
      <c r="B369" s="107"/>
      <c r="D369" s="151" t="s">
        <v>782</v>
      </c>
      <c r="E369" s="142" t="s">
        <v>475</v>
      </c>
      <c r="F369" s="218" t="s">
        <v>476</v>
      </c>
      <c r="G369" s="218"/>
      <c r="H369" s="218"/>
      <c r="I369" s="219"/>
      <c r="J369" s="173"/>
    </row>
    <row r="370" spans="1:10" x14ac:dyDescent="0.25">
      <c r="A370" s="106"/>
      <c r="B370" s="107"/>
      <c r="D370" s="151" t="s">
        <v>783</v>
      </c>
      <c r="E370" s="142" t="s">
        <v>1856</v>
      </c>
      <c r="F370" s="218" t="s">
        <v>383</v>
      </c>
      <c r="G370" s="223"/>
      <c r="H370" s="218"/>
      <c r="I370" s="219"/>
      <c r="J370" s="173"/>
    </row>
    <row r="371" spans="1:10" x14ac:dyDescent="0.25">
      <c r="A371" s="106"/>
      <c r="B371" s="107"/>
      <c r="D371" s="151" t="s">
        <v>784</v>
      </c>
      <c r="E371" s="142" t="s">
        <v>475</v>
      </c>
      <c r="F371" s="218" t="s">
        <v>476</v>
      </c>
      <c r="G371" s="223"/>
      <c r="H371" s="218"/>
      <c r="I371" s="219"/>
      <c r="J371" s="173"/>
    </row>
    <row r="372" spans="1:10" x14ac:dyDescent="0.25">
      <c r="A372" s="106"/>
      <c r="B372" s="107"/>
      <c r="D372" s="151" t="s">
        <v>785</v>
      </c>
      <c r="E372" s="142" t="s">
        <v>1865</v>
      </c>
      <c r="F372" s="218" t="s">
        <v>1498</v>
      </c>
      <c r="G372" s="223"/>
      <c r="H372" s="218"/>
      <c r="I372" s="219"/>
      <c r="J372" s="173"/>
    </row>
    <row r="373" spans="1:10" x14ac:dyDescent="0.25">
      <c r="A373" s="106"/>
      <c r="B373" s="107"/>
      <c r="D373" s="151" t="s">
        <v>786</v>
      </c>
      <c r="E373" s="142" t="s">
        <v>2183</v>
      </c>
      <c r="F373" s="218" t="s">
        <v>1978</v>
      </c>
      <c r="G373" s="218"/>
      <c r="H373" s="218"/>
      <c r="I373" s="219"/>
      <c r="J373" s="173"/>
    </row>
    <row r="374" spans="1:10" x14ac:dyDescent="0.25">
      <c r="A374" s="106"/>
      <c r="B374" s="107"/>
      <c r="D374" s="151" t="s">
        <v>787</v>
      </c>
      <c r="E374" s="142" t="s">
        <v>1855</v>
      </c>
      <c r="F374" s="218" t="s">
        <v>345</v>
      </c>
      <c r="G374" s="223"/>
      <c r="H374" s="218"/>
      <c r="I374" s="219"/>
      <c r="J374" s="173"/>
    </row>
    <row r="375" spans="1:10" x14ac:dyDescent="0.25">
      <c r="A375" s="106"/>
      <c r="B375" s="107"/>
      <c r="D375" s="151" t="s">
        <v>788</v>
      </c>
      <c r="E375" s="142" t="s">
        <v>2184</v>
      </c>
      <c r="F375" s="218" t="s">
        <v>1841</v>
      </c>
      <c r="G375" s="218"/>
      <c r="H375" s="218"/>
      <c r="I375" s="219"/>
      <c r="J375" s="173"/>
    </row>
    <row r="376" spans="1:10" x14ac:dyDescent="0.25">
      <c r="A376" s="106"/>
      <c r="B376" s="107"/>
      <c r="D376" s="151" t="s">
        <v>789</v>
      </c>
      <c r="E376" s="142" t="s">
        <v>363</v>
      </c>
      <c r="F376" s="218" t="s">
        <v>460</v>
      </c>
      <c r="G376" s="218"/>
      <c r="H376" s="218"/>
      <c r="I376" s="219"/>
      <c r="J376" s="173"/>
    </row>
    <row r="377" spans="1:10" x14ac:dyDescent="0.25">
      <c r="A377" s="106"/>
      <c r="B377" s="107"/>
      <c r="D377" s="151" t="s">
        <v>790</v>
      </c>
      <c r="E377" s="142" t="s">
        <v>1857</v>
      </c>
      <c r="F377" s="218" t="s">
        <v>386</v>
      </c>
      <c r="G377" s="223"/>
      <c r="H377" s="218"/>
      <c r="I377" s="219"/>
      <c r="J377" s="173"/>
    </row>
    <row r="378" spans="1:10" ht="15.75" thickBot="1" x14ac:dyDescent="0.3">
      <c r="A378" s="106"/>
      <c r="B378" s="107"/>
      <c r="D378" s="151" t="s">
        <v>791</v>
      </c>
      <c r="E378" s="182" t="s">
        <v>2185</v>
      </c>
      <c r="F378" s="183" t="s">
        <v>1842</v>
      </c>
      <c r="G378" s="190"/>
      <c r="H378" s="183"/>
      <c r="I378" s="184"/>
      <c r="J378" s="185"/>
    </row>
    <row r="379" spans="1:10" x14ac:dyDescent="0.25">
      <c r="A379" s="106"/>
      <c r="B379" s="107"/>
      <c r="D379" s="151" t="s">
        <v>792</v>
      </c>
      <c r="E379" s="142" t="s">
        <v>724</v>
      </c>
      <c r="F379" s="218" t="s">
        <v>725</v>
      </c>
      <c r="G379" s="223"/>
      <c r="H379" s="218"/>
      <c r="I379" s="219"/>
      <c r="J379" s="173"/>
    </row>
    <row r="380" spans="1:10" x14ac:dyDescent="0.25">
      <c r="A380" s="106"/>
      <c r="B380" s="107"/>
      <c r="D380" s="151" t="s">
        <v>793</v>
      </c>
      <c r="E380" s="142" t="s">
        <v>1857</v>
      </c>
      <c r="F380" s="218" t="s">
        <v>386</v>
      </c>
      <c r="G380" s="223"/>
      <c r="H380" s="218"/>
      <c r="I380" s="219"/>
      <c r="J380" s="173"/>
    </row>
    <row r="381" spans="1:10" x14ac:dyDescent="0.25">
      <c r="A381" s="106"/>
      <c r="B381" s="107"/>
      <c r="D381" s="151" t="s">
        <v>794</v>
      </c>
      <c r="E381" s="142" t="s">
        <v>2186</v>
      </c>
      <c r="F381" s="218" t="s">
        <v>2101</v>
      </c>
      <c r="G381" s="223"/>
      <c r="H381" s="218"/>
      <c r="I381" s="219"/>
      <c r="J381" s="173"/>
    </row>
    <row r="382" spans="1:10" x14ac:dyDescent="0.25">
      <c r="A382" s="106"/>
      <c r="B382" s="107"/>
      <c r="D382" s="151" t="s">
        <v>795</v>
      </c>
      <c r="E382" s="142" t="s">
        <v>2187</v>
      </c>
      <c r="F382" s="218" t="s">
        <v>1795</v>
      </c>
      <c r="G382" s="218"/>
      <c r="H382" s="218"/>
      <c r="I382" s="219"/>
      <c r="J382" s="173"/>
    </row>
    <row r="383" spans="1:10" ht="15.75" thickBot="1" x14ac:dyDescent="0.3">
      <c r="A383" s="106"/>
      <c r="B383" s="107"/>
      <c r="D383" s="151" t="s">
        <v>796</v>
      </c>
      <c r="E383" s="182" t="s">
        <v>313</v>
      </c>
      <c r="F383" s="183" t="s">
        <v>148</v>
      </c>
      <c r="G383" s="183"/>
      <c r="H383" s="183"/>
      <c r="I383" s="184"/>
      <c r="J383" s="185"/>
    </row>
    <row r="384" spans="1:10" x14ac:dyDescent="0.25">
      <c r="A384" s="106"/>
      <c r="B384" s="107"/>
      <c r="D384" s="151" t="s">
        <v>797</v>
      </c>
      <c r="E384" s="142" t="s">
        <v>363</v>
      </c>
      <c r="F384" s="218" t="s">
        <v>460</v>
      </c>
      <c r="G384" s="218"/>
      <c r="H384" s="218"/>
      <c r="I384" s="219"/>
      <c r="J384" s="173"/>
    </row>
    <row r="385" spans="1:10" x14ac:dyDescent="0.25">
      <c r="A385" s="106"/>
      <c r="B385" s="107"/>
      <c r="D385" s="151" t="s">
        <v>798</v>
      </c>
      <c r="E385" s="142" t="s">
        <v>2056</v>
      </c>
      <c r="F385" s="218" t="s">
        <v>2048</v>
      </c>
      <c r="G385" s="218"/>
      <c r="H385" s="218"/>
      <c r="I385" s="219"/>
      <c r="J385" s="173"/>
    </row>
    <row r="386" spans="1:10" x14ac:dyDescent="0.25">
      <c r="A386" s="106"/>
      <c r="B386" s="107"/>
      <c r="D386" s="151" t="s">
        <v>799</v>
      </c>
      <c r="E386" s="142" t="s">
        <v>1899</v>
      </c>
      <c r="F386" s="218" t="s">
        <v>758</v>
      </c>
      <c r="G386" s="218"/>
      <c r="H386" s="218"/>
      <c r="I386" s="219"/>
      <c r="J386" s="173"/>
    </row>
    <row r="387" spans="1:10" x14ac:dyDescent="0.25">
      <c r="A387" s="106"/>
      <c r="B387" s="107"/>
      <c r="D387" s="151" t="s">
        <v>800</v>
      </c>
      <c r="E387" s="142" t="s">
        <v>2057</v>
      </c>
      <c r="F387" s="218" t="s">
        <v>2049</v>
      </c>
      <c r="G387" s="218"/>
      <c r="H387" s="218"/>
      <c r="I387" s="219"/>
      <c r="J387" s="173"/>
    </row>
    <row r="388" spans="1:10" x14ac:dyDescent="0.25">
      <c r="A388" s="106"/>
      <c r="B388" s="107"/>
      <c r="D388" s="151" t="s">
        <v>801</v>
      </c>
      <c r="E388" s="142" t="s">
        <v>2098</v>
      </c>
      <c r="F388" s="218" t="s">
        <v>2097</v>
      </c>
      <c r="G388" s="218"/>
      <c r="H388" s="218"/>
      <c r="I388" s="219"/>
      <c r="J388" s="173"/>
    </row>
    <row r="389" spans="1:10" x14ac:dyDescent="0.25">
      <c r="A389" s="106"/>
      <c r="B389" s="107"/>
      <c r="D389" s="151" t="s">
        <v>802</v>
      </c>
      <c r="E389" s="142" t="s">
        <v>1898</v>
      </c>
      <c r="F389" s="218" t="s">
        <v>709</v>
      </c>
      <c r="G389" s="218"/>
      <c r="H389" s="218"/>
      <c r="I389" s="219"/>
      <c r="J389" s="173"/>
    </row>
    <row r="390" spans="1:10" x14ac:dyDescent="0.25">
      <c r="A390" s="106"/>
      <c r="B390" s="107"/>
      <c r="D390" s="151" t="s">
        <v>803</v>
      </c>
      <c r="E390" s="142" t="s">
        <v>712</v>
      </c>
      <c r="F390" s="218" t="s">
        <v>1838</v>
      </c>
      <c r="G390" s="218"/>
      <c r="H390" s="218"/>
      <c r="I390" s="230"/>
      <c r="J390" s="173"/>
    </row>
    <row r="391" spans="1:10" x14ac:dyDescent="0.25">
      <c r="A391" s="106"/>
      <c r="B391" s="107"/>
      <c r="D391" s="151" t="s">
        <v>804</v>
      </c>
      <c r="E391" s="142" t="s">
        <v>2058</v>
      </c>
      <c r="F391" s="218" t="s">
        <v>1997</v>
      </c>
      <c r="G391" s="218"/>
      <c r="H391" s="218"/>
      <c r="I391" s="230"/>
      <c r="J391" s="173"/>
    </row>
    <row r="392" spans="1:10" x14ac:dyDescent="0.25">
      <c r="A392" s="106"/>
      <c r="B392" s="107"/>
      <c r="D392" s="151" t="s">
        <v>805</v>
      </c>
      <c r="E392" s="142" t="s">
        <v>2187</v>
      </c>
      <c r="F392" s="218" t="s">
        <v>1795</v>
      </c>
      <c r="G392" s="218"/>
      <c r="H392" s="218"/>
      <c r="I392" s="219"/>
      <c r="J392" s="173"/>
    </row>
    <row r="393" spans="1:10" ht="15.75" thickBot="1" x14ac:dyDescent="0.3">
      <c r="A393" s="106"/>
      <c r="B393" s="107"/>
      <c r="D393" s="151" t="s">
        <v>806</v>
      </c>
      <c r="E393" s="182" t="s">
        <v>313</v>
      </c>
      <c r="F393" s="183" t="s">
        <v>148</v>
      </c>
      <c r="G393" s="183"/>
      <c r="H393" s="183"/>
      <c r="I393" s="184"/>
      <c r="J393" s="185"/>
    </row>
    <row r="394" spans="1:10" x14ac:dyDescent="0.25">
      <c r="A394" s="106"/>
      <c r="B394" s="107"/>
      <c r="D394" s="151" t="s">
        <v>807</v>
      </c>
      <c r="E394" s="142" t="s">
        <v>1854</v>
      </c>
      <c r="F394" s="218" t="s">
        <v>498</v>
      </c>
      <c r="G394" s="218"/>
      <c r="H394" s="218"/>
      <c r="I394" s="219"/>
      <c r="J394" s="173"/>
    </row>
    <row r="395" spans="1:10" x14ac:dyDescent="0.25">
      <c r="A395" s="106"/>
      <c r="B395" s="107"/>
      <c r="D395" s="151" t="s">
        <v>808</v>
      </c>
      <c r="E395" s="142" t="s">
        <v>2188</v>
      </c>
      <c r="F395" s="218" t="s">
        <v>1844</v>
      </c>
      <c r="G395" s="218"/>
      <c r="H395" s="218"/>
      <c r="I395" s="219"/>
      <c r="J395" s="173"/>
    </row>
    <row r="396" spans="1:10" x14ac:dyDescent="0.25">
      <c r="A396" s="106"/>
      <c r="B396" s="107"/>
      <c r="D396" s="151" t="s">
        <v>809</v>
      </c>
      <c r="E396" s="142" t="s">
        <v>2189</v>
      </c>
      <c r="F396" s="218" t="s">
        <v>2110</v>
      </c>
      <c r="G396" s="218"/>
      <c r="H396" s="218"/>
      <c r="I396" s="219"/>
      <c r="J396" s="173"/>
    </row>
    <row r="397" spans="1:10" x14ac:dyDescent="0.25">
      <c r="A397" s="106"/>
      <c r="B397" s="107"/>
      <c r="D397" s="151" t="s">
        <v>810</v>
      </c>
      <c r="E397" s="142" t="s">
        <v>475</v>
      </c>
      <c r="F397" s="218" t="s">
        <v>476</v>
      </c>
      <c r="G397" s="218"/>
      <c r="H397" s="218"/>
      <c r="I397" s="219"/>
      <c r="J397" s="173"/>
    </row>
    <row r="398" spans="1:10" x14ac:dyDescent="0.25">
      <c r="A398" s="106"/>
      <c r="B398" s="107"/>
      <c r="D398" s="151" t="s">
        <v>811</v>
      </c>
      <c r="E398" s="142" t="s">
        <v>1856</v>
      </c>
      <c r="F398" s="218" t="s">
        <v>383</v>
      </c>
      <c r="G398" s="218"/>
      <c r="H398" s="218"/>
      <c r="I398" s="219"/>
      <c r="J398" s="173"/>
    </row>
    <row r="399" spans="1:10" x14ac:dyDescent="0.25">
      <c r="A399" s="106"/>
      <c r="B399" s="107"/>
      <c r="D399" s="151" t="s">
        <v>812</v>
      </c>
      <c r="E399" s="142" t="s">
        <v>475</v>
      </c>
      <c r="F399" s="218" t="s">
        <v>476</v>
      </c>
      <c r="G399" s="218"/>
      <c r="H399" s="218"/>
      <c r="I399" s="219"/>
      <c r="J399" s="173"/>
    </row>
    <row r="400" spans="1:10" x14ac:dyDescent="0.25">
      <c r="A400" s="106"/>
      <c r="B400" s="107"/>
      <c r="D400" s="151" t="s">
        <v>813</v>
      </c>
      <c r="E400" s="142" t="s">
        <v>1865</v>
      </c>
      <c r="F400" s="218" t="s">
        <v>1498</v>
      </c>
      <c r="G400" s="218"/>
      <c r="H400" s="218"/>
      <c r="I400" s="219"/>
      <c r="J400" s="173"/>
    </row>
    <row r="401" spans="1:10" x14ac:dyDescent="0.25">
      <c r="A401" s="106"/>
      <c r="B401" s="107"/>
      <c r="D401" s="151" t="s">
        <v>814</v>
      </c>
      <c r="E401" s="142" t="s">
        <v>2183</v>
      </c>
      <c r="F401" s="218" t="s">
        <v>1978</v>
      </c>
      <c r="G401" s="218"/>
      <c r="H401" s="218"/>
      <c r="I401" s="219"/>
      <c r="J401" s="173"/>
    </row>
    <row r="402" spans="1:10" x14ac:dyDescent="0.25">
      <c r="A402" s="106"/>
      <c r="B402" s="107"/>
      <c r="D402" s="151" t="s">
        <v>815</v>
      </c>
      <c r="E402" s="142" t="s">
        <v>1855</v>
      </c>
      <c r="F402" s="218" t="s">
        <v>345</v>
      </c>
      <c r="G402" s="218"/>
      <c r="H402" s="218"/>
      <c r="I402" s="219"/>
      <c r="J402" s="173"/>
    </row>
    <row r="403" spans="1:10" x14ac:dyDescent="0.25">
      <c r="A403" s="106"/>
      <c r="B403" s="107"/>
      <c r="D403" s="151" t="s">
        <v>816</v>
      </c>
      <c r="E403" s="142" t="s">
        <v>2190</v>
      </c>
      <c r="F403" s="218" t="s">
        <v>1845</v>
      </c>
      <c r="G403" s="218"/>
      <c r="H403" s="218"/>
      <c r="I403" s="219"/>
      <c r="J403" s="173"/>
    </row>
    <row r="404" spans="1:10" x14ac:dyDescent="0.25">
      <c r="A404" s="106"/>
      <c r="B404" s="107"/>
      <c r="D404" s="151" t="s">
        <v>817</v>
      </c>
      <c r="E404" s="142" t="s">
        <v>363</v>
      </c>
      <c r="F404" s="218" t="s">
        <v>460</v>
      </c>
      <c r="G404" s="218"/>
      <c r="H404" s="218"/>
      <c r="I404" s="219"/>
      <c r="J404" s="173"/>
    </row>
    <row r="405" spans="1:10" x14ac:dyDescent="0.25">
      <c r="A405" s="106"/>
      <c r="B405" s="107"/>
      <c r="D405" s="151" t="s">
        <v>818</v>
      </c>
      <c r="E405" s="142" t="s">
        <v>1857</v>
      </c>
      <c r="F405" s="218" t="s">
        <v>386</v>
      </c>
      <c r="G405" s="218"/>
      <c r="H405" s="218"/>
      <c r="I405" s="219"/>
      <c r="J405" s="173"/>
    </row>
    <row r="406" spans="1:10" ht="15.75" thickBot="1" x14ac:dyDescent="0.3">
      <c r="A406" s="106"/>
      <c r="B406" s="107"/>
      <c r="D406" s="151" t="s">
        <v>819</v>
      </c>
      <c r="E406" s="182" t="s">
        <v>2191</v>
      </c>
      <c r="F406" s="183" t="s">
        <v>1846</v>
      </c>
      <c r="G406" s="183"/>
      <c r="H406" s="183"/>
      <c r="I406" s="184"/>
      <c r="J406" s="185"/>
    </row>
    <row r="407" spans="1:10" x14ac:dyDescent="0.25">
      <c r="A407" s="106"/>
      <c r="B407" s="107"/>
      <c r="D407" s="151" t="s">
        <v>820</v>
      </c>
      <c r="E407" s="142" t="s">
        <v>475</v>
      </c>
      <c r="F407" s="218" t="s">
        <v>476</v>
      </c>
      <c r="G407" s="218"/>
      <c r="H407" s="218"/>
      <c r="I407" s="219"/>
      <c r="J407" s="173"/>
    </row>
    <row r="408" spans="1:10" x14ac:dyDescent="0.25">
      <c r="A408" s="106"/>
      <c r="B408" s="107"/>
      <c r="D408" s="151" t="s">
        <v>821</v>
      </c>
      <c r="E408" s="142" t="s">
        <v>1857</v>
      </c>
      <c r="F408" s="218" t="s">
        <v>386</v>
      </c>
      <c r="G408" s="218"/>
      <c r="H408" s="218"/>
      <c r="I408" s="219"/>
      <c r="J408" s="173"/>
    </row>
    <row r="409" spans="1:10" x14ac:dyDescent="0.25">
      <c r="A409" s="106"/>
      <c r="B409" s="107"/>
      <c r="D409" s="151" t="s">
        <v>822</v>
      </c>
      <c r="E409" s="142" t="s">
        <v>2186</v>
      </c>
      <c r="F409" s="218" t="s">
        <v>2101</v>
      </c>
      <c r="G409" s="218"/>
      <c r="H409" s="218"/>
      <c r="I409" s="219"/>
      <c r="J409" s="173"/>
    </row>
    <row r="410" spans="1:10" x14ac:dyDescent="0.25">
      <c r="A410" s="106"/>
      <c r="B410" s="107"/>
      <c r="D410" s="151" t="s">
        <v>823</v>
      </c>
      <c r="E410" s="142" t="s">
        <v>2187</v>
      </c>
      <c r="F410" s="218" t="s">
        <v>1795</v>
      </c>
      <c r="G410" s="218"/>
      <c r="H410" s="218"/>
      <c r="I410" s="219"/>
      <c r="J410" s="173"/>
    </row>
    <row r="411" spans="1:10" ht="15.75" thickBot="1" x14ac:dyDescent="0.3">
      <c r="A411" s="106"/>
      <c r="B411" s="107"/>
      <c r="D411" s="151" t="s">
        <v>824</v>
      </c>
      <c r="E411" s="182" t="s">
        <v>313</v>
      </c>
      <c r="F411" s="183" t="s">
        <v>148</v>
      </c>
      <c r="G411" s="183"/>
      <c r="H411" s="183"/>
      <c r="I411" s="192"/>
      <c r="J411" s="185"/>
    </row>
    <row r="412" spans="1:10" x14ac:dyDescent="0.25">
      <c r="A412" s="106"/>
      <c r="B412" s="107"/>
      <c r="D412" s="151" t="s">
        <v>825</v>
      </c>
      <c r="E412" s="142" t="s">
        <v>1864</v>
      </c>
      <c r="F412" s="218" t="s">
        <v>1499</v>
      </c>
      <c r="G412" s="218"/>
      <c r="H412" s="218"/>
      <c r="I412" s="219"/>
      <c r="J412" s="173"/>
    </row>
    <row r="413" spans="1:10" x14ac:dyDescent="0.25">
      <c r="A413" s="106"/>
      <c r="B413" s="107"/>
      <c r="D413" s="151" t="s">
        <v>826</v>
      </c>
      <c r="E413" s="142" t="s">
        <v>2192</v>
      </c>
      <c r="F413" s="218" t="s">
        <v>1848</v>
      </c>
      <c r="G413" s="218"/>
      <c r="H413" s="218"/>
      <c r="I413" s="219"/>
      <c r="J413" s="173"/>
    </row>
    <row r="414" spans="1:10" x14ac:dyDescent="0.25">
      <c r="A414" s="106"/>
      <c r="B414" s="107"/>
      <c r="D414" s="151" t="s">
        <v>827</v>
      </c>
      <c r="E414" s="142" t="s">
        <v>363</v>
      </c>
      <c r="F414" s="218" t="s">
        <v>460</v>
      </c>
      <c r="G414" s="218"/>
      <c r="H414" s="218"/>
      <c r="I414" s="219"/>
      <c r="J414" s="173"/>
    </row>
    <row r="415" spans="1:10" x14ac:dyDescent="0.25">
      <c r="A415" s="106"/>
      <c r="B415" s="107"/>
      <c r="D415" s="151" t="s">
        <v>828</v>
      </c>
      <c r="E415" s="142" t="s">
        <v>1856</v>
      </c>
      <c r="F415" s="218" t="s">
        <v>383</v>
      </c>
      <c r="G415" s="218"/>
      <c r="H415" s="218"/>
      <c r="I415" s="219"/>
      <c r="J415" s="173"/>
    </row>
    <row r="416" spans="1:10" x14ac:dyDescent="0.25">
      <c r="A416" s="106"/>
      <c r="B416" s="107"/>
      <c r="D416" s="151" t="s">
        <v>829</v>
      </c>
      <c r="E416" s="142" t="s">
        <v>363</v>
      </c>
      <c r="F416" s="218" t="s">
        <v>460</v>
      </c>
      <c r="G416" s="218"/>
      <c r="H416" s="218"/>
      <c r="I416" s="219"/>
      <c r="J416" s="173"/>
    </row>
    <row r="417" spans="1:10" x14ac:dyDescent="0.25">
      <c r="A417" s="106"/>
      <c r="B417" s="107"/>
      <c r="D417" s="151" t="s">
        <v>830</v>
      </c>
      <c r="E417" s="142" t="s">
        <v>1865</v>
      </c>
      <c r="F417" s="218" t="s">
        <v>1498</v>
      </c>
      <c r="G417" s="218"/>
      <c r="H417" s="218"/>
      <c r="I417" s="219"/>
      <c r="J417" s="173"/>
    </row>
    <row r="418" spans="1:10" ht="15.75" thickBot="1" x14ac:dyDescent="0.3">
      <c r="A418" s="106"/>
      <c r="B418" s="107"/>
      <c r="D418" s="151" t="s">
        <v>831</v>
      </c>
      <c r="E418" s="182" t="s">
        <v>2193</v>
      </c>
      <c r="F418" s="183" t="s">
        <v>1811</v>
      </c>
      <c r="G418" s="183"/>
      <c r="H418" s="183"/>
      <c r="I418" s="184"/>
      <c r="J418" s="185"/>
    </row>
    <row r="419" spans="1:10" x14ac:dyDescent="0.25">
      <c r="A419" s="106"/>
      <c r="B419" s="107"/>
      <c r="D419" s="151" t="s">
        <v>832</v>
      </c>
      <c r="E419" s="142" t="s">
        <v>475</v>
      </c>
      <c r="F419" s="218" t="s">
        <v>476</v>
      </c>
      <c r="G419" s="218"/>
      <c r="H419" s="218"/>
      <c r="I419" s="219"/>
      <c r="J419" s="173"/>
    </row>
    <row r="420" spans="1:10" x14ac:dyDescent="0.25">
      <c r="A420" s="106"/>
      <c r="B420" s="107"/>
      <c r="D420" s="151" t="s">
        <v>833</v>
      </c>
      <c r="E420" s="142" t="s">
        <v>1856</v>
      </c>
      <c r="F420" s="218" t="s">
        <v>383</v>
      </c>
      <c r="G420" s="218"/>
      <c r="H420" s="218"/>
      <c r="I420" s="219"/>
      <c r="J420" s="173"/>
    </row>
    <row r="421" spans="1:10" x14ac:dyDescent="0.25">
      <c r="A421" s="106"/>
      <c r="B421" s="107"/>
      <c r="D421" s="151" t="s">
        <v>834</v>
      </c>
      <c r="E421" s="142" t="s">
        <v>512</v>
      </c>
      <c r="F421" s="218" t="s">
        <v>513</v>
      </c>
      <c r="G421" s="218"/>
      <c r="H421" s="218"/>
      <c r="I421" s="219"/>
      <c r="J421" s="173"/>
    </row>
    <row r="422" spans="1:10" x14ac:dyDescent="0.25">
      <c r="A422" s="106"/>
      <c r="B422" s="107"/>
      <c r="D422" s="151" t="s">
        <v>835</v>
      </c>
      <c r="E422" s="142" t="s">
        <v>1865</v>
      </c>
      <c r="F422" s="218" t="s">
        <v>1498</v>
      </c>
      <c r="G422" s="218"/>
      <c r="H422" s="218"/>
      <c r="I422" s="219"/>
      <c r="J422" s="173"/>
    </row>
    <row r="423" spans="1:10" x14ac:dyDescent="0.25">
      <c r="A423" s="106"/>
      <c r="B423" s="107"/>
      <c r="D423" s="151" t="s">
        <v>836</v>
      </c>
      <c r="E423" s="142" t="s">
        <v>2183</v>
      </c>
      <c r="F423" s="218" t="s">
        <v>1978</v>
      </c>
      <c r="G423" s="218"/>
      <c r="H423" s="218"/>
      <c r="I423" s="219"/>
      <c r="J423" s="173"/>
    </row>
    <row r="424" spans="1:10" x14ac:dyDescent="0.25">
      <c r="A424" s="106"/>
      <c r="B424" s="107"/>
      <c r="D424" s="151" t="s">
        <v>837</v>
      </c>
      <c r="E424" s="142" t="s">
        <v>2187</v>
      </c>
      <c r="F424" s="218" t="s">
        <v>1795</v>
      </c>
      <c r="G424" s="218"/>
      <c r="H424" s="218"/>
      <c r="I424" s="219"/>
      <c r="J424" s="173"/>
    </row>
    <row r="425" spans="1:10" ht="15.75" thickBot="1" x14ac:dyDescent="0.3">
      <c r="A425" s="106"/>
      <c r="B425" s="107"/>
      <c r="D425" s="151" t="s">
        <v>838</v>
      </c>
      <c r="E425" s="182" t="s">
        <v>313</v>
      </c>
      <c r="F425" s="183" t="s">
        <v>148</v>
      </c>
      <c r="G425" s="183"/>
      <c r="H425" s="183"/>
      <c r="I425" s="184"/>
      <c r="J425" s="185"/>
    </row>
    <row r="426" spans="1:10" x14ac:dyDescent="0.25">
      <c r="A426" s="106"/>
      <c r="B426" s="107"/>
      <c r="D426" s="151" t="s">
        <v>839</v>
      </c>
      <c r="E426" s="142" t="s">
        <v>1899</v>
      </c>
      <c r="F426" s="218" t="s">
        <v>758</v>
      </c>
      <c r="G426" s="218"/>
      <c r="H426" s="218"/>
      <c r="I426" s="219"/>
      <c r="J426" s="173"/>
    </row>
    <row r="427" spans="1:10" x14ac:dyDescent="0.25">
      <c r="A427" s="106"/>
      <c r="B427" s="107"/>
      <c r="D427" s="151" t="s">
        <v>840</v>
      </c>
      <c r="E427" s="142" t="s">
        <v>1906</v>
      </c>
      <c r="F427" s="218" t="s">
        <v>1850</v>
      </c>
      <c r="G427" s="218"/>
      <c r="H427" s="218"/>
      <c r="I427" s="219"/>
      <c r="J427" s="173"/>
    </row>
    <row r="428" spans="1:10" x14ac:dyDescent="0.25">
      <c r="A428" s="106"/>
      <c r="B428" s="107"/>
      <c r="D428" s="151" t="s">
        <v>841</v>
      </c>
      <c r="E428" s="142" t="s">
        <v>712</v>
      </c>
      <c r="F428" s="218" t="s">
        <v>1838</v>
      </c>
      <c r="G428" s="218"/>
      <c r="H428" s="218"/>
      <c r="I428" s="219"/>
      <c r="J428" s="173"/>
    </row>
    <row r="429" spans="1:10" x14ac:dyDescent="0.25">
      <c r="A429" s="106"/>
      <c r="B429" s="107"/>
      <c r="D429" s="151" t="s">
        <v>842</v>
      </c>
      <c r="E429" s="142" t="s">
        <v>363</v>
      </c>
      <c r="F429" s="218" t="s">
        <v>460</v>
      </c>
      <c r="G429" s="218"/>
      <c r="H429" s="218"/>
      <c r="I429" s="219"/>
      <c r="J429" s="173"/>
    </row>
    <row r="430" spans="1:10" x14ac:dyDescent="0.25">
      <c r="A430" s="106"/>
      <c r="B430" s="107"/>
      <c r="D430" s="151" t="s">
        <v>843</v>
      </c>
      <c r="E430" s="142" t="s">
        <v>1856</v>
      </c>
      <c r="F430" s="218" t="s">
        <v>383</v>
      </c>
      <c r="G430" s="218"/>
      <c r="H430" s="218"/>
      <c r="I430" s="230"/>
      <c r="J430" s="173"/>
    </row>
    <row r="431" spans="1:10" x14ac:dyDescent="0.25">
      <c r="A431" s="106"/>
      <c r="B431" s="107"/>
      <c r="D431" s="151" t="s">
        <v>844</v>
      </c>
      <c r="E431" s="142" t="s">
        <v>363</v>
      </c>
      <c r="F431" s="218" t="s">
        <v>460</v>
      </c>
      <c r="G431" s="218"/>
      <c r="H431" s="218"/>
      <c r="I431" s="219"/>
      <c r="J431" s="173"/>
    </row>
    <row r="432" spans="1:10" x14ac:dyDescent="0.25">
      <c r="A432" s="106"/>
      <c r="B432" s="107"/>
      <c r="D432" s="151" t="s">
        <v>845</v>
      </c>
      <c r="E432" s="142" t="s">
        <v>1865</v>
      </c>
      <c r="F432" s="218" t="s">
        <v>1498</v>
      </c>
      <c r="G432" s="218"/>
      <c r="H432" s="218"/>
      <c r="I432" s="219"/>
      <c r="J432" s="173"/>
    </row>
    <row r="433" spans="1:10" x14ac:dyDescent="0.25">
      <c r="A433" s="106"/>
      <c r="B433" s="107"/>
      <c r="D433" s="151" t="s">
        <v>846</v>
      </c>
      <c r="E433" s="142" t="s">
        <v>363</v>
      </c>
      <c r="F433" s="218" t="s">
        <v>460</v>
      </c>
      <c r="G433" s="218"/>
      <c r="H433" s="218"/>
      <c r="I433" s="219"/>
      <c r="J433" s="173"/>
    </row>
    <row r="434" spans="1:10" x14ac:dyDescent="0.25">
      <c r="A434" s="106"/>
      <c r="B434" s="107"/>
      <c r="D434" s="151" t="s">
        <v>847</v>
      </c>
      <c r="E434" s="142" t="s">
        <v>1857</v>
      </c>
      <c r="F434" s="218" t="s">
        <v>386</v>
      </c>
      <c r="G434" s="218"/>
      <c r="H434" s="218"/>
      <c r="I434" s="219"/>
      <c r="J434" s="173"/>
    </row>
    <row r="435" spans="1:10" x14ac:dyDescent="0.25">
      <c r="A435" s="106"/>
      <c r="B435" s="107"/>
      <c r="D435" s="151" t="s">
        <v>848</v>
      </c>
      <c r="E435" s="142" t="s">
        <v>2186</v>
      </c>
      <c r="F435" s="218" t="s">
        <v>2101</v>
      </c>
      <c r="G435" s="218"/>
      <c r="H435" s="218"/>
      <c r="I435" s="219"/>
      <c r="J435" s="173"/>
    </row>
    <row r="436" spans="1:10" x14ac:dyDescent="0.25">
      <c r="A436" s="106"/>
      <c r="B436" s="107"/>
      <c r="D436" s="151" t="s">
        <v>849</v>
      </c>
      <c r="E436" s="142" t="s">
        <v>2079</v>
      </c>
      <c r="F436" s="218" t="s">
        <v>2078</v>
      </c>
      <c r="G436" s="218"/>
      <c r="H436" s="218"/>
      <c r="I436" s="219"/>
      <c r="J436" s="173"/>
    </row>
    <row r="437" spans="1:10" ht="15.75" thickBot="1" x14ac:dyDescent="0.3">
      <c r="A437" s="106"/>
      <c r="B437" s="107"/>
      <c r="D437" s="151" t="s">
        <v>850</v>
      </c>
      <c r="E437" s="182" t="s">
        <v>2193</v>
      </c>
      <c r="F437" s="183" t="s">
        <v>1811</v>
      </c>
      <c r="G437" s="183"/>
      <c r="H437" s="183"/>
      <c r="I437" s="184"/>
      <c r="J437" s="185"/>
    </row>
    <row r="438" spans="1:10" x14ac:dyDescent="0.25">
      <c r="A438" s="106"/>
      <c r="B438" s="107"/>
      <c r="D438" s="151" t="s">
        <v>851</v>
      </c>
      <c r="E438" s="142" t="s">
        <v>1899</v>
      </c>
      <c r="F438" s="218" t="s">
        <v>758</v>
      </c>
      <c r="G438" s="218"/>
      <c r="H438" s="218"/>
      <c r="I438" s="219"/>
      <c r="J438" s="173"/>
    </row>
    <row r="439" spans="1:10" x14ac:dyDescent="0.25">
      <c r="A439" s="106"/>
      <c r="B439" s="107"/>
      <c r="D439" s="151" t="s">
        <v>852</v>
      </c>
      <c r="E439" s="142" t="s">
        <v>2059</v>
      </c>
      <c r="F439" s="218" t="s">
        <v>2050</v>
      </c>
      <c r="G439" s="218"/>
      <c r="H439" s="218"/>
      <c r="I439" s="219"/>
      <c r="J439" s="173"/>
    </row>
    <row r="440" spans="1:10" x14ac:dyDescent="0.25">
      <c r="A440" s="106"/>
      <c r="B440" s="107"/>
      <c r="D440" s="151" t="s">
        <v>853</v>
      </c>
      <c r="E440" s="142" t="s">
        <v>712</v>
      </c>
      <c r="F440" s="218" t="s">
        <v>1838</v>
      </c>
      <c r="G440" s="218"/>
      <c r="H440" s="218"/>
      <c r="I440" s="219"/>
      <c r="J440" s="173"/>
    </row>
    <row r="441" spans="1:10" x14ac:dyDescent="0.25">
      <c r="A441" s="106"/>
      <c r="B441" s="107"/>
      <c r="D441" s="151" t="s">
        <v>854</v>
      </c>
      <c r="E441" s="142" t="s">
        <v>2058</v>
      </c>
      <c r="F441" s="218" t="s">
        <v>1997</v>
      </c>
      <c r="G441" s="218"/>
      <c r="H441" s="218"/>
      <c r="I441" s="219"/>
      <c r="J441" s="173"/>
    </row>
    <row r="442" spans="1:10" x14ac:dyDescent="0.25">
      <c r="A442" s="106"/>
      <c r="B442" s="107"/>
      <c r="D442" s="151" t="s">
        <v>855</v>
      </c>
      <c r="E442" s="142" t="s">
        <v>2187</v>
      </c>
      <c r="F442" s="218" t="s">
        <v>1795</v>
      </c>
      <c r="G442" s="218"/>
      <c r="H442" s="218"/>
      <c r="I442" s="219"/>
      <c r="J442" s="173"/>
    </row>
    <row r="443" spans="1:10" ht="15.75" thickBot="1" x14ac:dyDescent="0.3">
      <c r="A443" s="106"/>
      <c r="B443" s="107"/>
      <c r="D443" s="151" t="s">
        <v>856</v>
      </c>
      <c r="E443" s="182" t="s">
        <v>313</v>
      </c>
      <c r="F443" s="183" t="s">
        <v>148</v>
      </c>
      <c r="G443" s="183"/>
      <c r="H443" s="183"/>
      <c r="I443" s="184"/>
      <c r="J443" s="185"/>
    </row>
    <row r="444" spans="1:10" x14ac:dyDescent="0.25">
      <c r="A444" s="106"/>
      <c r="B444" s="107"/>
      <c r="D444" s="151" t="s">
        <v>857</v>
      </c>
      <c r="E444" s="142" t="s">
        <v>1864</v>
      </c>
      <c r="F444" s="218" t="s">
        <v>1499</v>
      </c>
      <c r="G444" s="218"/>
      <c r="H444" s="218"/>
      <c r="I444" s="219"/>
      <c r="J444" s="173"/>
    </row>
    <row r="445" spans="1:10" x14ac:dyDescent="0.25">
      <c r="A445" s="106"/>
      <c r="B445" s="107"/>
      <c r="D445" s="151" t="s">
        <v>858</v>
      </c>
      <c r="E445" s="142" t="s">
        <v>2194</v>
      </c>
      <c r="F445" s="218" t="s">
        <v>1852</v>
      </c>
      <c r="G445" s="218"/>
      <c r="H445" s="218"/>
      <c r="I445" s="219"/>
      <c r="J445" s="173"/>
    </row>
    <row r="446" spans="1:10" x14ac:dyDescent="0.25">
      <c r="A446" s="106"/>
      <c r="B446" s="107"/>
      <c r="D446" s="151" t="s">
        <v>859</v>
      </c>
      <c r="E446" s="142" t="s">
        <v>363</v>
      </c>
      <c r="F446" s="218" t="s">
        <v>460</v>
      </c>
      <c r="G446" s="218"/>
      <c r="H446" s="218"/>
      <c r="I446" s="219"/>
      <c r="J446" s="173"/>
    </row>
    <row r="447" spans="1:10" x14ac:dyDescent="0.25">
      <c r="A447" s="106"/>
      <c r="B447" s="107"/>
      <c r="D447" s="151" t="s">
        <v>860</v>
      </c>
      <c r="E447" s="142" t="s">
        <v>1856</v>
      </c>
      <c r="F447" s="218" t="s">
        <v>383</v>
      </c>
      <c r="G447" s="218"/>
      <c r="H447" s="218"/>
      <c r="I447" s="219"/>
      <c r="J447" s="173"/>
    </row>
    <row r="448" spans="1:10" x14ac:dyDescent="0.25">
      <c r="A448" s="106"/>
      <c r="B448" s="107"/>
      <c r="D448" s="151" t="s">
        <v>861</v>
      </c>
      <c r="E448" s="142" t="s">
        <v>363</v>
      </c>
      <c r="F448" s="218" t="s">
        <v>460</v>
      </c>
      <c r="G448" s="218"/>
      <c r="H448" s="218"/>
      <c r="I448" s="219"/>
      <c r="J448" s="173"/>
    </row>
    <row r="449" spans="1:10" x14ac:dyDescent="0.25">
      <c r="A449" s="106"/>
      <c r="B449" s="107"/>
      <c r="D449" s="151" t="s">
        <v>862</v>
      </c>
      <c r="E449" s="142" t="s">
        <v>1865</v>
      </c>
      <c r="F449" s="218" t="s">
        <v>1498</v>
      </c>
      <c r="G449" s="218"/>
      <c r="H449" s="218"/>
      <c r="I449" s="230"/>
      <c r="J449" s="173"/>
    </row>
    <row r="450" spans="1:10" ht="15.75" thickBot="1" x14ac:dyDescent="0.3">
      <c r="A450" s="106"/>
      <c r="B450" s="107"/>
      <c r="D450" s="151" t="s">
        <v>863</v>
      </c>
      <c r="E450" s="182" t="s">
        <v>2193</v>
      </c>
      <c r="F450" s="183" t="s">
        <v>1811</v>
      </c>
      <c r="G450" s="183"/>
      <c r="H450" s="183"/>
      <c r="I450" s="192"/>
      <c r="J450" s="185"/>
    </row>
    <row r="451" spans="1:10" x14ac:dyDescent="0.25">
      <c r="A451" s="106"/>
      <c r="B451" s="107"/>
      <c r="D451" s="151" t="s">
        <v>864</v>
      </c>
      <c r="E451" s="142" t="s">
        <v>475</v>
      </c>
      <c r="F451" s="218" t="s">
        <v>476</v>
      </c>
      <c r="G451" s="218"/>
      <c r="H451" s="218"/>
      <c r="I451" s="219"/>
      <c r="J451" s="173"/>
    </row>
    <row r="452" spans="1:10" x14ac:dyDescent="0.25">
      <c r="A452" s="106"/>
      <c r="B452" s="107"/>
      <c r="D452" s="151" t="s">
        <v>865</v>
      </c>
      <c r="E452" s="142" t="s">
        <v>1856</v>
      </c>
      <c r="F452" s="218" t="s">
        <v>383</v>
      </c>
      <c r="G452" s="218"/>
      <c r="H452" s="218"/>
      <c r="I452" s="219"/>
      <c r="J452" s="173"/>
    </row>
    <row r="453" spans="1:10" x14ac:dyDescent="0.25">
      <c r="A453" s="106"/>
      <c r="B453" s="107"/>
      <c r="D453" s="151" t="s">
        <v>866</v>
      </c>
      <c r="E453" s="142" t="s">
        <v>475</v>
      </c>
      <c r="F453" s="218" t="s">
        <v>476</v>
      </c>
      <c r="G453" s="218"/>
      <c r="H453" s="218"/>
      <c r="I453" s="219"/>
      <c r="J453" s="173"/>
    </row>
    <row r="454" spans="1:10" x14ac:dyDescent="0.25">
      <c r="A454" s="106"/>
      <c r="B454" s="107"/>
      <c r="D454" s="151" t="s">
        <v>867</v>
      </c>
      <c r="E454" s="142" t="s">
        <v>1865</v>
      </c>
      <c r="F454" s="218" t="s">
        <v>1498</v>
      </c>
      <c r="G454" s="218"/>
      <c r="H454" s="218"/>
      <c r="I454" s="219"/>
      <c r="J454" s="173"/>
    </row>
    <row r="455" spans="1:10" ht="15.75" thickBot="1" x14ac:dyDescent="0.3">
      <c r="A455" s="106"/>
      <c r="B455" s="107"/>
      <c r="D455" s="151" t="s">
        <v>868</v>
      </c>
      <c r="E455" s="142" t="s">
        <v>2193</v>
      </c>
      <c r="F455" s="218" t="s">
        <v>1811</v>
      </c>
      <c r="G455" s="218"/>
      <c r="H455" s="218"/>
      <c r="I455" s="219"/>
      <c r="J455" s="173"/>
    </row>
    <row r="456" spans="1:10" ht="15.75" thickBot="1" x14ac:dyDescent="0.3">
      <c r="A456" s="106"/>
      <c r="B456" s="107"/>
      <c r="D456" s="151" t="s">
        <v>869</v>
      </c>
      <c r="E456" s="186" t="s">
        <v>2195</v>
      </c>
      <c r="F456" s="187" t="s">
        <v>2107</v>
      </c>
      <c r="G456" s="187"/>
      <c r="H456" s="187"/>
      <c r="I456" s="199"/>
      <c r="J456" s="188"/>
    </row>
    <row r="457" spans="1:10" x14ac:dyDescent="0.25">
      <c r="A457" s="106"/>
      <c r="B457" s="107"/>
      <c r="D457" s="151" t="s">
        <v>870</v>
      </c>
      <c r="E457" s="142" t="s">
        <v>2060</v>
      </c>
      <c r="F457" s="218" t="s">
        <v>2051</v>
      </c>
      <c r="G457" s="218"/>
      <c r="H457" s="218"/>
      <c r="I457" s="219"/>
      <c r="J457" s="173"/>
    </row>
    <row r="458" spans="1:10" x14ac:dyDescent="0.25">
      <c r="A458" s="106"/>
      <c r="B458" s="107"/>
      <c r="D458" s="151" t="s">
        <v>871</v>
      </c>
      <c r="E458" s="142" t="s">
        <v>2196</v>
      </c>
      <c r="F458" s="218" t="s">
        <v>2052</v>
      </c>
      <c r="G458" s="218"/>
      <c r="H458" s="218"/>
      <c r="I458" s="219"/>
      <c r="J458" s="173"/>
    </row>
    <row r="459" spans="1:10" ht="15.75" thickBot="1" x14ac:dyDescent="0.3">
      <c r="A459" s="106"/>
      <c r="B459" s="107"/>
      <c r="D459" s="151" t="s">
        <v>872</v>
      </c>
      <c r="E459" s="182" t="s">
        <v>313</v>
      </c>
      <c r="F459" s="183" t="s">
        <v>148</v>
      </c>
      <c r="G459" s="183"/>
      <c r="H459" s="183"/>
      <c r="I459" s="184"/>
      <c r="J459" s="185"/>
    </row>
    <row r="460" spans="1:10" x14ac:dyDescent="0.25">
      <c r="A460" s="106"/>
      <c r="B460" s="107"/>
      <c r="D460" s="151" t="s">
        <v>873</v>
      </c>
      <c r="E460" s="142" t="s">
        <v>408</v>
      </c>
      <c r="F460" s="218" t="s">
        <v>409</v>
      </c>
      <c r="G460" s="218"/>
      <c r="H460" s="218"/>
      <c r="I460" s="230"/>
      <c r="J460" s="173"/>
    </row>
    <row r="461" spans="1:10" x14ac:dyDescent="0.25">
      <c r="A461" s="106"/>
      <c r="B461" s="107"/>
      <c r="D461" s="151" t="s">
        <v>876</v>
      </c>
      <c r="E461" s="142" t="s">
        <v>2197</v>
      </c>
      <c r="F461" s="218" t="s">
        <v>2001</v>
      </c>
      <c r="G461" s="218"/>
      <c r="H461" s="218"/>
      <c r="I461" s="219"/>
      <c r="J461" s="173"/>
    </row>
    <row r="462" spans="1:10" x14ac:dyDescent="0.25">
      <c r="A462" s="106"/>
      <c r="B462" s="107"/>
      <c r="D462" s="151" t="s">
        <v>877</v>
      </c>
      <c r="E462" s="142" t="s">
        <v>2198</v>
      </c>
      <c r="F462" s="218" t="s">
        <v>2002</v>
      </c>
      <c r="G462" s="218"/>
      <c r="H462" s="218"/>
      <c r="I462" s="219"/>
      <c r="J462" s="173"/>
    </row>
    <row r="463" spans="1:10" x14ac:dyDescent="0.25">
      <c r="A463" s="106"/>
      <c r="B463" s="107"/>
      <c r="D463" s="151" t="s">
        <v>878</v>
      </c>
      <c r="E463" s="142" t="s">
        <v>2199</v>
      </c>
      <c r="F463" s="218" t="s">
        <v>2003</v>
      </c>
      <c r="G463" s="218"/>
      <c r="H463" s="218"/>
      <c r="I463" s="219"/>
      <c r="J463" s="173"/>
    </row>
    <row r="464" spans="1:10" x14ac:dyDescent="0.25">
      <c r="A464" s="106"/>
      <c r="B464" s="107"/>
      <c r="D464" s="151" t="s">
        <v>879</v>
      </c>
      <c r="E464" s="142" t="s">
        <v>2200</v>
      </c>
      <c r="F464" s="218" t="s">
        <v>2004</v>
      </c>
      <c r="G464" s="218"/>
      <c r="H464" s="218"/>
      <c r="I464" s="230"/>
      <c r="J464" s="173"/>
    </row>
    <row r="465" spans="1:10" ht="15.75" thickBot="1" x14ac:dyDescent="0.3">
      <c r="A465" s="106"/>
      <c r="B465" s="107"/>
      <c r="D465" s="151" t="s">
        <v>880</v>
      </c>
      <c r="E465" s="182" t="s">
        <v>313</v>
      </c>
      <c r="F465" s="183" t="s">
        <v>148</v>
      </c>
      <c r="G465" s="183"/>
      <c r="H465" s="183"/>
      <c r="I465" s="192"/>
      <c r="J465" s="185"/>
    </row>
    <row r="466" spans="1:10" x14ac:dyDescent="0.25">
      <c r="A466" s="106"/>
      <c r="B466" s="107"/>
      <c r="D466" s="151" t="s">
        <v>881</v>
      </c>
      <c r="E466" s="142" t="s">
        <v>475</v>
      </c>
      <c r="F466" s="218" t="s">
        <v>476</v>
      </c>
      <c r="G466" s="218"/>
      <c r="H466" s="218"/>
      <c r="I466" s="219"/>
      <c r="J466" s="173"/>
    </row>
    <row r="467" spans="1:10" x14ac:dyDescent="0.25">
      <c r="A467" s="106"/>
      <c r="B467" s="107"/>
      <c r="D467" s="151" t="s">
        <v>882</v>
      </c>
      <c r="E467" s="142" t="s">
        <v>1856</v>
      </c>
      <c r="F467" s="218" t="s">
        <v>383</v>
      </c>
      <c r="G467" s="218"/>
      <c r="H467" s="218"/>
      <c r="I467" s="219"/>
      <c r="J467" s="173"/>
    </row>
    <row r="468" spans="1:10" x14ac:dyDescent="0.25">
      <c r="A468" s="106"/>
      <c r="B468" s="107"/>
      <c r="D468" s="151" t="s">
        <v>883</v>
      </c>
      <c r="E468" s="142" t="s">
        <v>475</v>
      </c>
      <c r="F468" s="218" t="s">
        <v>476</v>
      </c>
      <c r="G468" s="218"/>
      <c r="H468" s="218"/>
      <c r="I468" s="219"/>
      <c r="J468" s="173"/>
    </row>
    <row r="469" spans="1:10" x14ac:dyDescent="0.25">
      <c r="A469" s="106"/>
      <c r="B469" s="107"/>
      <c r="D469" s="151" t="s">
        <v>884</v>
      </c>
      <c r="E469" s="142" t="s">
        <v>1865</v>
      </c>
      <c r="F469" s="218" t="s">
        <v>1498</v>
      </c>
      <c r="G469" s="218"/>
      <c r="H469" s="218"/>
      <c r="I469" s="230"/>
      <c r="J469" s="173"/>
    </row>
    <row r="470" spans="1:10" x14ac:dyDescent="0.25">
      <c r="A470" s="106"/>
      <c r="B470" s="107"/>
      <c r="D470" s="151" t="s">
        <v>885</v>
      </c>
      <c r="E470" s="142" t="s">
        <v>2187</v>
      </c>
      <c r="F470" s="218" t="s">
        <v>1795</v>
      </c>
      <c r="G470" s="218"/>
      <c r="H470" s="218"/>
      <c r="I470" s="230"/>
      <c r="J470" s="173"/>
    </row>
    <row r="471" spans="1:10" ht="15.75" thickBot="1" x14ac:dyDescent="0.3">
      <c r="A471" s="106"/>
      <c r="B471" s="107"/>
      <c r="D471" s="151" t="s">
        <v>886</v>
      </c>
      <c r="E471" s="182" t="s">
        <v>313</v>
      </c>
      <c r="F471" s="183" t="s">
        <v>148</v>
      </c>
      <c r="G471" s="183"/>
      <c r="H471" s="183"/>
      <c r="I471" s="184"/>
      <c r="J471" s="185"/>
    </row>
    <row r="472" spans="1:10" x14ac:dyDescent="0.25">
      <c r="A472" s="106"/>
      <c r="B472" s="107"/>
      <c r="D472" s="151" t="s">
        <v>887</v>
      </c>
      <c r="E472" s="142" t="s">
        <v>475</v>
      </c>
      <c r="F472" s="218" t="s">
        <v>476</v>
      </c>
      <c r="G472" s="218"/>
      <c r="H472" s="218"/>
      <c r="I472" s="219"/>
      <c r="J472" s="173"/>
    </row>
    <row r="473" spans="1:10" x14ac:dyDescent="0.25">
      <c r="A473" s="106"/>
      <c r="B473" s="107"/>
      <c r="D473" s="151" t="s">
        <v>888</v>
      </c>
      <c r="E473" s="142" t="s">
        <v>1856</v>
      </c>
      <c r="F473" s="218" t="s">
        <v>383</v>
      </c>
      <c r="G473" s="218"/>
      <c r="H473" s="218"/>
      <c r="I473" s="219"/>
      <c r="J473" s="173"/>
    </row>
    <row r="474" spans="1:10" x14ac:dyDescent="0.25">
      <c r="A474" s="106"/>
      <c r="B474" s="107"/>
      <c r="D474" s="151" t="s">
        <v>889</v>
      </c>
      <c r="E474" s="142" t="s">
        <v>512</v>
      </c>
      <c r="F474" s="218" t="s">
        <v>513</v>
      </c>
      <c r="G474" s="218"/>
      <c r="H474" s="218"/>
      <c r="I474" s="230"/>
      <c r="J474" s="173"/>
    </row>
    <row r="475" spans="1:10" x14ac:dyDescent="0.25">
      <c r="A475" s="106"/>
      <c r="B475" s="107"/>
      <c r="D475" s="151" t="s">
        <v>890</v>
      </c>
      <c r="E475" s="142" t="s">
        <v>1865</v>
      </c>
      <c r="F475" s="218" t="s">
        <v>1498</v>
      </c>
      <c r="G475" s="218"/>
      <c r="H475" s="218"/>
      <c r="I475" s="230"/>
      <c r="J475" s="173"/>
    </row>
    <row r="476" spans="1:10" x14ac:dyDescent="0.25">
      <c r="A476" s="106"/>
      <c r="B476" s="107"/>
      <c r="D476" s="151" t="s">
        <v>891</v>
      </c>
      <c r="E476" s="142" t="s">
        <v>2187</v>
      </c>
      <c r="F476" s="218" t="s">
        <v>1795</v>
      </c>
      <c r="G476" s="218"/>
      <c r="H476" s="218"/>
      <c r="I476" s="219"/>
      <c r="J476" s="173"/>
    </row>
    <row r="477" spans="1:10" ht="15.75" thickBot="1" x14ac:dyDescent="0.3">
      <c r="A477" s="106"/>
      <c r="B477" s="107"/>
      <c r="D477" s="151" t="s">
        <v>892</v>
      </c>
      <c r="E477" s="182" t="s">
        <v>313</v>
      </c>
      <c r="F477" s="183" t="s">
        <v>148</v>
      </c>
      <c r="G477" s="183"/>
      <c r="H477" s="183"/>
      <c r="I477" s="184"/>
      <c r="J477" s="185"/>
    </row>
    <row r="478" spans="1:10" x14ac:dyDescent="0.25">
      <c r="A478" s="106"/>
      <c r="B478" s="107"/>
      <c r="D478" s="151" t="s">
        <v>893</v>
      </c>
      <c r="E478" s="142" t="s">
        <v>419</v>
      </c>
      <c r="F478" s="218" t="s">
        <v>420</v>
      </c>
      <c r="G478" s="218"/>
      <c r="H478" s="218"/>
      <c r="I478" s="219"/>
      <c r="J478" s="173"/>
    </row>
    <row r="479" spans="1:10" x14ac:dyDescent="0.25">
      <c r="A479" s="106"/>
      <c r="B479" s="107"/>
      <c r="D479" s="151" t="s">
        <v>895</v>
      </c>
      <c r="E479" s="142" t="s">
        <v>2121</v>
      </c>
      <c r="F479" s="218" t="s">
        <v>422</v>
      </c>
      <c r="G479" s="218"/>
      <c r="H479" s="218"/>
      <c r="I479" s="230"/>
      <c r="J479" s="173"/>
    </row>
    <row r="480" spans="1:10" x14ac:dyDescent="0.25">
      <c r="A480" s="106"/>
      <c r="B480" s="107"/>
      <c r="D480" s="151" t="s">
        <v>898</v>
      </c>
      <c r="E480" s="142" t="s">
        <v>2122</v>
      </c>
      <c r="F480" s="218" t="s">
        <v>2016</v>
      </c>
      <c r="G480" s="218"/>
      <c r="H480" s="218"/>
      <c r="I480" s="230"/>
      <c r="J480" s="173"/>
    </row>
    <row r="481" spans="1:10" x14ac:dyDescent="0.25">
      <c r="A481" s="106"/>
      <c r="B481" s="107"/>
      <c r="D481" s="151" t="s">
        <v>899</v>
      </c>
      <c r="E481" s="142" t="s">
        <v>2201</v>
      </c>
      <c r="F481" s="218" t="s">
        <v>2021</v>
      </c>
      <c r="G481" s="218"/>
      <c r="H481" s="218"/>
      <c r="I481" s="219"/>
      <c r="J481" s="173"/>
    </row>
    <row r="482" spans="1:10" x14ac:dyDescent="0.25">
      <c r="A482" s="106"/>
      <c r="B482" s="107"/>
      <c r="D482" s="151" t="s">
        <v>900</v>
      </c>
      <c r="E482" s="142" t="s">
        <v>2123</v>
      </c>
      <c r="F482" s="218" t="s">
        <v>2017</v>
      </c>
      <c r="G482" s="218"/>
      <c r="H482" s="218"/>
      <c r="I482" s="219"/>
      <c r="J482" s="173"/>
    </row>
    <row r="483" spans="1:10" ht="15.75" thickBot="1" x14ac:dyDescent="0.3">
      <c r="A483" s="106"/>
      <c r="B483" s="107"/>
      <c r="D483" s="151" t="s">
        <v>902</v>
      </c>
      <c r="E483" s="182" t="s">
        <v>313</v>
      </c>
      <c r="F483" s="183" t="s">
        <v>148</v>
      </c>
      <c r="G483" s="183"/>
      <c r="H483" s="183"/>
      <c r="I483" s="184"/>
      <c r="J483" s="185"/>
    </row>
    <row r="484" spans="1:10" x14ac:dyDescent="0.25">
      <c r="A484" s="106"/>
      <c r="B484" s="107"/>
      <c r="D484" s="151" t="s">
        <v>904</v>
      </c>
      <c r="E484" s="142" t="s">
        <v>475</v>
      </c>
      <c r="F484" s="218" t="s">
        <v>998</v>
      </c>
      <c r="G484" s="218"/>
      <c r="H484" s="218"/>
      <c r="I484" s="219"/>
      <c r="J484" s="173"/>
    </row>
    <row r="485" spans="1:10" x14ac:dyDescent="0.25">
      <c r="A485" s="106"/>
      <c r="B485" s="107"/>
      <c r="D485" s="151" t="s">
        <v>905</v>
      </c>
      <c r="E485" s="142" t="s">
        <v>2056</v>
      </c>
      <c r="F485" s="218" t="s">
        <v>2048</v>
      </c>
      <c r="G485" s="218"/>
      <c r="H485" s="218"/>
      <c r="I485" s="219"/>
      <c r="J485" s="173"/>
    </row>
    <row r="486" spans="1:10" x14ac:dyDescent="0.25">
      <c r="A486" s="106"/>
      <c r="B486" s="107"/>
      <c r="D486" s="151" t="s">
        <v>908</v>
      </c>
      <c r="E486" s="142" t="s">
        <v>2187</v>
      </c>
      <c r="F486" s="218" t="s">
        <v>1795</v>
      </c>
      <c r="G486" s="218"/>
      <c r="H486" s="218"/>
      <c r="I486" s="219"/>
      <c r="J486" s="173"/>
    </row>
    <row r="487" spans="1:10" x14ac:dyDescent="0.25">
      <c r="A487" s="106"/>
      <c r="B487" s="107"/>
      <c r="D487" s="151" t="s">
        <v>909</v>
      </c>
      <c r="E487" s="142" t="s">
        <v>2202</v>
      </c>
      <c r="F487" s="218" t="s">
        <v>2053</v>
      </c>
      <c r="G487" s="218"/>
      <c r="H487" s="218"/>
      <c r="I487" s="219"/>
      <c r="J487" s="173"/>
    </row>
    <row r="488" spans="1:10" ht="15.75" thickBot="1" x14ac:dyDescent="0.3">
      <c r="A488" s="106"/>
      <c r="B488" s="107"/>
      <c r="D488" s="151" t="s">
        <v>910</v>
      </c>
      <c r="E488" s="182" t="s">
        <v>313</v>
      </c>
      <c r="F488" s="183" t="s">
        <v>148</v>
      </c>
      <c r="G488" s="183"/>
      <c r="H488" s="183"/>
      <c r="I488" s="184"/>
      <c r="J488" s="185"/>
    </row>
    <row r="489" spans="1:10" x14ac:dyDescent="0.25">
      <c r="A489" s="106"/>
      <c r="B489" s="107"/>
      <c r="D489" s="151" t="s">
        <v>911</v>
      </c>
      <c r="E489" s="142" t="s">
        <v>363</v>
      </c>
      <c r="F489" s="218" t="s">
        <v>460</v>
      </c>
      <c r="G489" s="218"/>
      <c r="H489" s="218"/>
      <c r="I489" s="219"/>
      <c r="J489" s="173"/>
    </row>
    <row r="490" spans="1:10" x14ac:dyDescent="0.25">
      <c r="A490" s="106"/>
      <c r="B490" s="107"/>
      <c r="D490" s="151" t="s">
        <v>912</v>
      </c>
      <c r="E490" s="142" t="s">
        <v>2056</v>
      </c>
      <c r="F490" s="218" t="s">
        <v>2048</v>
      </c>
      <c r="G490" s="218"/>
      <c r="H490" s="218"/>
      <c r="I490" s="219"/>
      <c r="J490" s="173"/>
    </row>
    <row r="491" spans="1:10" x14ac:dyDescent="0.25">
      <c r="A491" s="106"/>
      <c r="B491" s="107"/>
      <c r="D491" s="151" t="s">
        <v>913</v>
      </c>
      <c r="E491" s="142" t="s">
        <v>2187</v>
      </c>
      <c r="F491" s="218" t="s">
        <v>1795</v>
      </c>
      <c r="G491" s="218"/>
      <c r="H491" s="218"/>
      <c r="I491" s="219"/>
      <c r="J491" s="173"/>
    </row>
    <row r="492" spans="1:10" ht="15.75" thickBot="1" x14ac:dyDescent="0.3">
      <c r="A492" s="106"/>
      <c r="B492" s="107"/>
      <c r="D492" s="151" t="s">
        <v>914</v>
      </c>
      <c r="E492" s="182" t="s">
        <v>313</v>
      </c>
      <c r="F492" s="183" t="s">
        <v>148</v>
      </c>
      <c r="G492" s="183"/>
      <c r="H492" s="183"/>
      <c r="I492" s="184"/>
      <c r="J492" s="185"/>
    </row>
    <row r="493" spans="1:10" x14ac:dyDescent="0.25">
      <c r="A493" s="106"/>
      <c r="B493" s="107"/>
      <c r="D493" s="151" t="s">
        <v>915</v>
      </c>
      <c r="E493" s="142" t="s">
        <v>429</v>
      </c>
      <c r="F493" s="218" t="s">
        <v>430</v>
      </c>
      <c r="G493" s="218"/>
      <c r="H493" s="218"/>
      <c r="I493" s="219"/>
      <c r="J493" s="173"/>
    </row>
    <row r="494" spans="1:10" x14ac:dyDescent="0.25">
      <c r="A494" s="106"/>
      <c r="B494" s="107"/>
      <c r="D494" s="151" t="s">
        <v>916</v>
      </c>
      <c r="E494" s="142" t="s">
        <v>2203</v>
      </c>
      <c r="F494" s="218" t="s">
        <v>2054</v>
      </c>
      <c r="G494" s="218"/>
      <c r="H494" s="218"/>
      <c r="I494" s="219"/>
      <c r="J494" s="173"/>
    </row>
    <row r="495" spans="1:10" ht="15.75" thickBot="1" x14ac:dyDescent="0.3">
      <c r="A495" s="106"/>
      <c r="B495" s="107"/>
      <c r="D495" s="151" t="s">
        <v>917</v>
      </c>
      <c r="E495" s="182" t="s">
        <v>313</v>
      </c>
      <c r="F495" s="183" t="s">
        <v>148</v>
      </c>
      <c r="G495" s="183"/>
      <c r="H495" s="183"/>
      <c r="I495" s="184"/>
      <c r="J495" s="185"/>
    </row>
    <row r="496" spans="1:10" x14ac:dyDescent="0.25">
      <c r="A496" s="106"/>
      <c r="B496" s="107"/>
      <c r="D496" s="151" t="s">
        <v>918</v>
      </c>
      <c r="E496" s="142" t="s">
        <v>468</v>
      </c>
      <c r="F496" s="218" t="s">
        <v>469</v>
      </c>
      <c r="G496" s="218"/>
      <c r="H496" s="218"/>
      <c r="I496" s="219"/>
      <c r="J496" s="173"/>
    </row>
    <row r="497" spans="1:10" x14ac:dyDescent="0.25">
      <c r="A497" s="106"/>
      <c r="B497" s="107"/>
      <c r="D497" s="151" t="s">
        <v>919</v>
      </c>
      <c r="E497" s="142" t="s">
        <v>2204</v>
      </c>
      <c r="F497" s="218" t="s">
        <v>2030</v>
      </c>
      <c r="G497" s="218"/>
      <c r="H497" s="218"/>
      <c r="I497" s="219"/>
      <c r="J497" s="173"/>
    </row>
    <row r="498" spans="1:10" x14ac:dyDescent="0.25">
      <c r="A498" s="106"/>
      <c r="B498" s="107"/>
      <c r="D498" s="151" t="s">
        <v>920</v>
      </c>
      <c r="E498" s="142" t="s">
        <v>2205</v>
      </c>
      <c r="F498" s="218" t="s">
        <v>2031</v>
      </c>
      <c r="G498" s="218"/>
      <c r="H498" s="218"/>
      <c r="I498" s="219"/>
      <c r="J498" s="173"/>
    </row>
    <row r="499" spans="1:10" ht="15.75" thickBot="1" x14ac:dyDescent="0.3">
      <c r="A499" s="106"/>
      <c r="B499" s="107"/>
      <c r="D499" s="151" t="s">
        <v>921</v>
      </c>
      <c r="E499" s="182" t="s">
        <v>313</v>
      </c>
      <c r="F499" s="183" t="s">
        <v>148</v>
      </c>
      <c r="G499" s="183"/>
      <c r="H499" s="183"/>
      <c r="I499" s="192"/>
      <c r="J499" s="185"/>
    </row>
    <row r="500" spans="1:10" x14ac:dyDescent="0.25">
      <c r="A500" s="106"/>
      <c r="B500" s="107"/>
      <c r="D500" s="151" t="s">
        <v>922</v>
      </c>
      <c r="E500" s="142" t="s">
        <v>363</v>
      </c>
      <c r="F500" s="218" t="s">
        <v>460</v>
      </c>
      <c r="G500" s="218"/>
      <c r="H500" s="218"/>
      <c r="I500" s="219"/>
      <c r="J500" s="173"/>
    </row>
    <row r="501" spans="1:10" x14ac:dyDescent="0.25">
      <c r="A501" s="106"/>
      <c r="B501" s="107"/>
      <c r="D501" s="151" t="s">
        <v>923</v>
      </c>
      <c r="E501" s="142" t="s">
        <v>2061</v>
      </c>
      <c r="F501" s="218" t="s">
        <v>2055</v>
      </c>
      <c r="G501" s="218"/>
      <c r="H501" s="218"/>
      <c r="I501" s="219"/>
      <c r="J501" s="173"/>
    </row>
    <row r="502" spans="1:10" x14ac:dyDescent="0.25">
      <c r="A502" s="106"/>
      <c r="B502" s="107"/>
      <c r="D502" s="151" t="s">
        <v>924</v>
      </c>
      <c r="E502" s="142" t="s">
        <v>363</v>
      </c>
      <c r="F502" s="218" t="s">
        <v>460</v>
      </c>
      <c r="G502" s="223"/>
      <c r="H502" s="218"/>
      <c r="I502" s="219"/>
      <c r="J502" s="173"/>
    </row>
    <row r="503" spans="1:10" x14ac:dyDescent="0.25">
      <c r="A503" s="106"/>
      <c r="B503" s="107"/>
      <c r="D503" s="151" t="s">
        <v>925</v>
      </c>
      <c r="E503" s="142" t="s">
        <v>1857</v>
      </c>
      <c r="F503" s="218" t="s">
        <v>386</v>
      </c>
      <c r="G503" s="218"/>
      <c r="H503" s="218"/>
      <c r="I503" s="219"/>
      <c r="J503" s="173"/>
    </row>
    <row r="504" spans="1:10" x14ac:dyDescent="0.25">
      <c r="A504" s="106"/>
      <c r="B504" s="107"/>
      <c r="D504" s="151" t="s">
        <v>926</v>
      </c>
      <c r="E504" s="142" t="s">
        <v>2187</v>
      </c>
      <c r="F504" s="218" t="s">
        <v>1795</v>
      </c>
      <c r="G504" s="223"/>
      <c r="H504" s="218"/>
      <c r="I504" s="219"/>
      <c r="J504" s="173"/>
    </row>
    <row r="505" spans="1:10" ht="15.75" thickBot="1" x14ac:dyDescent="0.3">
      <c r="A505" s="106"/>
      <c r="B505" s="107"/>
      <c r="D505" s="151" t="s">
        <v>927</v>
      </c>
      <c r="E505" s="182" t="s">
        <v>313</v>
      </c>
      <c r="F505" s="183" t="s">
        <v>148</v>
      </c>
      <c r="G505" s="183"/>
      <c r="H505" s="183"/>
      <c r="I505" s="184"/>
      <c r="J505" s="185"/>
    </row>
    <row r="506" spans="1:10" x14ac:dyDescent="0.25">
      <c r="A506" s="106"/>
      <c r="B506" s="107"/>
      <c r="D506" s="151" t="s">
        <v>928</v>
      </c>
      <c r="E506" s="142" t="s">
        <v>475</v>
      </c>
      <c r="F506" s="218" t="s">
        <v>998</v>
      </c>
      <c r="G506" s="223"/>
      <c r="H506" s="218"/>
      <c r="I506" s="219"/>
      <c r="J506" s="173"/>
    </row>
    <row r="507" spans="1:10" x14ac:dyDescent="0.25">
      <c r="A507" s="106"/>
      <c r="B507" s="107"/>
      <c r="D507" s="151" t="s">
        <v>929</v>
      </c>
      <c r="E507" s="142" t="s">
        <v>2061</v>
      </c>
      <c r="F507" s="218" t="s">
        <v>2055</v>
      </c>
      <c r="G507" s="223"/>
      <c r="H507" s="218"/>
      <c r="I507" s="219"/>
      <c r="J507" s="173"/>
    </row>
    <row r="508" spans="1:10" x14ac:dyDescent="0.25">
      <c r="A508" s="106"/>
      <c r="B508" s="107"/>
      <c r="D508" s="151" t="s">
        <v>930</v>
      </c>
      <c r="E508" s="142" t="s">
        <v>724</v>
      </c>
      <c r="F508" s="218" t="s">
        <v>725</v>
      </c>
      <c r="G508" s="218"/>
      <c r="H508" s="218"/>
      <c r="I508" s="219"/>
      <c r="J508" s="173"/>
    </row>
    <row r="509" spans="1:10" x14ac:dyDescent="0.25">
      <c r="A509" s="106"/>
      <c r="B509" s="107"/>
      <c r="D509" s="151" t="s">
        <v>933</v>
      </c>
      <c r="E509" s="142" t="s">
        <v>1857</v>
      </c>
      <c r="F509" s="218" t="s">
        <v>386</v>
      </c>
      <c r="G509" s="223"/>
      <c r="H509" s="218"/>
      <c r="I509" s="219"/>
      <c r="J509" s="173"/>
    </row>
    <row r="510" spans="1:10" x14ac:dyDescent="0.25">
      <c r="A510" s="106"/>
      <c r="B510" s="107"/>
      <c r="D510" s="151" t="s">
        <v>934</v>
      </c>
      <c r="E510" s="142" t="s">
        <v>2187</v>
      </c>
      <c r="F510" s="218" t="s">
        <v>1795</v>
      </c>
      <c r="G510" s="218"/>
      <c r="H510" s="218"/>
      <c r="I510" s="219"/>
      <c r="J510" s="173"/>
    </row>
    <row r="511" spans="1:10" ht="15.75" thickBot="1" x14ac:dyDescent="0.3">
      <c r="A511" s="106"/>
      <c r="B511" s="107"/>
      <c r="D511" s="151" t="s">
        <v>935</v>
      </c>
      <c r="E511" s="182" t="s">
        <v>313</v>
      </c>
      <c r="F511" s="183" t="s">
        <v>148</v>
      </c>
      <c r="G511" s="183"/>
      <c r="H511" s="183"/>
      <c r="I511" s="184"/>
      <c r="J511" s="185"/>
    </row>
    <row r="512" spans="1:10" x14ac:dyDescent="0.25">
      <c r="A512" s="106"/>
      <c r="B512" s="107"/>
      <c r="D512" s="151" t="s">
        <v>936</v>
      </c>
      <c r="E512" s="142" t="s">
        <v>1676</v>
      </c>
      <c r="F512" s="218" t="s">
        <v>2062</v>
      </c>
      <c r="G512" s="218"/>
      <c r="H512" s="218"/>
      <c r="I512" s="219"/>
      <c r="J512" s="173"/>
    </row>
    <row r="513" spans="1:10" ht="15.75" thickBot="1" x14ac:dyDescent="0.3">
      <c r="A513" s="106"/>
      <c r="B513" s="107"/>
      <c r="D513" s="151" t="s">
        <v>937</v>
      </c>
      <c r="E513" s="182" t="s">
        <v>313</v>
      </c>
      <c r="F513" s="183" t="s">
        <v>148</v>
      </c>
      <c r="G513" s="183"/>
      <c r="H513" s="183"/>
      <c r="I513" s="184"/>
      <c r="J513" s="185"/>
    </row>
    <row r="514" spans="1:10" x14ac:dyDescent="0.25">
      <c r="A514" s="106"/>
      <c r="B514" s="107"/>
      <c r="D514" s="151" t="s">
        <v>938</v>
      </c>
      <c r="E514" s="142" t="s">
        <v>1854</v>
      </c>
      <c r="F514" s="218" t="s">
        <v>498</v>
      </c>
      <c r="G514" s="218"/>
      <c r="H514" s="218"/>
      <c r="I514" s="219"/>
      <c r="J514" s="173"/>
    </row>
    <row r="515" spans="1:10" x14ac:dyDescent="0.25">
      <c r="A515" s="106"/>
      <c r="B515" s="107"/>
      <c r="D515" s="151" t="s">
        <v>939</v>
      </c>
      <c r="E515" s="142" t="s">
        <v>2206</v>
      </c>
      <c r="F515" s="218" t="s">
        <v>1972</v>
      </c>
      <c r="G515" s="218"/>
      <c r="H515" s="218"/>
      <c r="I515" s="219"/>
      <c r="J515" s="173"/>
    </row>
    <row r="516" spans="1:10" x14ac:dyDescent="0.25">
      <c r="A516" s="106"/>
      <c r="B516" s="107"/>
      <c r="D516" s="151" t="s">
        <v>940</v>
      </c>
      <c r="E516" s="142" t="s">
        <v>1670</v>
      </c>
      <c r="F516" s="218" t="s">
        <v>1671</v>
      </c>
      <c r="G516" s="218"/>
      <c r="H516" s="218"/>
      <c r="I516" s="219"/>
      <c r="J516" s="173"/>
    </row>
    <row r="517" spans="1:10" x14ac:dyDescent="0.25">
      <c r="A517" s="106"/>
      <c r="B517" s="107"/>
      <c r="D517" s="151" t="s">
        <v>941</v>
      </c>
      <c r="E517" s="142" t="s">
        <v>523</v>
      </c>
      <c r="F517" s="218" t="s">
        <v>524</v>
      </c>
      <c r="G517" s="218"/>
      <c r="H517" s="218"/>
      <c r="I517" s="219"/>
      <c r="J517" s="173"/>
    </row>
    <row r="518" spans="1:10" ht="15.75" thickBot="1" x14ac:dyDescent="0.3">
      <c r="A518" s="106"/>
      <c r="B518" s="107"/>
      <c r="D518" s="151" t="s">
        <v>942</v>
      </c>
      <c r="E518" s="182" t="s">
        <v>2207</v>
      </c>
      <c r="F518" s="183" t="s">
        <v>1971</v>
      </c>
      <c r="G518" s="183"/>
      <c r="H518" s="183"/>
      <c r="I518" s="184"/>
      <c r="J518" s="185"/>
    </row>
    <row r="519" spans="1:10" x14ac:dyDescent="0.25">
      <c r="A519" s="106"/>
      <c r="B519" s="107"/>
      <c r="D519" s="151" t="s">
        <v>943</v>
      </c>
      <c r="E519" s="142" t="s">
        <v>1668</v>
      </c>
      <c r="F519" s="218" t="s">
        <v>1669</v>
      </c>
      <c r="G519" s="218"/>
      <c r="H519" s="218"/>
      <c r="I519" s="219"/>
      <c r="J519" s="173"/>
    </row>
    <row r="520" spans="1:10" x14ac:dyDescent="0.25">
      <c r="A520" s="106"/>
      <c r="B520" s="107"/>
      <c r="D520" s="151" t="s">
        <v>944</v>
      </c>
      <c r="E520" s="142" t="s">
        <v>523</v>
      </c>
      <c r="F520" s="218" t="s">
        <v>524</v>
      </c>
      <c r="G520" s="218"/>
      <c r="H520" s="218"/>
      <c r="I520" s="219"/>
      <c r="J520" s="173"/>
    </row>
    <row r="521" spans="1:10" ht="15.75" thickBot="1" x14ac:dyDescent="0.3">
      <c r="A521" s="106"/>
      <c r="B521" s="107"/>
      <c r="D521" s="151" t="s">
        <v>945</v>
      </c>
      <c r="E521" s="182" t="s">
        <v>2207</v>
      </c>
      <c r="F521" s="183" t="s">
        <v>1971</v>
      </c>
      <c r="G521" s="183"/>
      <c r="H521" s="183"/>
      <c r="I521" s="184"/>
      <c r="J521" s="185"/>
    </row>
    <row r="522" spans="1:10" x14ac:dyDescent="0.25">
      <c r="A522" s="106"/>
      <c r="B522" s="107"/>
      <c r="D522" s="151" t="s">
        <v>946</v>
      </c>
      <c r="E522" s="142" t="s">
        <v>1855</v>
      </c>
      <c r="F522" s="218" t="s">
        <v>345</v>
      </c>
      <c r="G522" s="218"/>
      <c r="H522" s="218"/>
      <c r="I522" s="219"/>
      <c r="J522" s="173"/>
    </row>
    <row r="523" spans="1:10" x14ac:dyDescent="0.25">
      <c r="A523" s="106"/>
      <c r="B523" s="107"/>
      <c r="D523" s="151" t="s">
        <v>947</v>
      </c>
      <c r="E523" s="142" t="s">
        <v>2208</v>
      </c>
      <c r="F523" s="218" t="s">
        <v>1985</v>
      </c>
      <c r="G523" s="218"/>
      <c r="H523" s="218"/>
      <c r="I523" s="219"/>
      <c r="J523" s="173"/>
    </row>
    <row r="524" spans="1:10" x14ac:dyDescent="0.25">
      <c r="A524" s="106"/>
      <c r="B524" s="107"/>
      <c r="D524" s="151" t="s">
        <v>948</v>
      </c>
      <c r="E524" s="142" t="s">
        <v>2209</v>
      </c>
      <c r="F524" s="218" t="s">
        <v>1990</v>
      </c>
      <c r="G524" s="218"/>
      <c r="H524" s="218"/>
      <c r="I524" s="219"/>
      <c r="J524" s="173"/>
    </row>
    <row r="525" spans="1:10" x14ac:dyDescent="0.25">
      <c r="A525" s="106"/>
      <c r="B525" s="107"/>
      <c r="D525" s="151" t="s">
        <v>949</v>
      </c>
      <c r="E525" s="142" t="s">
        <v>520</v>
      </c>
      <c r="F525" s="218" t="s">
        <v>521</v>
      </c>
      <c r="G525" s="218"/>
      <c r="H525" s="218"/>
      <c r="I525" s="219"/>
      <c r="J525" s="173"/>
    </row>
    <row r="526" spans="1:10" x14ac:dyDescent="0.25">
      <c r="A526" s="106"/>
      <c r="B526" s="107"/>
      <c r="D526" s="151" t="s">
        <v>950</v>
      </c>
      <c r="E526" s="142" t="s">
        <v>523</v>
      </c>
      <c r="F526" s="218" t="s">
        <v>524</v>
      </c>
      <c r="G526" s="218"/>
      <c r="H526" s="218"/>
      <c r="I526" s="219"/>
      <c r="J526" s="173"/>
    </row>
    <row r="527" spans="1:10" x14ac:dyDescent="0.25">
      <c r="A527" s="106"/>
      <c r="B527" s="107"/>
      <c r="D527" s="151" t="s">
        <v>951</v>
      </c>
      <c r="E527" s="142" t="s">
        <v>2210</v>
      </c>
      <c r="F527" s="218" t="s">
        <v>1983</v>
      </c>
      <c r="G527" s="218"/>
      <c r="H527" s="218"/>
      <c r="I527" s="219"/>
      <c r="J527" s="173"/>
    </row>
    <row r="528" spans="1:10" x14ac:dyDescent="0.25">
      <c r="A528" s="106"/>
      <c r="B528" s="107"/>
      <c r="D528" s="151" t="s">
        <v>952</v>
      </c>
      <c r="E528" s="142" t="s">
        <v>1403</v>
      </c>
      <c r="F528" s="218" t="s">
        <v>1401</v>
      </c>
      <c r="G528" s="218"/>
      <c r="H528" s="218"/>
      <c r="I528" s="219"/>
      <c r="J528" s="173"/>
    </row>
    <row r="529" spans="1:10" x14ac:dyDescent="0.25">
      <c r="A529" s="106"/>
      <c r="B529" s="107"/>
      <c r="D529" s="151" t="s">
        <v>953</v>
      </c>
      <c r="E529" s="142" t="s">
        <v>1672</v>
      </c>
      <c r="F529" s="218" t="s">
        <v>1673</v>
      </c>
      <c r="G529" s="218"/>
      <c r="H529" s="218"/>
      <c r="I529" s="219"/>
      <c r="J529" s="173"/>
    </row>
    <row r="530" spans="1:10" x14ac:dyDescent="0.25">
      <c r="A530" s="106"/>
      <c r="B530" s="107"/>
      <c r="D530" s="151" t="s">
        <v>954</v>
      </c>
      <c r="E530" s="142" t="s">
        <v>523</v>
      </c>
      <c r="F530" s="218" t="s">
        <v>524</v>
      </c>
      <c r="G530" s="218"/>
      <c r="H530" s="218"/>
      <c r="I530" s="219"/>
      <c r="J530" s="173"/>
    </row>
    <row r="531" spans="1:10" ht="15.75" thickBot="1" x14ac:dyDescent="0.3">
      <c r="A531" s="106"/>
      <c r="B531" s="107"/>
      <c r="D531" s="151" t="s">
        <v>955</v>
      </c>
      <c r="E531" s="182" t="s">
        <v>2207</v>
      </c>
      <c r="F531" s="183" t="s">
        <v>1971</v>
      </c>
      <c r="G531" s="183"/>
      <c r="H531" s="183"/>
      <c r="I531" s="184"/>
      <c r="J531" s="185"/>
    </row>
    <row r="532" spans="1:10" x14ac:dyDescent="0.25">
      <c r="A532" s="106"/>
      <c r="B532" s="107"/>
      <c r="D532" s="151" t="s">
        <v>956</v>
      </c>
      <c r="E532" s="142" t="s">
        <v>527</v>
      </c>
      <c r="F532" s="218" t="s">
        <v>528</v>
      </c>
      <c r="G532" s="218"/>
      <c r="H532" s="218"/>
      <c r="I532" s="219"/>
      <c r="J532" s="173"/>
    </row>
    <row r="533" spans="1:10" x14ac:dyDescent="0.25">
      <c r="A533" s="106"/>
      <c r="B533" s="107"/>
      <c r="D533" s="151" t="s">
        <v>958</v>
      </c>
      <c r="E533" s="142" t="s">
        <v>523</v>
      </c>
      <c r="F533" s="218" t="s">
        <v>524</v>
      </c>
      <c r="G533" s="218"/>
      <c r="H533" s="218"/>
      <c r="I533" s="219"/>
      <c r="J533" s="173"/>
    </row>
    <row r="534" spans="1:10" x14ac:dyDescent="0.25">
      <c r="A534" s="106"/>
      <c r="B534" s="107"/>
      <c r="D534" s="151" t="s">
        <v>960</v>
      </c>
      <c r="E534" s="142" t="s">
        <v>2210</v>
      </c>
      <c r="F534" s="218" t="s">
        <v>1983</v>
      </c>
      <c r="G534" s="218"/>
      <c r="H534" s="218"/>
      <c r="I534" s="219"/>
      <c r="J534" s="173"/>
    </row>
    <row r="535" spans="1:10" x14ac:dyDescent="0.25">
      <c r="A535" s="106"/>
      <c r="B535" s="107"/>
      <c r="D535" s="151" t="s">
        <v>961</v>
      </c>
      <c r="E535" s="142" t="s">
        <v>1403</v>
      </c>
      <c r="F535" s="218" t="s">
        <v>1401</v>
      </c>
      <c r="G535" s="218"/>
      <c r="H535" s="218"/>
      <c r="I535" s="219"/>
      <c r="J535" s="173"/>
    </row>
    <row r="536" spans="1:10" x14ac:dyDescent="0.25">
      <c r="A536" s="106"/>
      <c r="B536" s="107"/>
      <c r="D536" s="151" t="s">
        <v>963</v>
      </c>
      <c r="E536" s="142" t="s">
        <v>1672</v>
      </c>
      <c r="F536" s="218" t="s">
        <v>1673</v>
      </c>
      <c r="G536" s="218"/>
      <c r="H536" s="218"/>
      <c r="I536" s="219"/>
      <c r="J536" s="173"/>
    </row>
    <row r="537" spans="1:10" x14ac:dyDescent="0.25">
      <c r="A537" s="106"/>
      <c r="B537" s="107"/>
      <c r="D537" s="151" t="s">
        <v>964</v>
      </c>
      <c r="E537" s="142" t="s">
        <v>523</v>
      </c>
      <c r="F537" s="218" t="s">
        <v>524</v>
      </c>
      <c r="G537" s="218"/>
      <c r="H537" s="218"/>
      <c r="I537" s="219"/>
      <c r="J537" s="173"/>
    </row>
    <row r="538" spans="1:10" ht="15.75" thickBot="1" x14ac:dyDescent="0.3">
      <c r="A538" s="106"/>
      <c r="B538" s="107"/>
      <c r="D538" s="151" t="s">
        <v>965</v>
      </c>
      <c r="E538" s="182" t="s">
        <v>2207</v>
      </c>
      <c r="F538" s="183" t="s">
        <v>1971</v>
      </c>
      <c r="G538" s="183"/>
      <c r="H538" s="183"/>
      <c r="I538" s="184"/>
      <c r="J538" s="185"/>
    </row>
    <row r="539" spans="1:10" x14ac:dyDescent="0.25">
      <c r="A539" s="106"/>
      <c r="B539" s="107"/>
      <c r="D539" s="151" t="s">
        <v>966</v>
      </c>
      <c r="E539" s="142" t="s">
        <v>520</v>
      </c>
      <c r="F539" s="218" t="s">
        <v>521</v>
      </c>
      <c r="G539" s="218"/>
      <c r="H539" s="218"/>
      <c r="I539" s="219"/>
      <c r="J539" s="173"/>
    </row>
    <row r="540" spans="1:10" x14ac:dyDescent="0.25">
      <c r="A540" s="106"/>
      <c r="B540" s="107"/>
      <c r="D540" s="151" t="s">
        <v>967</v>
      </c>
      <c r="E540" s="142" t="s">
        <v>523</v>
      </c>
      <c r="F540" s="218" t="s">
        <v>524</v>
      </c>
      <c r="G540" s="218"/>
      <c r="H540" s="218"/>
      <c r="I540" s="219"/>
      <c r="J540" s="173"/>
    </row>
    <row r="541" spans="1:10" x14ac:dyDescent="0.25">
      <c r="A541" s="106"/>
      <c r="B541" s="107"/>
      <c r="D541" s="151" t="s">
        <v>968</v>
      </c>
      <c r="E541" s="142" t="s">
        <v>2210</v>
      </c>
      <c r="F541" s="218" t="s">
        <v>1983</v>
      </c>
      <c r="G541" s="218"/>
      <c r="H541" s="218"/>
      <c r="I541" s="219"/>
      <c r="J541" s="173"/>
    </row>
    <row r="542" spans="1:10" x14ac:dyDescent="0.25">
      <c r="A542" s="106"/>
      <c r="B542" s="107"/>
      <c r="D542" s="151" t="s">
        <v>969</v>
      </c>
      <c r="E542" s="142" t="s">
        <v>1403</v>
      </c>
      <c r="F542" s="218" t="s">
        <v>1401</v>
      </c>
      <c r="G542" s="218"/>
      <c r="H542" s="218"/>
      <c r="I542" s="219"/>
      <c r="J542" s="173"/>
    </row>
    <row r="543" spans="1:10" x14ac:dyDescent="0.25">
      <c r="A543" s="106"/>
      <c r="B543" s="107"/>
      <c r="D543" s="151" t="s">
        <v>970</v>
      </c>
      <c r="E543" s="142" t="s">
        <v>1674</v>
      </c>
      <c r="F543" s="218" t="s">
        <v>1675</v>
      </c>
      <c r="G543" s="218"/>
      <c r="H543" s="218"/>
      <c r="I543" s="219"/>
      <c r="J543" s="173"/>
    </row>
    <row r="544" spans="1:10" x14ac:dyDescent="0.25">
      <c r="A544" s="106"/>
      <c r="B544" s="107"/>
      <c r="D544" s="151" t="s">
        <v>971</v>
      </c>
      <c r="E544" s="142" t="s">
        <v>523</v>
      </c>
      <c r="F544" s="218" t="s">
        <v>524</v>
      </c>
      <c r="G544" s="218"/>
      <c r="H544" s="218"/>
      <c r="I544" s="219"/>
      <c r="J544" s="173"/>
    </row>
    <row r="545" spans="1:10" ht="15.75" thickBot="1" x14ac:dyDescent="0.3">
      <c r="A545" s="106"/>
      <c r="B545" s="107"/>
      <c r="D545" s="151" t="s">
        <v>972</v>
      </c>
      <c r="E545" s="182" t="s">
        <v>2207</v>
      </c>
      <c r="F545" s="183" t="s">
        <v>1971</v>
      </c>
      <c r="G545" s="183"/>
      <c r="H545" s="183"/>
      <c r="I545" s="184"/>
      <c r="J545" s="185"/>
    </row>
    <row r="546" spans="1:10" x14ac:dyDescent="0.25">
      <c r="A546" s="106"/>
      <c r="B546" s="107"/>
      <c r="D546" s="151" t="s">
        <v>973</v>
      </c>
      <c r="E546" s="142" t="s">
        <v>2124</v>
      </c>
      <c r="F546" s="218" t="s">
        <v>2111</v>
      </c>
      <c r="G546" s="218"/>
      <c r="H546" s="218"/>
      <c r="I546" s="219"/>
      <c r="J546" s="173"/>
    </row>
    <row r="547" spans="1:10" x14ac:dyDescent="0.25">
      <c r="A547" s="106"/>
      <c r="B547" s="107"/>
      <c r="D547" s="151" t="s">
        <v>974</v>
      </c>
      <c r="E547" s="142" t="s">
        <v>523</v>
      </c>
      <c r="F547" s="218" t="s">
        <v>524</v>
      </c>
      <c r="G547" s="222"/>
      <c r="H547" s="223"/>
      <c r="I547" s="219"/>
      <c r="J547" s="173"/>
    </row>
    <row r="548" spans="1:10" ht="15.75" thickBot="1" x14ac:dyDescent="0.3">
      <c r="A548" s="106"/>
      <c r="B548" s="107"/>
      <c r="D548" s="151" t="s">
        <v>975</v>
      </c>
      <c r="E548" s="182" t="s">
        <v>2207</v>
      </c>
      <c r="F548" s="183" t="s">
        <v>1971</v>
      </c>
      <c r="G548" s="183"/>
      <c r="H548" s="183"/>
      <c r="I548" s="184"/>
      <c r="J548" s="185"/>
    </row>
    <row r="549" spans="1:10" x14ac:dyDescent="0.25">
      <c r="A549" s="106"/>
      <c r="B549" s="107"/>
      <c r="D549" s="151" t="s">
        <v>976</v>
      </c>
      <c r="E549" s="142" t="s">
        <v>1907</v>
      </c>
      <c r="F549" s="218" t="s">
        <v>894</v>
      </c>
      <c r="G549" s="218"/>
      <c r="H549" s="218"/>
      <c r="I549" s="219"/>
      <c r="J549" s="173"/>
    </row>
    <row r="550" spans="1:10" x14ac:dyDescent="0.25">
      <c r="A550" s="106"/>
      <c r="B550" s="107"/>
      <c r="D550" s="151" t="s">
        <v>978</v>
      </c>
      <c r="E550" s="142" t="s">
        <v>896</v>
      </c>
      <c r="F550" s="218" t="s">
        <v>897</v>
      </c>
      <c r="G550" s="218"/>
      <c r="H550" s="218"/>
      <c r="I550" s="219"/>
      <c r="J550" s="173"/>
    </row>
    <row r="551" spans="1:10" x14ac:dyDescent="0.25">
      <c r="A551" s="106"/>
      <c r="B551" s="107"/>
      <c r="D551" s="151" t="s">
        <v>979</v>
      </c>
      <c r="E551" s="142" t="s">
        <v>1858</v>
      </c>
      <c r="F551" s="218" t="s">
        <v>462</v>
      </c>
      <c r="G551" s="218"/>
      <c r="H551" s="218"/>
      <c r="I551" s="219"/>
      <c r="J551" s="173"/>
    </row>
    <row r="552" spans="1:10" x14ac:dyDescent="0.25">
      <c r="A552" s="106"/>
      <c r="B552" s="107"/>
      <c r="D552" s="151" t="s">
        <v>980</v>
      </c>
      <c r="E552" s="142" t="s">
        <v>2211</v>
      </c>
      <c r="F552" s="218" t="s">
        <v>901</v>
      </c>
      <c r="G552" s="218"/>
      <c r="H552" s="218"/>
      <c r="I552" s="219"/>
      <c r="J552" s="173"/>
    </row>
    <row r="553" spans="1:10" x14ac:dyDescent="0.25">
      <c r="A553" s="106"/>
      <c r="B553" s="107"/>
      <c r="D553" s="151" t="s">
        <v>981</v>
      </c>
      <c r="E553" s="142" t="s">
        <v>438</v>
      </c>
      <c r="F553" s="218" t="s">
        <v>439</v>
      </c>
      <c r="G553" s="218"/>
      <c r="H553" s="218"/>
      <c r="I553" s="219"/>
      <c r="J553" s="173"/>
    </row>
    <row r="554" spans="1:10" ht="15.75" thickBot="1" x14ac:dyDescent="0.3">
      <c r="A554" s="106"/>
      <c r="B554" s="107"/>
      <c r="D554" s="151" t="s">
        <v>982</v>
      </c>
      <c r="E554" s="182" t="s">
        <v>2174</v>
      </c>
      <c r="F554" s="183" t="s">
        <v>903</v>
      </c>
      <c r="G554" s="183"/>
      <c r="H554" s="183"/>
      <c r="I554" s="184"/>
      <c r="J554" s="185"/>
    </row>
    <row r="555" spans="1:10" x14ac:dyDescent="0.25">
      <c r="A555" s="106"/>
      <c r="B555" s="107"/>
      <c r="D555" s="151" t="s">
        <v>983</v>
      </c>
      <c r="E555" s="142" t="s">
        <v>1907</v>
      </c>
      <c r="F555" s="218" t="s">
        <v>894</v>
      </c>
      <c r="G555" s="218"/>
      <c r="H555" s="218"/>
      <c r="I555" s="219"/>
      <c r="J555" s="173"/>
    </row>
    <row r="556" spans="1:10" x14ac:dyDescent="0.25">
      <c r="A556" s="106"/>
      <c r="B556" s="107"/>
      <c r="D556" s="151" t="s">
        <v>985</v>
      </c>
      <c r="E556" s="142" t="s">
        <v>931</v>
      </c>
      <c r="F556" s="218" t="s">
        <v>932</v>
      </c>
      <c r="G556" s="218"/>
      <c r="H556" s="218"/>
      <c r="I556" s="219"/>
      <c r="J556" s="173"/>
    </row>
    <row r="557" spans="1:10" x14ac:dyDescent="0.25">
      <c r="A557" s="106"/>
      <c r="B557" s="107"/>
      <c r="D557" s="151" t="s">
        <v>987</v>
      </c>
      <c r="E557" s="142" t="s">
        <v>1858</v>
      </c>
      <c r="F557" s="218" t="s">
        <v>462</v>
      </c>
      <c r="G557" s="218"/>
      <c r="H557" s="218"/>
      <c r="I557" s="219"/>
      <c r="J557" s="173"/>
    </row>
    <row r="558" spans="1:10" x14ac:dyDescent="0.25">
      <c r="A558" s="106"/>
      <c r="B558" s="107"/>
      <c r="D558" s="151" t="s">
        <v>990</v>
      </c>
      <c r="E558" s="142" t="s">
        <v>2154</v>
      </c>
      <c r="F558" s="218" t="s">
        <v>450</v>
      </c>
      <c r="G558" s="218"/>
      <c r="H558" s="218"/>
      <c r="I558" s="219"/>
      <c r="J558" s="173"/>
    </row>
    <row r="559" spans="1:10" ht="15.75" thickBot="1" x14ac:dyDescent="0.3">
      <c r="A559" s="106"/>
      <c r="B559" s="107"/>
      <c r="D559" s="151" t="s">
        <v>992</v>
      </c>
      <c r="E559" s="182" t="s">
        <v>313</v>
      </c>
      <c r="F559" s="183" t="s">
        <v>148</v>
      </c>
      <c r="G559" s="183"/>
      <c r="H559" s="183"/>
      <c r="I559" s="184"/>
      <c r="J559" s="185"/>
    </row>
    <row r="560" spans="1:10" x14ac:dyDescent="0.25">
      <c r="A560" s="106"/>
      <c r="B560" s="107"/>
      <c r="D560" s="151" t="s">
        <v>993</v>
      </c>
      <c r="E560" s="142" t="s">
        <v>1908</v>
      </c>
      <c r="F560" s="218" t="s">
        <v>957</v>
      </c>
      <c r="G560" s="218"/>
      <c r="H560" s="218"/>
      <c r="I560" s="219"/>
      <c r="J560" s="173"/>
    </row>
    <row r="561" spans="1:10" x14ac:dyDescent="0.25">
      <c r="A561" s="106"/>
      <c r="B561" s="107"/>
      <c r="D561" s="151" t="s">
        <v>994</v>
      </c>
      <c r="E561" s="142" t="s">
        <v>2125</v>
      </c>
      <c r="F561" s="218" t="s">
        <v>959</v>
      </c>
      <c r="G561" s="218"/>
      <c r="H561" s="218"/>
      <c r="I561" s="219"/>
      <c r="J561" s="173"/>
    </row>
    <row r="562" spans="1:10" x14ac:dyDescent="0.25">
      <c r="A562" s="106"/>
      <c r="B562" s="107"/>
      <c r="D562" s="151" t="s">
        <v>995</v>
      </c>
      <c r="E562" s="142" t="s">
        <v>1907</v>
      </c>
      <c r="F562" s="218" t="s">
        <v>894</v>
      </c>
      <c r="G562" s="218"/>
      <c r="H562" s="218"/>
      <c r="I562" s="219"/>
      <c r="J562" s="173"/>
    </row>
    <row r="563" spans="1:10" x14ac:dyDescent="0.25">
      <c r="A563" s="106"/>
      <c r="B563" s="107"/>
      <c r="D563" s="151" t="s">
        <v>996</v>
      </c>
      <c r="E563" s="142" t="s">
        <v>2126</v>
      </c>
      <c r="F563" s="218" t="s">
        <v>962</v>
      </c>
      <c r="G563" s="221"/>
      <c r="H563" s="218"/>
      <c r="I563" s="219"/>
      <c r="J563" s="173"/>
    </row>
    <row r="564" spans="1:10" x14ac:dyDescent="0.25">
      <c r="A564" s="106"/>
      <c r="B564" s="107"/>
      <c r="D564" s="151" t="s">
        <v>997</v>
      </c>
      <c r="E564" s="142" t="s">
        <v>1909</v>
      </c>
      <c r="F564" s="218" t="s">
        <v>1510</v>
      </c>
      <c r="G564" s="218"/>
      <c r="H564" s="218"/>
      <c r="I564" s="219"/>
      <c r="J564" s="173"/>
    </row>
    <row r="565" spans="1:10" x14ac:dyDescent="0.25">
      <c r="A565" s="106"/>
      <c r="B565" s="107"/>
      <c r="D565" s="151" t="s">
        <v>999</v>
      </c>
      <c r="E565" s="142" t="s">
        <v>2127</v>
      </c>
      <c r="F565" s="218" t="s">
        <v>1443</v>
      </c>
      <c r="G565" s="218"/>
      <c r="H565" s="218"/>
      <c r="I565" s="219"/>
      <c r="J565" s="173"/>
    </row>
    <row r="566" spans="1:10" x14ac:dyDescent="0.25">
      <c r="A566" s="106"/>
      <c r="B566" s="107"/>
      <c r="D566" s="151" t="s">
        <v>1000</v>
      </c>
      <c r="E566" s="142" t="s">
        <v>1864</v>
      </c>
      <c r="F566" s="218" t="s">
        <v>1499</v>
      </c>
      <c r="G566" s="218"/>
      <c r="H566" s="218"/>
      <c r="I566" s="219"/>
      <c r="J566" s="173"/>
    </row>
    <row r="567" spans="1:10" x14ac:dyDescent="0.25">
      <c r="A567" s="106"/>
      <c r="B567" s="107"/>
      <c r="D567" s="151" t="s">
        <v>1001</v>
      </c>
      <c r="E567" s="142" t="s">
        <v>2128</v>
      </c>
      <c r="F567" s="218" t="s">
        <v>1443</v>
      </c>
      <c r="G567" s="218"/>
      <c r="H567" s="218"/>
      <c r="I567" s="219"/>
      <c r="J567" s="173"/>
    </row>
    <row r="568" spans="1:10" x14ac:dyDescent="0.25">
      <c r="A568" s="106"/>
      <c r="B568" s="107"/>
      <c r="D568" s="151" t="s">
        <v>1002</v>
      </c>
      <c r="E568" s="142" t="s">
        <v>2212</v>
      </c>
      <c r="F568" s="218" t="s">
        <v>1533</v>
      </c>
      <c r="G568" s="218"/>
      <c r="H568" s="218"/>
      <c r="I568" s="219"/>
      <c r="J568" s="173"/>
    </row>
    <row r="569" spans="1:10" ht="15.75" thickBot="1" x14ac:dyDescent="0.3">
      <c r="A569" s="106"/>
      <c r="B569" s="107"/>
      <c r="D569" s="151" t="s">
        <v>1004</v>
      </c>
      <c r="E569" s="182" t="s">
        <v>313</v>
      </c>
      <c r="F569" s="183" t="s">
        <v>148</v>
      </c>
      <c r="G569" s="183"/>
      <c r="H569" s="183"/>
      <c r="I569" s="184"/>
      <c r="J569" s="185"/>
    </row>
    <row r="570" spans="1:10" x14ac:dyDescent="0.25">
      <c r="A570" s="106"/>
      <c r="B570" s="107"/>
      <c r="D570" s="151" t="s">
        <v>1005</v>
      </c>
      <c r="E570" s="142" t="s">
        <v>2213</v>
      </c>
      <c r="F570" s="218" t="s">
        <v>1534</v>
      </c>
      <c r="G570" s="218"/>
      <c r="H570" s="218"/>
      <c r="I570" s="219"/>
      <c r="J570" s="173"/>
    </row>
    <row r="571" spans="1:10" ht="15.75" thickBot="1" x14ac:dyDescent="0.3">
      <c r="A571" s="106"/>
      <c r="B571" s="107"/>
      <c r="D571" s="151" t="s">
        <v>1006</v>
      </c>
      <c r="E571" s="182" t="s">
        <v>313</v>
      </c>
      <c r="F571" s="183" t="s">
        <v>148</v>
      </c>
      <c r="G571" s="183"/>
      <c r="H571" s="183"/>
      <c r="I571" s="184"/>
      <c r="J571" s="185"/>
    </row>
    <row r="572" spans="1:10" x14ac:dyDescent="0.25">
      <c r="A572" s="106"/>
      <c r="B572" s="107"/>
      <c r="D572" s="151" t="s">
        <v>1007</v>
      </c>
      <c r="E572" s="142" t="s">
        <v>1907</v>
      </c>
      <c r="F572" s="218" t="s">
        <v>894</v>
      </c>
      <c r="G572" s="218"/>
      <c r="H572" s="218"/>
      <c r="I572" s="219"/>
      <c r="J572" s="173"/>
    </row>
    <row r="573" spans="1:10" x14ac:dyDescent="0.25">
      <c r="A573" s="106"/>
      <c r="B573" s="107"/>
      <c r="D573" s="151" t="s">
        <v>1008</v>
      </c>
      <c r="E573" s="142" t="s">
        <v>2129</v>
      </c>
      <c r="F573" s="218" t="s">
        <v>962</v>
      </c>
      <c r="G573" s="218"/>
      <c r="H573" s="218"/>
      <c r="I573" s="219"/>
      <c r="J573" s="173"/>
    </row>
    <row r="574" spans="1:10" x14ac:dyDescent="0.25">
      <c r="A574" s="106"/>
      <c r="B574" s="107"/>
      <c r="D574" s="151" t="s">
        <v>1009</v>
      </c>
      <c r="E574" s="142" t="s">
        <v>1908</v>
      </c>
      <c r="F574" s="218" t="s">
        <v>957</v>
      </c>
      <c r="G574" s="218"/>
      <c r="H574" s="218"/>
      <c r="I574" s="219"/>
      <c r="J574" s="173"/>
    </row>
    <row r="575" spans="1:10" x14ac:dyDescent="0.25">
      <c r="A575" s="106"/>
      <c r="B575" s="107"/>
      <c r="D575" s="151" t="s">
        <v>1011</v>
      </c>
      <c r="E575" s="142" t="s">
        <v>2130</v>
      </c>
      <c r="F575" s="218" t="s">
        <v>959</v>
      </c>
      <c r="G575" s="218"/>
      <c r="H575" s="218"/>
      <c r="I575" s="219"/>
      <c r="J575" s="173"/>
    </row>
    <row r="576" spans="1:10" x14ac:dyDescent="0.25">
      <c r="A576" s="106"/>
      <c r="B576" s="107"/>
      <c r="D576" s="151" t="s">
        <v>1014</v>
      </c>
      <c r="E576" s="142" t="s">
        <v>1854</v>
      </c>
      <c r="F576" s="218" t="s">
        <v>498</v>
      </c>
      <c r="G576" s="218"/>
      <c r="H576" s="218"/>
      <c r="I576" s="219"/>
      <c r="J576" s="173"/>
    </row>
    <row r="577" spans="1:10" x14ac:dyDescent="0.25">
      <c r="A577" s="106"/>
      <c r="B577" s="107"/>
      <c r="D577" s="151" t="s">
        <v>1015</v>
      </c>
      <c r="E577" s="142" t="s">
        <v>2131</v>
      </c>
      <c r="F577" s="218" t="s">
        <v>1475</v>
      </c>
      <c r="G577" s="218"/>
      <c r="H577" s="218"/>
      <c r="I577" s="219"/>
      <c r="J577" s="173"/>
    </row>
    <row r="578" spans="1:10" x14ac:dyDescent="0.25">
      <c r="A578" s="106"/>
      <c r="B578" s="107"/>
      <c r="D578" s="151" t="s">
        <v>1340</v>
      </c>
      <c r="E578" s="142" t="s">
        <v>1864</v>
      </c>
      <c r="F578" s="218" t="s">
        <v>1499</v>
      </c>
      <c r="G578" s="218"/>
      <c r="H578" s="218"/>
      <c r="I578" s="219"/>
      <c r="J578" s="173"/>
    </row>
    <row r="579" spans="1:10" x14ac:dyDescent="0.25">
      <c r="A579" s="106"/>
      <c r="B579" s="107"/>
      <c r="D579" s="151" t="s">
        <v>1341</v>
      </c>
      <c r="E579" s="142" t="s">
        <v>2214</v>
      </c>
      <c r="F579" s="218" t="s">
        <v>1470</v>
      </c>
      <c r="G579" s="218"/>
      <c r="H579" s="218"/>
      <c r="I579" s="219"/>
      <c r="J579" s="173"/>
    </row>
    <row r="580" spans="1:10" x14ac:dyDescent="0.25">
      <c r="A580" s="106"/>
      <c r="B580" s="107"/>
      <c r="D580" s="151" t="s">
        <v>1342</v>
      </c>
      <c r="E580" s="142" t="s">
        <v>1871</v>
      </c>
      <c r="F580" s="218" t="s">
        <v>1445</v>
      </c>
      <c r="G580" s="218"/>
      <c r="H580" s="218"/>
      <c r="I580" s="219"/>
      <c r="J580" s="173"/>
    </row>
    <row r="581" spans="1:10" x14ac:dyDescent="0.25">
      <c r="A581" s="106"/>
      <c r="B581" s="107"/>
      <c r="D581" s="151" t="s">
        <v>1343</v>
      </c>
      <c r="E581" s="142" t="s">
        <v>2215</v>
      </c>
      <c r="F581" s="218" t="s">
        <v>1471</v>
      </c>
      <c r="G581" s="218"/>
      <c r="H581" s="218"/>
      <c r="I581" s="219"/>
      <c r="J581" s="173"/>
    </row>
    <row r="582" spans="1:10" x14ac:dyDescent="0.25">
      <c r="A582" s="106"/>
      <c r="B582" s="107"/>
      <c r="D582" s="151" t="s">
        <v>1344</v>
      </c>
      <c r="E582" s="142" t="s">
        <v>874</v>
      </c>
      <c r="F582" s="218" t="s">
        <v>875</v>
      </c>
      <c r="G582" s="218"/>
      <c r="H582" s="218"/>
      <c r="I582" s="219"/>
      <c r="J582" s="173"/>
    </row>
    <row r="583" spans="1:10" x14ac:dyDescent="0.25">
      <c r="A583" s="106"/>
      <c r="B583" s="107"/>
      <c r="D583" s="151" t="s">
        <v>1345</v>
      </c>
      <c r="E583" s="142" t="s">
        <v>1467</v>
      </c>
      <c r="F583" s="218" t="s">
        <v>1464</v>
      </c>
      <c r="G583" s="218"/>
      <c r="H583" s="218"/>
      <c r="I583" s="219"/>
      <c r="J583" s="173"/>
    </row>
    <row r="584" spans="1:10" x14ac:dyDescent="0.25">
      <c r="A584" s="106"/>
      <c r="B584" s="107"/>
      <c r="D584" s="151" t="s">
        <v>1346</v>
      </c>
      <c r="E584" s="142" t="s">
        <v>1910</v>
      </c>
      <c r="F584" s="218" t="s">
        <v>977</v>
      </c>
      <c r="G584" s="218"/>
      <c r="H584" s="218"/>
      <c r="I584" s="219"/>
      <c r="J584" s="173"/>
    </row>
    <row r="585" spans="1:10" x14ac:dyDescent="0.25">
      <c r="A585" s="106"/>
      <c r="B585" s="107"/>
      <c r="D585" s="151" t="s">
        <v>1347</v>
      </c>
      <c r="E585" s="142" t="s">
        <v>1466</v>
      </c>
      <c r="F585" s="218" t="s">
        <v>1463</v>
      </c>
      <c r="G585" s="218"/>
      <c r="H585" s="218"/>
      <c r="I585" s="219"/>
      <c r="J585" s="173"/>
    </row>
    <row r="586" spans="1:10" x14ac:dyDescent="0.25">
      <c r="A586" s="106"/>
      <c r="B586" s="107"/>
      <c r="D586" s="151" t="s">
        <v>1348</v>
      </c>
      <c r="E586" s="142" t="s">
        <v>363</v>
      </c>
      <c r="F586" s="218" t="s">
        <v>460</v>
      </c>
      <c r="G586" s="218"/>
      <c r="H586" s="218"/>
      <c r="I586" s="219"/>
      <c r="J586" s="173"/>
    </row>
    <row r="587" spans="1:10" x14ac:dyDescent="0.25">
      <c r="A587" s="106"/>
      <c r="B587" s="107"/>
      <c r="D587" s="151" t="s">
        <v>1349</v>
      </c>
      <c r="E587" s="142" t="s">
        <v>1856</v>
      </c>
      <c r="F587" s="218" t="s">
        <v>383</v>
      </c>
      <c r="G587" s="218"/>
      <c r="H587" s="218"/>
      <c r="I587" s="219"/>
      <c r="J587" s="173"/>
    </row>
    <row r="588" spans="1:10" x14ac:dyDescent="0.25">
      <c r="A588" s="106"/>
      <c r="B588" s="107"/>
      <c r="D588" s="151" t="s">
        <v>1350</v>
      </c>
      <c r="E588" s="142" t="s">
        <v>1556</v>
      </c>
      <c r="F588" s="218" t="s">
        <v>1550</v>
      </c>
      <c r="G588" s="218"/>
      <c r="H588" s="218"/>
      <c r="I588" s="219"/>
      <c r="J588" s="173"/>
    </row>
    <row r="589" spans="1:10" x14ac:dyDescent="0.25">
      <c r="A589" s="106"/>
      <c r="B589" s="107"/>
      <c r="D589" s="151" t="s">
        <v>1351</v>
      </c>
      <c r="E589" s="142" t="s">
        <v>2157</v>
      </c>
      <c r="F589" s="218" t="s">
        <v>493</v>
      </c>
      <c r="G589" s="218"/>
      <c r="H589" s="218"/>
      <c r="I589" s="219"/>
      <c r="J589" s="173"/>
    </row>
    <row r="590" spans="1:10" x14ac:dyDescent="0.25">
      <c r="A590" s="106"/>
      <c r="B590" s="107"/>
      <c r="D590" s="151" t="s">
        <v>1352</v>
      </c>
      <c r="E590" s="142" t="s">
        <v>1911</v>
      </c>
      <c r="F590" s="218" t="s">
        <v>984</v>
      </c>
      <c r="G590" s="218"/>
      <c r="H590" s="218"/>
      <c r="I590" s="219"/>
      <c r="J590" s="173"/>
    </row>
    <row r="591" spans="1:10" x14ac:dyDescent="0.25">
      <c r="A591" s="106"/>
      <c r="B591" s="107"/>
      <c r="D591" s="151" t="s">
        <v>1353</v>
      </c>
      <c r="E591" s="142" t="s">
        <v>2132</v>
      </c>
      <c r="F591" s="218" t="s">
        <v>986</v>
      </c>
      <c r="G591" s="218"/>
      <c r="H591" s="218"/>
      <c r="I591" s="219"/>
      <c r="J591" s="173"/>
    </row>
    <row r="592" spans="1:10" x14ac:dyDescent="0.25">
      <c r="A592" s="106"/>
      <c r="B592" s="107"/>
      <c r="D592" s="151" t="s">
        <v>1354</v>
      </c>
      <c r="E592" s="142" t="s">
        <v>988</v>
      </c>
      <c r="F592" s="218" t="s">
        <v>989</v>
      </c>
      <c r="G592" s="218"/>
      <c r="H592" s="218"/>
      <c r="I592" s="219"/>
      <c r="J592" s="173"/>
    </row>
    <row r="593" spans="1:10" x14ac:dyDescent="0.25">
      <c r="A593" s="106"/>
      <c r="B593" s="107"/>
      <c r="D593" s="151" t="s">
        <v>1355</v>
      </c>
      <c r="E593" s="142" t="s">
        <v>1912</v>
      </c>
      <c r="F593" s="218" t="s">
        <v>991</v>
      </c>
      <c r="G593" s="218"/>
      <c r="H593" s="218"/>
      <c r="I593" s="219"/>
      <c r="J593" s="173"/>
    </row>
    <row r="594" spans="1:10" x14ac:dyDescent="0.25">
      <c r="A594" s="106"/>
      <c r="B594" s="107"/>
      <c r="D594" s="151" t="s">
        <v>1356</v>
      </c>
      <c r="E594" s="142" t="s">
        <v>490</v>
      </c>
      <c r="F594" s="218" t="s">
        <v>491</v>
      </c>
      <c r="G594" s="218"/>
      <c r="H594" s="218"/>
      <c r="I594" s="219"/>
      <c r="J594" s="173"/>
    </row>
    <row r="595" spans="1:10" ht="15.75" thickBot="1" x14ac:dyDescent="0.3">
      <c r="A595" s="106"/>
      <c r="B595" s="107"/>
      <c r="D595" s="151" t="s">
        <v>1357</v>
      </c>
      <c r="E595" s="182" t="s">
        <v>313</v>
      </c>
      <c r="F595" s="183" t="s">
        <v>148</v>
      </c>
      <c r="G595" s="183"/>
      <c r="H595" s="183"/>
      <c r="I595" s="184"/>
      <c r="J595" s="185"/>
    </row>
    <row r="596" spans="1:10" x14ac:dyDescent="0.25">
      <c r="A596" s="106"/>
      <c r="B596" s="107"/>
      <c r="D596" s="151" t="s">
        <v>1369</v>
      </c>
      <c r="E596" s="142" t="s">
        <v>1395</v>
      </c>
      <c r="F596" s="218" t="s">
        <v>1368</v>
      </c>
      <c r="G596" s="218"/>
      <c r="H596" s="218"/>
      <c r="I596" s="219"/>
      <c r="J596" s="173"/>
    </row>
    <row r="597" spans="1:10" x14ac:dyDescent="0.25">
      <c r="A597" s="106"/>
      <c r="B597" s="107"/>
      <c r="D597" s="151" t="s">
        <v>1370</v>
      </c>
      <c r="E597" s="142" t="s">
        <v>1913</v>
      </c>
      <c r="F597" s="218" t="s">
        <v>1551</v>
      </c>
      <c r="G597" s="218"/>
      <c r="H597" s="218"/>
      <c r="I597" s="219"/>
      <c r="J597" s="173"/>
    </row>
    <row r="598" spans="1:10" x14ac:dyDescent="0.25">
      <c r="A598" s="106"/>
      <c r="B598" s="107"/>
      <c r="D598" s="151" t="s">
        <v>1371</v>
      </c>
      <c r="E598" s="142" t="s">
        <v>1863</v>
      </c>
      <c r="F598" s="218" t="s">
        <v>448</v>
      </c>
      <c r="G598" s="218"/>
      <c r="H598" s="218"/>
      <c r="I598" s="219"/>
      <c r="J598" s="173"/>
    </row>
    <row r="599" spans="1:10" x14ac:dyDescent="0.25">
      <c r="A599" s="106"/>
      <c r="B599" s="107"/>
      <c r="D599" s="151" t="s">
        <v>1372</v>
      </c>
      <c r="E599" s="142" t="s">
        <v>1557</v>
      </c>
      <c r="F599" s="218" t="s">
        <v>1552</v>
      </c>
      <c r="G599" s="218"/>
      <c r="H599" s="218"/>
      <c r="I599" s="219"/>
      <c r="J599" s="173"/>
    </row>
    <row r="600" spans="1:10" x14ac:dyDescent="0.25">
      <c r="A600" s="106"/>
      <c r="B600" s="107"/>
      <c r="D600" s="151" t="s">
        <v>1373</v>
      </c>
      <c r="E600" s="142" t="s">
        <v>2216</v>
      </c>
      <c r="F600" s="218" t="s">
        <v>1553</v>
      </c>
      <c r="G600" s="218"/>
      <c r="H600" s="218"/>
      <c r="I600" s="219"/>
      <c r="J600" s="173"/>
    </row>
    <row r="601" spans="1:10" x14ac:dyDescent="0.25">
      <c r="A601" s="106"/>
      <c r="B601" s="107"/>
      <c r="D601" s="151" t="s">
        <v>1374</v>
      </c>
      <c r="E601" s="142" t="s">
        <v>1854</v>
      </c>
      <c r="F601" s="218" t="s">
        <v>498</v>
      </c>
      <c r="G601" s="218"/>
      <c r="H601" s="218"/>
      <c r="I601" s="219"/>
      <c r="J601" s="173"/>
    </row>
    <row r="602" spans="1:10" x14ac:dyDescent="0.25">
      <c r="A602" s="106"/>
      <c r="B602" s="107"/>
      <c r="D602" s="151" t="s">
        <v>1375</v>
      </c>
      <c r="E602" s="142" t="s">
        <v>2217</v>
      </c>
      <c r="F602" s="218" t="s">
        <v>1555</v>
      </c>
      <c r="G602" s="218"/>
      <c r="H602" s="218"/>
      <c r="I602" s="219"/>
      <c r="J602" s="173"/>
    </row>
    <row r="603" spans="1:10" x14ac:dyDescent="0.25">
      <c r="A603" s="106"/>
      <c r="B603" s="107"/>
      <c r="D603" s="151" t="s">
        <v>1376</v>
      </c>
      <c r="E603" s="142" t="s">
        <v>1908</v>
      </c>
      <c r="F603" s="218" t="s">
        <v>957</v>
      </c>
      <c r="G603" s="218"/>
      <c r="H603" s="218"/>
      <c r="I603" s="219"/>
      <c r="J603" s="173"/>
    </row>
    <row r="604" spans="1:10" x14ac:dyDescent="0.25">
      <c r="A604" s="106"/>
      <c r="B604" s="107"/>
      <c r="D604" s="151" t="s">
        <v>1377</v>
      </c>
      <c r="E604" s="142" t="s">
        <v>1558</v>
      </c>
      <c r="F604" s="218" t="s">
        <v>1554</v>
      </c>
      <c r="G604" s="218"/>
      <c r="H604" s="218"/>
      <c r="I604" s="219"/>
      <c r="J604" s="173"/>
    </row>
    <row r="605" spans="1:10" x14ac:dyDescent="0.25">
      <c r="A605" s="106"/>
      <c r="B605" s="107"/>
      <c r="D605" s="151" t="s">
        <v>1378</v>
      </c>
      <c r="E605" s="142" t="s">
        <v>2217</v>
      </c>
      <c r="F605" s="218" t="s">
        <v>1555</v>
      </c>
      <c r="G605" s="218"/>
      <c r="H605" s="218"/>
      <c r="I605" s="219"/>
      <c r="J605" s="173"/>
    </row>
    <row r="606" spans="1:10" x14ac:dyDescent="0.25">
      <c r="A606" s="106"/>
      <c r="B606" s="107"/>
      <c r="D606" s="151" t="s">
        <v>1379</v>
      </c>
      <c r="E606" s="142" t="s">
        <v>1559</v>
      </c>
      <c r="F606" s="218" t="s">
        <v>1545</v>
      </c>
      <c r="G606" s="218"/>
      <c r="H606" s="218"/>
      <c r="I606" s="219"/>
      <c r="J606" s="173"/>
    </row>
    <row r="607" spans="1:10" x14ac:dyDescent="0.25">
      <c r="A607" s="106"/>
      <c r="B607" s="107"/>
      <c r="D607" s="151" t="s">
        <v>1380</v>
      </c>
      <c r="E607" s="142" t="s">
        <v>1908</v>
      </c>
      <c r="F607" s="218" t="s">
        <v>957</v>
      </c>
      <c r="G607" s="218"/>
      <c r="H607" s="218"/>
      <c r="I607" s="219"/>
      <c r="J607" s="173"/>
    </row>
    <row r="608" spans="1:10" x14ac:dyDescent="0.25">
      <c r="A608" s="106"/>
      <c r="B608" s="107"/>
      <c r="D608" s="151" t="s">
        <v>1381</v>
      </c>
      <c r="E608" s="142" t="s">
        <v>1558</v>
      </c>
      <c r="F608" s="218" t="s">
        <v>1554</v>
      </c>
      <c r="G608" s="218"/>
      <c r="H608" s="218"/>
      <c r="I608" s="219"/>
      <c r="J608" s="173"/>
    </row>
    <row r="609" spans="1:10" x14ac:dyDescent="0.25">
      <c r="A609" s="106"/>
      <c r="B609" s="107"/>
      <c r="D609" s="151" t="s">
        <v>1382</v>
      </c>
      <c r="E609" s="142" t="s">
        <v>1863</v>
      </c>
      <c r="F609" s="218" t="s">
        <v>448</v>
      </c>
      <c r="G609" s="222"/>
      <c r="H609" s="223"/>
      <c r="I609" s="218"/>
      <c r="J609" s="173"/>
    </row>
    <row r="610" spans="1:10" x14ac:dyDescent="0.25">
      <c r="A610" s="106"/>
      <c r="B610" s="107"/>
      <c r="D610" s="151" t="s">
        <v>1383</v>
      </c>
      <c r="E610" s="142" t="s">
        <v>1854</v>
      </c>
      <c r="F610" s="218" t="s">
        <v>498</v>
      </c>
      <c r="G610" s="222"/>
      <c r="H610" s="223"/>
      <c r="I610" s="218"/>
      <c r="J610" s="173"/>
    </row>
    <row r="611" spans="1:10" x14ac:dyDescent="0.25">
      <c r="A611" s="106"/>
      <c r="B611" s="107"/>
      <c r="D611" s="151" t="s">
        <v>1384</v>
      </c>
      <c r="E611" s="142" t="s">
        <v>2133</v>
      </c>
      <c r="F611" s="218" t="s">
        <v>959</v>
      </c>
      <c r="G611" s="218"/>
      <c r="H611" s="218"/>
      <c r="I611" s="219"/>
      <c r="J611" s="173"/>
    </row>
    <row r="612" spans="1:10" ht="15.75" thickBot="1" x14ac:dyDescent="0.3">
      <c r="A612" s="106"/>
      <c r="B612" s="107"/>
      <c r="D612" s="151" t="s">
        <v>1385</v>
      </c>
      <c r="E612" s="142" t="s">
        <v>2160</v>
      </c>
      <c r="F612" s="218" t="s">
        <v>1003</v>
      </c>
      <c r="G612" s="222"/>
      <c r="H612" s="223"/>
      <c r="I612" s="219"/>
      <c r="J612" s="173"/>
    </row>
    <row r="613" spans="1:10" ht="15.75" thickBot="1" x14ac:dyDescent="0.3">
      <c r="A613" s="106"/>
      <c r="B613" s="107"/>
      <c r="D613" s="151" t="s">
        <v>1386</v>
      </c>
      <c r="E613" s="186" t="s">
        <v>313</v>
      </c>
      <c r="F613" s="187" t="s">
        <v>148</v>
      </c>
      <c r="G613" s="187"/>
      <c r="H613" s="187"/>
      <c r="I613" s="199"/>
      <c r="J613" s="188"/>
    </row>
    <row r="614" spans="1:10" x14ac:dyDescent="0.25">
      <c r="A614" s="106"/>
      <c r="B614" s="107"/>
      <c r="D614" s="151" t="s">
        <v>1387</v>
      </c>
      <c r="E614" s="142" t="s">
        <v>475</v>
      </c>
      <c r="F614" s="218" t="s">
        <v>476</v>
      </c>
      <c r="G614" s="218"/>
      <c r="H614" s="218"/>
      <c r="I614" s="219"/>
      <c r="J614" s="173"/>
    </row>
    <row r="615" spans="1:10" x14ac:dyDescent="0.25">
      <c r="A615" s="106"/>
      <c r="B615" s="107"/>
      <c r="D615" s="151" t="s">
        <v>1388</v>
      </c>
      <c r="E615" s="142" t="s">
        <v>1856</v>
      </c>
      <c r="F615" s="218" t="s">
        <v>383</v>
      </c>
      <c r="G615" s="218"/>
      <c r="H615" s="218"/>
      <c r="I615" s="219"/>
      <c r="J615" s="173"/>
    </row>
    <row r="616" spans="1:10" x14ac:dyDescent="0.25">
      <c r="A616" s="106"/>
      <c r="B616" s="107"/>
      <c r="D616" s="151" t="s">
        <v>1389</v>
      </c>
      <c r="E616" s="142" t="s">
        <v>1908</v>
      </c>
      <c r="F616" s="218" t="s">
        <v>957</v>
      </c>
      <c r="G616" s="218"/>
      <c r="H616" s="218"/>
      <c r="I616" s="219"/>
      <c r="J616" s="173"/>
    </row>
    <row r="617" spans="1:10" x14ac:dyDescent="0.25">
      <c r="A617" s="106"/>
      <c r="B617" s="107"/>
      <c r="D617" s="151" t="s">
        <v>1390</v>
      </c>
      <c r="E617" s="142" t="s">
        <v>503</v>
      </c>
      <c r="F617" s="218" t="s">
        <v>504</v>
      </c>
      <c r="G617" s="218"/>
      <c r="H617" s="218"/>
      <c r="I617" s="219"/>
      <c r="J617" s="173"/>
    </row>
    <row r="618" spans="1:10" x14ac:dyDescent="0.25">
      <c r="A618" s="106"/>
      <c r="B618" s="107"/>
      <c r="D618" s="151" t="s">
        <v>2112</v>
      </c>
      <c r="E618" s="142" t="s">
        <v>874</v>
      </c>
      <c r="F618" s="218" t="s">
        <v>875</v>
      </c>
      <c r="G618" s="218"/>
      <c r="H618" s="218"/>
      <c r="I618" s="219"/>
      <c r="J618" s="173"/>
    </row>
    <row r="619" spans="1:10" x14ac:dyDescent="0.25">
      <c r="A619" s="106"/>
      <c r="B619" s="107"/>
      <c r="D619" s="151" t="s">
        <v>2113</v>
      </c>
      <c r="E619" s="142" t="s">
        <v>1914</v>
      </c>
      <c r="F619" s="218" t="s">
        <v>1010</v>
      </c>
      <c r="G619" s="218"/>
      <c r="H619" s="218"/>
      <c r="I619" s="219"/>
      <c r="J619" s="173"/>
    </row>
    <row r="620" spans="1:10" x14ac:dyDescent="0.25">
      <c r="A620" s="106"/>
      <c r="B620" s="107"/>
      <c r="D620" s="151" t="s">
        <v>2114</v>
      </c>
      <c r="E620" s="142" t="s">
        <v>896</v>
      </c>
      <c r="F620" s="218" t="s">
        <v>1456</v>
      </c>
      <c r="G620" s="218"/>
      <c r="H620" s="218"/>
      <c r="I620" s="219"/>
      <c r="J620" s="173"/>
    </row>
    <row r="621" spans="1:10" x14ac:dyDescent="0.25">
      <c r="A621" s="106"/>
      <c r="B621" s="107"/>
      <c r="D621" s="151" t="s">
        <v>2115</v>
      </c>
      <c r="E621" s="142" t="s">
        <v>1012</v>
      </c>
      <c r="F621" s="218" t="s">
        <v>1013</v>
      </c>
      <c r="G621" s="218"/>
      <c r="H621" s="218"/>
      <c r="I621" s="219"/>
      <c r="J621" s="173"/>
    </row>
    <row r="622" spans="1:10" ht="15.75" thickBot="1" x14ac:dyDescent="0.3">
      <c r="A622" s="106"/>
      <c r="B622" s="107"/>
      <c r="D622" s="151" t="s">
        <v>2116</v>
      </c>
      <c r="E622" s="142" t="s">
        <v>2159</v>
      </c>
      <c r="F622" s="218" t="s">
        <v>507</v>
      </c>
      <c r="G622" s="218"/>
      <c r="H622" s="218"/>
      <c r="I622" s="219"/>
      <c r="J622" s="173"/>
    </row>
    <row r="623" spans="1:10" ht="15.75" thickBot="1" x14ac:dyDescent="0.3">
      <c r="A623" s="106"/>
      <c r="B623" s="107"/>
      <c r="D623" s="151" t="s">
        <v>2117</v>
      </c>
      <c r="E623" s="186" t="s">
        <v>313</v>
      </c>
      <c r="F623" s="187" t="s">
        <v>148</v>
      </c>
      <c r="G623" s="187"/>
      <c r="H623" s="187"/>
      <c r="I623" s="199"/>
      <c r="J623" s="188"/>
    </row>
    <row r="624" spans="1:10" x14ac:dyDescent="0.25">
      <c r="A624" s="106"/>
      <c r="B624" s="107"/>
      <c r="D624" s="151" t="s">
        <v>2118</v>
      </c>
      <c r="E624" s="142" t="s">
        <v>1915</v>
      </c>
      <c r="F624" s="218" t="s">
        <v>1652</v>
      </c>
      <c r="G624" s="218"/>
      <c r="H624" s="218"/>
      <c r="I624" s="219"/>
      <c r="J624" s="173"/>
    </row>
    <row r="625" spans="1:10" x14ac:dyDescent="0.25">
      <c r="A625" s="106"/>
      <c r="B625" s="107"/>
      <c r="D625" s="151" t="s">
        <v>2119</v>
      </c>
      <c r="E625" s="142" t="s">
        <v>598</v>
      </c>
      <c r="F625" s="218" t="s">
        <v>599</v>
      </c>
      <c r="G625" s="218"/>
      <c r="H625" s="218"/>
      <c r="I625" s="219"/>
      <c r="J625" s="173"/>
    </row>
    <row r="626" spans="1:10" ht="15.75" thickBot="1" x14ac:dyDescent="0.3">
      <c r="A626" s="106"/>
      <c r="B626" s="107"/>
      <c r="D626" s="151" t="s">
        <v>2120</v>
      </c>
      <c r="E626" s="182" t="s">
        <v>313</v>
      </c>
      <c r="F626" s="183" t="s">
        <v>148</v>
      </c>
      <c r="G626" s="183"/>
      <c r="H626" s="183"/>
      <c r="I626" s="184"/>
      <c r="J626" s="185"/>
    </row>
    <row r="627" spans="1:10" x14ac:dyDescent="0.25">
      <c r="A627" s="106"/>
      <c r="B627" s="107"/>
      <c r="D627" s="151"/>
      <c r="E627" s="142"/>
      <c r="F627" s="218"/>
      <c r="G627" s="218"/>
      <c r="H627" s="218"/>
      <c r="I627" s="219"/>
      <c r="J627" s="173"/>
    </row>
    <row r="628" spans="1:10" x14ac:dyDescent="0.25">
      <c r="A628" s="106"/>
      <c r="B628" s="107"/>
      <c r="D628" s="151"/>
      <c r="E628" s="142"/>
      <c r="F628" s="218"/>
      <c r="G628" s="218"/>
      <c r="H628" s="218"/>
      <c r="I628" s="219"/>
      <c r="J628" s="173"/>
    </row>
    <row r="629" spans="1:10" x14ac:dyDescent="0.25">
      <c r="A629" s="106"/>
      <c r="B629" s="107"/>
      <c r="D629" s="151"/>
      <c r="E629" s="142"/>
      <c r="F629" s="218"/>
      <c r="G629" s="218"/>
      <c r="H629" s="218"/>
      <c r="I629" s="219"/>
      <c r="J629" s="173"/>
    </row>
    <row r="630" spans="1:10" x14ac:dyDescent="0.25">
      <c r="A630" s="106"/>
      <c r="B630" s="107"/>
      <c r="D630" s="151"/>
      <c r="E630" s="142"/>
      <c r="F630" s="218"/>
      <c r="G630" s="218"/>
      <c r="H630" s="218"/>
      <c r="I630" s="219"/>
      <c r="J630" s="173"/>
    </row>
    <row r="631" spans="1:10" x14ac:dyDescent="0.25">
      <c r="A631" s="106"/>
      <c r="B631" s="107"/>
      <c r="D631" s="151"/>
      <c r="E631" s="142"/>
      <c r="F631" s="218"/>
      <c r="G631" s="218"/>
      <c r="H631" s="218"/>
      <c r="I631" s="219"/>
      <c r="J631" s="173"/>
    </row>
    <row r="632" spans="1:10" x14ac:dyDescent="0.25">
      <c r="A632" s="106"/>
      <c r="B632" s="107"/>
      <c r="D632" s="151"/>
      <c r="E632" s="142"/>
      <c r="F632" s="218"/>
      <c r="G632" s="218"/>
      <c r="H632" s="218"/>
      <c r="I632" s="219"/>
      <c r="J632" s="173"/>
    </row>
    <row r="633" spans="1:10" x14ac:dyDescent="0.25">
      <c r="A633" s="106"/>
      <c r="B633" s="107"/>
      <c r="D633" s="151"/>
      <c r="E633" s="142"/>
      <c r="F633" s="218"/>
      <c r="G633" s="218"/>
      <c r="H633" s="218"/>
      <c r="I633" s="219"/>
      <c r="J633" s="173"/>
    </row>
    <row r="634" spans="1:10" x14ac:dyDescent="0.25">
      <c r="A634" s="106"/>
      <c r="B634" s="107"/>
      <c r="D634" s="151"/>
      <c r="E634" s="142"/>
      <c r="F634" s="218"/>
      <c r="G634" s="218"/>
      <c r="H634" s="218"/>
      <c r="I634" s="219"/>
      <c r="J634" s="173"/>
    </row>
    <row r="635" spans="1:10" x14ac:dyDescent="0.25">
      <c r="A635" s="106"/>
      <c r="B635" s="107"/>
      <c r="D635" s="151"/>
      <c r="E635" s="142"/>
      <c r="F635" s="218"/>
      <c r="G635" s="218"/>
      <c r="H635" s="218"/>
      <c r="I635" s="219"/>
      <c r="J635" s="173"/>
    </row>
    <row r="636" spans="1:10" x14ac:dyDescent="0.25">
      <c r="A636" s="106"/>
      <c r="B636" s="107"/>
      <c r="D636" s="151"/>
      <c r="E636" s="142"/>
      <c r="F636" s="218"/>
      <c r="G636" s="218"/>
      <c r="H636" s="218"/>
      <c r="I636" s="219"/>
      <c r="J636" s="173"/>
    </row>
    <row r="637" spans="1:10" x14ac:dyDescent="0.25">
      <c r="A637" s="106"/>
      <c r="B637" s="107"/>
      <c r="D637" s="151"/>
      <c r="E637" s="142"/>
      <c r="F637" s="218"/>
      <c r="G637" s="218"/>
      <c r="H637" s="218"/>
      <c r="I637" s="219"/>
      <c r="J637" s="173"/>
    </row>
    <row r="638" spans="1:10" x14ac:dyDescent="0.25">
      <c r="A638" s="106"/>
      <c r="B638" s="107"/>
      <c r="D638" s="151"/>
      <c r="E638" s="142"/>
      <c r="F638" s="218"/>
      <c r="G638" s="218"/>
      <c r="H638" s="218"/>
      <c r="I638" s="219"/>
      <c r="J638" s="173"/>
    </row>
    <row r="639" spans="1:10" x14ac:dyDescent="0.25">
      <c r="A639" s="106"/>
      <c r="B639" s="107"/>
      <c r="D639" s="151"/>
      <c r="E639" s="142"/>
      <c r="F639" s="218"/>
      <c r="G639" s="218"/>
      <c r="H639" s="218"/>
      <c r="I639" s="219"/>
      <c r="J639" s="173"/>
    </row>
    <row r="640" spans="1:10" x14ac:dyDescent="0.25">
      <c r="A640" s="106"/>
      <c r="B640" s="107"/>
      <c r="D640" s="151"/>
      <c r="E640" s="142"/>
      <c r="F640" s="218"/>
      <c r="G640" s="218"/>
      <c r="H640" s="218"/>
      <c r="I640" s="219"/>
      <c r="J640" s="173"/>
    </row>
    <row r="641" spans="1:10" x14ac:dyDescent="0.25">
      <c r="A641" s="106"/>
      <c r="B641" s="107"/>
      <c r="D641" s="151"/>
      <c r="E641" s="142"/>
      <c r="F641" s="218"/>
      <c r="G641" s="231"/>
      <c r="H641" s="218"/>
      <c r="I641" s="219"/>
      <c r="J641" s="173"/>
    </row>
    <row r="642" spans="1:10" x14ac:dyDescent="0.25">
      <c r="A642" s="106"/>
      <c r="B642" s="107"/>
      <c r="D642" s="151"/>
      <c r="E642" s="142"/>
      <c r="F642" s="218"/>
      <c r="G642" s="231"/>
      <c r="H642" s="231"/>
      <c r="I642" s="232"/>
      <c r="J642" s="124"/>
    </row>
    <row r="643" spans="1:10" x14ac:dyDescent="0.25">
      <c r="A643" s="106"/>
      <c r="B643" s="107"/>
      <c r="D643" s="151"/>
      <c r="E643" s="142"/>
      <c r="F643" s="218"/>
      <c r="G643" s="231"/>
      <c r="H643" s="231"/>
      <c r="I643" s="232"/>
      <c r="J643" s="124"/>
    </row>
    <row r="644" spans="1:10" x14ac:dyDescent="0.25">
      <c r="A644" s="106"/>
      <c r="B644" s="107"/>
      <c r="D644" s="151"/>
      <c r="E644" s="142"/>
      <c r="F644" s="218"/>
      <c r="G644" s="231"/>
      <c r="H644" s="231"/>
      <c r="I644" s="232"/>
      <c r="J644" s="124"/>
    </row>
    <row r="645" spans="1:10" x14ac:dyDescent="0.25">
      <c r="A645" s="106"/>
      <c r="B645" s="107"/>
      <c r="D645" s="151"/>
      <c r="E645" s="142"/>
      <c r="F645" s="218"/>
      <c r="G645" s="221"/>
      <c r="H645" s="231"/>
      <c r="I645" s="232"/>
      <c r="J645" s="124"/>
    </row>
    <row r="646" spans="1:10" x14ac:dyDescent="0.25">
      <c r="A646" s="106"/>
      <c r="B646" s="107"/>
      <c r="D646" s="151"/>
      <c r="E646" s="142"/>
      <c r="F646" s="218"/>
      <c r="G646" s="231"/>
      <c r="H646" s="231"/>
      <c r="I646" s="232"/>
      <c r="J646" s="124"/>
    </row>
    <row r="647" spans="1:10" x14ac:dyDescent="0.25">
      <c r="A647" s="106"/>
      <c r="B647" s="107"/>
      <c r="D647" s="151"/>
      <c r="E647" s="142"/>
      <c r="F647" s="218"/>
      <c r="G647" s="231"/>
      <c r="H647" s="231"/>
      <c r="I647" s="232"/>
      <c r="J647" s="124"/>
    </row>
    <row r="648" spans="1:10" x14ac:dyDescent="0.25">
      <c r="A648" s="106"/>
      <c r="B648" s="107"/>
      <c r="D648" s="151"/>
      <c r="E648" s="142"/>
      <c r="F648" s="218"/>
      <c r="G648" s="231"/>
      <c r="H648" s="231"/>
      <c r="I648" s="232"/>
      <c r="J648" s="124"/>
    </row>
    <row r="649" spans="1:10" x14ac:dyDescent="0.25">
      <c r="A649" s="106"/>
      <c r="B649" s="107"/>
      <c r="D649" s="151"/>
      <c r="E649" s="142"/>
      <c r="F649" s="218"/>
      <c r="G649" s="231"/>
      <c r="H649" s="231"/>
      <c r="I649" s="232"/>
      <c r="J649" s="124"/>
    </row>
    <row r="650" spans="1:10" x14ac:dyDescent="0.25">
      <c r="A650" s="106"/>
      <c r="B650" s="107"/>
      <c r="D650" s="151"/>
      <c r="E650" s="142"/>
      <c r="F650" s="218"/>
      <c r="G650" s="218"/>
      <c r="H650" s="218"/>
      <c r="I650" s="219"/>
      <c r="J650" s="173"/>
    </row>
    <row r="651" spans="1:10" x14ac:dyDescent="0.25">
      <c r="A651" s="106"/>
      <c r="B651" s="107"/>
      <c r="D651" s="151"/>
      <c r="E651" s="142"/>
      <c r="F651" s="218"/>
      <c r="G651" s="218"/>
      <c r="H651" s="218"/>
      <c r="I651" s="219"/>
      <c r="J651" s="173"/>
    </row>
    <row r="652" spans="1:10" x14ac:dyDescent="0.25">
      <c r="A652" s="106"/>
      <c r="B652" s="107"/>
      <c r="D652" s="151"/>
      <c r="E652" s="142"/>
      <c r="F652" s="218"/>
      <c r="G652" s="218"/>
      <c r="H652" s="218"/>
      <c r="I652" s="219"/>
      <c r="J652" s="173"/>
    </row>
    <row r="653" spans="1:10" x14ac:dyDescent="0.25">
      <c r="A653" s="106"/>
      <c r="B653" s="107"/>
      <c r="D653" s="151"/>
      <c r="E653" s="142"/>
      <c r="F653" s="218"/>
      <c r="G653" s="218"/>
      <c r="H653" s="218"/>
      <c r="I653" s="219"/>
      <c r="J653" s="173"/>
    </row>
    <row r="654" spans="1:10" x14ac:dyDescent="0.25">
      <c r="A654" s="106"/>
      <c r="B654" s="107"/>
      <c r="D654" s="151"/>
      <c r="E654" s="142"/>
      <c r="F654" s="218"/>
      <c r="G654" s="218"/>
      <c r="H654" s="218"/>
      <c r="I654" s="219"/>
      <c r="J654" s="173"/>
    </row>
    <row r="655" spans="1:10" x14ac:dyDescent="0.25">
      <c r="A655" s="106"/>
      <c r="B655" s="107"/>
      <c r="D655" s="151"/>
      <c r="E655" s="142"/>
      <c r="F655" s="218"/>
      <c r="G655" s="218"/>
      <c r="H655" s="218"/>
      <c r="I655" s="219"/>
      <c r="J655" s="173"/>
    </row>
    <row r="656" spans="1:10" x14ac:dyDescent="0.25">
      <c r="A656" s="106"/>
      <c r="B656" s="107"/>
      <c r="D656" s="151"/>
      <c r="E656" s="142"/>
      <c r="F656" s="218"/>
      <c r="G656" s="218"/>
      <c r="H656" s="218"/>
      <c r="I656" s="219"/>
      <c r="J656" s="173"/>
    </row>
    <row r="657" spans="1:10" x14ac:dyDescent="0.25">
      <c r="A657" s="106"/>
      <c r="B657" s="107"/>
      <c r="D657" s="151"/>
      <c r="E657" s="142"/>
      <c r="F657" s="218"/>
      <c r="G657" s="218"/>
      <c r="H657" s="218"/>
      <c r="I657" s="219"/>
      <c r="J657" s="173"/>
    </row>
    <row r="658" spans="1:10" x14ac:dyDescent="0.25">
      <c r="A658" s="106"/>
      <c r="B658" s="107"/>
      <c r="D658" s="151"/>
      <c r="E658" s="142"/>
      <c r="F658" s="218"/>
      <c r="G658" s="218"/>
      <c r="H658" s="218"/>
      <c r="I658" s="219"/>
      <c r="J658" s="173"/>
    </row>
    <row r="659" spans="1:10" x14ac:dyDescent="0.25">
      <c r="A659" s="106"/>
      <c r="B659" s="107"/>
      <c r="D659" s="151"/>
      <c r="E659" s="142"/>
      <c r="F659" s="218"/>
      <c r="G659" s="218"/>
      <c r="H659" s="218"/>
      <c r="I659" s="230"/>
      <c r="J659" s="173"/>
    </row>
    <row r="660" spans="1:10" x14ac:dyDescent="0.25">
      <c r="A660" s="106"/>
      <c r="B660" s="107"/>
      <c r="D660" s="151"/>
      <c r="E660" s="142"/>
      <c r="F660" s="218"/>
      <c r="G660" s="218"/>
      <c r="H660" s="218"/>
      <c r="I660" s="219"/>
      <c r="J660" s="173"/>
    </row>
    <row r="661" spans="1:10" x14ac:dyDescent="0.25">
      <c r="A661" s="106"/>
      <c r="B661" s="107"/>
      <c r="D661" s="151"/>
      <c r="E661" s="142"/>
      <c r="F661" s="218"/>
      <c r="G661" s="223"/>
      <c r="H661" s="218"/>
      <c r="I661" s="219"/>
      <c r="J661" s="173"/>
    </row>
    <row r="662" spans="1:10" x14ac:dyDescent="0.25">
      <c r="A662" s="106"/>
      <c r="B662" s="107"/>
      <c r="D662" s="151"/>
      <c r="E662" s="142"/>
      <c r="F662" s="218"/>
      <c r="G662" s="218"/>
      <c r="H662" s="218"/>
      <c r="I662" s="219"/>
      <c r="J662" s="173"/>
    </row>
    <row r="663" spans="1:10" x14ac:dyDescent="0.25">
      <c r="A663" s="106"/>
      <c r="B663" s="107"/>
      <c r="D663" s="151"/>
      <c r="E663" s="142"/>
      <c r="F663" s="218"/>
      <c r="G663" s="223"/>
      <c r="H663" s="218"/>
      <c r="I663" s="219"/>
      <c r="J663" s="173"/>
    </row>
    <row r="664" spans="1:10" x14ac:dyDescent="0.25">
      <c r="A664" s="106"/>
      <c r="B664" s="107"/>
      <c r="D664" s="151"/>
      <c r="E664" s="142"/>
      <c r="F664" s="218"/>
      <c r="G664" s="223"/>
      <c r="H664" s="218"/>
      <c r="I664" s="219"/>
      <c r="J664" s="173"/>
    </row>
    <row r="665" spans="1:10" x14ac:dyDescent="0.25">
      <c r="A665" s="106"/>
      <c r="B665" s="107"/>
      <c r="D665" s="151"/>
      <c r="E665" s="142"/>
      <c r="F665" s="218"/>
      <c r="G665" s="218"/>
      <c r="H665" s="218"/>
      <c r="I665" s="219"/>
      <c r="J665" s="173"/>
    </row>
    <row r="666" spans="1:10" x14ac:dyDescent="0.25">
      <c r="A666" s="106"/>
      <c r="B666" s="107"/>
      <c r="D666" s="151"/>
      <c r="E666" s="142"/>
      <c r="F666" s="218"/>
      <c r="G666" s="218"/>
      <c r="H666" s="218"/>
      <c r="I666" s="219"/>
      <c r="J666" s="173"/>
    </row>
    <row r="667" spans="1:10" x14ac:dyDescent="0.25">
      <c r="A667" s="106"/>
      <c r="B667" s="107"/>
      <c r="D667" s="151"/>
      <c r="E667" s="142"/>
      <c r="F667" s="218"/>
      <c r="G667" s="218"/>
      <c r="H667" s="218"/>
      <c r="I667" s="230"/>
      <c r="J667" s="173"/>
    </row>
    <row r="668" spans="1:10" x14ac:dyDescent="0.25">
      <c r="A668" s="106"/>
      <c r="B668" s="107"/>
      <c r="D668" s="151"/>
      <c r="E668" s="142"/>
      <c r="F668" s="218"/>
      <c r="G668" s="218"/>
      <c r="H668" s="218"/>
      <c r="I668" s="219"/>
      <c r="J668" s="173"/>
    </row>
    <row r="669" spans="1:10" x14ac:dyDescent="0.25">
      <c r="A669" s="106"/>
      <c r="B669" s="107"/>
      <c r="D669" s="151"/>
      <c r="E669" s="142"/>
      <c r="F669" s="218"/>
      <c r="G669" s="218"/>
      <c r="H669" s="218"/>
      <c r="I669" s="219"/>
      <c r="J669" s="173"/>
    </row>
    <row r="670" spans="1:10" x14ac:dyDescent="0.25">
      <c r="A670" s="106"/>
      <c r="B670" s="107"/>
      <c r="D670" s="151"/>
      <c r="E670" s="142"/>
      <c r="F670" s="218"/>
      <c r="G670" s="218"/>
      <c r="H670" s="218"/>
      <c r="I670" s="230"/>
      <c r="J670" s="173"/>
    </row>
    <row r="671" spans="1:10" x14ac:dyDescent="0.25">
      <c r="A671" s="106"/>
      <c r="B671" s="107"/>
      <c r="D671" s="151"/>
      <c r="E671" s="142"/>
      <c r="F671" s="218"/>
      <c r="G671" s="218"/>
      <c r="H671" s="218"/>
      <c r="I671" s="219"/>
      <c r="J671" s="173"/>
    </row>
    <row r="672" spans="1:10" x14ac:dyDescent="0.25">
      <c r="A672" s="106"/>
      <c r="B672" s="107"/>
      <c r="D672" s="151"/>
      <c r="E672" s="142"/>
      <c r="F672" s="218"/>
      <c r="G672" s="218"/>
      <c r="H672" s="218"/>
      <c r="I672" s="219"/>
      <c r="J672" s="173"/>
    </row>
    <row r="673" spans="1:10" x14ac:dyDescent="0.25">
      <c r="A673" s="106"/>
      <c r="B673" s="107"/>
      <c r="D673" s="151"/>
      <c r="E673" s="142"/>
      <c r="F673" s="218"/>
      <c r="G673" s="218"/>
      <c r="H673" s="218"/>
      <c r="I673" s="230"/>
      <c r="J673" s="173"/>
    </row>
    <row r="674" spans="1:10" x14ac:dyDescent="0.25">
      <c r="A674" s="106"/>
      <c r="B674" s="107"/>
      <c r="D674" s="151"/>
      <c r="E674" s="142"/>
      <c r="F674" s="218"/>
      <c r="G674" s="218"/>
      <c r="H674" s="218"/>
      <c r="I674" s="219"/>
      <c r="J674" s="173"/>
    </row>
    <row r="675" spans="1:10" x14ac:dyDescent="0.25">
      <c r="A675" s="106"/>
      <c r="B675" s="107"/>
      <c r="D675" s="151"/>
      <c r="E675" s="142"/>
      <c r="F675" s="218"/>
      <c r="G675" s="218"/>
      <c r="H675" s="218"/>
      <c r="I675" s="219"/>
      <c r="J675" s="173"/>
    </row>
    <row r="676" spans="1:10" x14ac:dyDescent="0.25">
      <c r="A676" s="106"/>
      <c r="B676" s="107"/>
      <c r="D676" s="151"/>
      <c r="E676" s="142"/>
      <c r="F676" s="218"/>
      <c r="G676" s="218"/>
      <c r="H676" s="218"/>
      <c r="I676" s="230"/>
      <c r="J676" s="173"/>
    </row>
    <row r="677" spans="1:10" x14ac:dyDescent="0.25">
      <c r="A677" s="106"/>
      <c r="B677" s="107"/>
      <c r="D677" s="151"/>
      <c r="E677" s="142"/>
      <c r="F677" s="218"/>
      <c r="G677" s="218"/>
      <c r="H677" s="218"/>
      <c r="I677" s="219"/>
      <c r="J677" s="173"/>
    </row>
    <row r="678" spans="1:10" x14ac:dyDescent="0.25">
      <c r="A678" s="106"/>
      <c r="B678" s="107"/>
      <c r="D678" s="151"/>
      <c r="E678" s="142"/>
      <c r="F678" s="218"/>
      <c r="G678" s="218"/>
      <c r="H678" s="218"/>
      <c r="I678" s="219"/>
      <c r="J678" s="173"/>
    </row>
    <row r="679" spans="1:10" x14ac:dyDescent="0.25">
      <c r="A679" s="106"/>
      <c r="B679" s="107"/>
      <c r="D679" s="151"/>
      <c r="E679" s="142"/>
      <c r="F679" s="218"/>
      <c r="G679" s="218"/>
      <c r="H679" s="218"/>
      <c r="I679" s="230"/>
      <c r="J679" s="173"/>
    </row>
    <row r="680" spans="1:10" x14ac:dyDescent="0.25">
      <c r="A680" s="106"/>
      <c r="B680" s="107"/>
      <c r="D680" s="151"/>
      <c r="E680" s="142"/>
      <c r="F680" s="218"/>
      <c r="G680" s="218"/>
      <c r="H680" s="218"/>
      <c r="I680" s="219"/>
      <c r="J680" s="173"/>
    </row>
    <row r="681" spans="1:10" x14ac:dyDescent="0.25">
      <c r="A681" s="106"/>
      <c r="B681" s="107"/>
      <c r="D681" s="151"/>
      <c r="E681" s="142"/>
      <c r="F681" s="218"/>
      <c r="G681" s="218"/>
      <c r="H681" s="218"/>
      <c r="I681" s="219"/>
      <c r="J681" s="173"/>
    </row>
    <row r="682" spans="1:10" x14ac:dyDescent="0.25">
      <c r="A682" s="106"/>
      <c r="B682" s="107"/>
      <c r="D682" s="151"/>
      <c r="E682" s="142"/>
      <c r="F682" s="218"/>
      <c r="G682" s="218"/>
      <c r="H682" s="218"/>
      <c r="I682" s="219"/>
      <c r="J682" s="173"/>
    </row>
    <row r="683" spans="1:10" x14ac:dyDescent="0.25">
      <c r="A683" s="106"/>
      <c r="B683" s="107"/>
      <c r="D683" s="151"/>
      <c r="E683" s="142"/>
      <c r="F683" s="218"/>
      <c r="G683" s="218"/>
      <c r="H683" s="218"/>
      <c r="I683" s="230"/>
      <c r="J683" s="173"/>
    </row>
    <row r="684" spans="1:10" x14ac:dyDescent="0.25">
      <c r="A684" s="106"/>
      <c r="B684" s="107"/>
      <c r="D684" s="151"/>
      <c r="E684" s="142"/>
      <c r="F684" s="218"/>
      <c r="G684" s="226"/>
      <c r="H684" s="227"/>
      <c r="I684" s="219"/>
      <c r="J684" s="173"/>
    </row>
    <row r="685" spans="1:10" x14ac:dyDescent="0.25">
      <c r="A685" s="106"/>
      <c r="B685" s="107"/>
      <c r="D685" s="151"/>
      <c r="E685" s="142"/>
      <c r="F685" s="218"/>
      <c r="G685" s="218"/>
      <c r="H685" s="218"/>
      <c r="I685" s="219"/>
      <c r="J685" s="173"/>
    </row>
    <row r="686" spans="1:10" x14ac:dyDescent="0.25">
      <c r="A686" s="106"/>
      <c r="B686" s="107"/>
      <c r="D686" s="151"/>
      <c r="E686" s="142"/>
      <c r="F686" s="218"/>
      <c r="G686" s="229"/>
      <c r="H686" s="218"/>
      <c r="I686" s="219"/>
      <c r="J686" s="173"/>
    </row>
    <row r="687" spans="1:10" x14ac:dyDescent="0.25">
      <c r="A687" s="106"/>
      <c r="B687" s="107"/>
      <c r="D687" s="151"/>
      <c r="E687" s="142"/>
      <c r="F687" s="218"/>
      <c r="G687" s="229"/>
      <c r="H687" s="218"/>
      <c r="I687" s="219"/>
      <c r="J687" s="173"/>
    </row>
    <row r="688" spans="1:10" x14ac:dyDescent="0.25">
      <c r="A688" s="106"/>
      <c r="B688" s="107"/>
      <c r="D688" s="151"/>
      <c r="E688" s="142"/>
      <c r="F688" s="218"/>
      <c r="G688" s="218"/>
      <c r="H688" s="218"/>
      <c r="I688" s="219"/>
      <c r="J688" s="173"/>
    </row>
    <row r="689" spans="1:10" x14ac:dyDescent="0.25">
      <c r="A689" s="106"/>
      <c r="B689" s="107"/>
      <c r="D689" s="151"/>
      <c r="E689" s="142"/>
      <c r="F689" s="218"/>
      <c r="G689" s="218"/>
      <c r="H689" s="218"/>
      <c r="I689" s="219"/>
      <c r="J689" s="173"/>
    </row>
    <row r="690" spans="1:10" x14ac:dyDescent="0.25">
      <c r="A690" s="106"/>
      <c r="B690" s="107"/>
      <c r="D690" s="151"/>
      <c r="E690" s="142"/>
      <c r="F690" s="218"/>
      <c r="G690" s="218"/>
      <c r="H690" s="218"/>
      <c r="I690" s="219"/>
      <c r="J690" s="173"/>
    </row>
    <row r="691" spans="1:10" x14ac:dyDescent="0.25">
      <c r="A691" s="106"/>
      <c r="B691" s="107"/>
      <c r="D691" s="151"/>
      <c r="E691" s="142"/>
      <c r="F691" s="218"/>
      <c r="G691" s="218"/>
      <c r="H691" s="218"/>
      <c r="I691" s="219"/>
      <c r="J691" s="173"/>
    </row>
    <row r="692" spans="1:10" x14ac:dyDescent="0.25">
      <c r="A692" s="106"/>
      <c r="B692" s="107"/>
      <c r="D692" s="151"/>
      <c r="E692" s="142"/>
      <c r="F692" s="218"/>
      <c r="G692" s="229"/>
      <c r="H692" s="218"/>
      <c r="I692" s="219"/>
      <c r="J692" s="173"/>
    </row>
    <row r="693" spans="1:10" x14ac:dyDescent="0.25">
      <c r="A693" s="106"/>
      <c r="B693" s="107"/>
      <c r="D693" s="151"/>
      <c r="E693" s="142"/>
      <c r="F693" s="218"/>
      <c r="G693" s="229"/>
      <c r="H693" s="218"/>
      <c r="I693" s="219"/>
      <c r="J693" s="173"/>
    </row>
    <row r="694" spans="1:10" x14ac:dyDescent="0.25">
      <c r="A694" s="106"/>
      <c r="B694" s="107"/>
      <c r="D694" s="151"/>
      <c r="E694" s="142"/>
      <c r="F694" s="218"/>
      <c r="G694" s="218"/>
      <c r="H694" s="218"/>
      <c r="I694" s="219"/>
      <c r="J694" s="173"/>
    </row>
    <row r="695" spans="1:10" x14ac:dyDescent="0.25">
      <c r="A695" s="106"/>
      <c r="B695" s="107"/>
      <c r="D695" s="151"/>
      <c r="E695" s="142"/>
      <c r="F695" s="218"/>
      <c r="G695" s="218"/>
      <c r="H695" s="218"/>
      <c r="I695" s="219"/>
      <c r="J695" s="173"/>
    </row>
    <row r="696" spans="1:10" x14ac:dyDescent="0.25">
      <c r="A696" s="106"/>
      <c r="B696" s="107"/>
      <c r="D696" s="151"/>
      <c r="E696" s="142"/>
      <c r="F696" s="218"/>
      <c r="G696" s="218"/>
      <c r="H696" s="218"/>
      <c r="I696" s="219"/>
      <c r="J696" s="173"/>
    </row>
    <row r="697" spans="1:10" x14ac:dyDescent="0.25">
      <c r="A697" s="106"/>
      <c r="B697" s="107"/>
      <c r="D697" s="151"/>
      <c r="E697" s="142"/>
      <c r="F697" s="218"/>
      <c r="G697" s="218"/>
      <c r="H697" s="218"/>
      <c r="I697" s="219"/>
      <c r="J697" s="173"/>
    </row>
    <row r="698" spans="1:10" x14ac:dyDescent="0.25">
      <c r="A698" s="106"/>
      <c r="B698" s="107"/>
      <c r="D698" s="151"/>
      <c r="E698" s="142"/>
      <c r="F698" s="218"/>
      <c r="G698" s="229"/>
      <c r="H698" s="218"/>
      <c r="I698" s="219"/>
      <c r="J698" s="173"/>
    </row>
    <row r="699" spans="1:10" x14ac:dyDescent="0.25">
      <c r="A699" s="106"/>
      <c r="B699" s="107"/>
      <c r="D699" s="151"/>
      <c r="E699" s="142"/>
      <c r="F699" s="218"/>
      <c r="G699" s="229"/>
      <c r="H699" s="218"/>
      <c r="I699" s="219"/>
      <c r="J699" s="173"/>
    </row>
    <row r="700" spans="1:10" x14ac:dyDescent="0.25">
      <c r="A700" s="106"/>
      <c r="B700" s="107"/>
      <c r="D700" s="151"/>
      <c r="E700" s="142"/>
      <c r="F700" s="218"/>
      <c r="G700" s="218"/>
      <c r="H700" s="218"/>
      <c r="I700" s="219"/>
      <c r="J700" s="173"/>
    </row>
    <row r="701" spans="1:10" x14ac:dyDescent="0.25">
      <c r="A701" s="106"/>
      <c r="B701" s="107"/>
      <c r="D701" s="151"/>
      <c r="E701" s="142"/>
      <c r="F701" s="218"/>
      <c r="G701" s="218"/>
      <c r="H701" s="218"/>
      <c r="I701" s="219"/>
      <c r="J701" s="173"/>
    </row>
    <row r="702" spans="1:10" x14ac:dyDescent="0.25">
      <c r="A702" s="106"/>
      <c r="B702" s="107"/>
      <c r="D702" s="151"/>
      <c r="E702" s="142"/>
      <c r="F702" s="218"/>
      <c r="G702" s="218"/>
      <c r="H702" s="218"/>
      <c r="I702" s="219"/>
      <c r="J702" s="173"/>
    </row>
    <row r="703" spans="1:10" x14ac:dyDescent="0.25">
      <c r="A703" s="106"/>
      <c r="B703" s="107"/>
      <c r="D703" s="151"/>
      <c r="E703" s="142"/>
      <c r="F703" s="218"/>
      <c r="G703" s="218"/>
      <c r="H703" s="218"/>
      <c r="I703" s="219"/>
      <c r="J703" s="173"/>
    </row>
    <row r="704" spans="1:10" x14ac:dyDescent="0.25">
      <c r="A704" s="106"/>
      <c r="B704" s="107"/>
      <c r="D704" s="151"/>
      <c r="E704" s="142"/>
      <c r="F704" s="218"/>
      <c r="G704" s="218"/>
      <c r="H704" s="218"/>
      <c r="I704" s="219"/>
      <c r="J704" s="173"/>
    </row>
    <row r="705" spans="1:10" x14ac:dyDescent="0.25">
      <c r="A705" s="106"/>
      <c r="B705" s="107"/>
      <c r="D705" s="151"/>
      <c r="E705" s="142"/>
      <c r="F705" s="218"/>
      <c r="G705" s="218"/>
      <c r="H705" s="218"/>
      <c r="I705" s="219"/>
      <c r="J705" s="173"/>
    </row>
    <row r="706" spans="1:10" x14ac:dyDescent="0.25">
      <c r="A706" s="106"/>
      <c r="B706" s="107"/>
      <c r="D706" s="151"/>
      <c r="E706" s="142"/>
      <c r="F706" s="218"/>
      <c r="G706" s="218"/>
      <c r="H706" s="218"/>
      <c r="I706" s="219"/>
      <c r="J706" s="173"/>
    </row>
    <row r="707" spans="1:10" x14ac:dyDescent="0.25">
      <c r="A707" s="106"/>
      <c r="B707" s="107"/>
      <c r="D707" s="151"/>
      <c r="E707" s="142"/>
      <c r="F707" s="218"/>
      <c r="G707" s="218"/>
      <c r="H707" s="218"/>
      <c r="I707" s="219"/>
      <c r="J707" s="173"/>
    </row>
    <row r="708" spans="1:10" x14ac:dyDescent="0.25">
      <c r="A708" s="106"/>
      <c r="B708" s="107"/>
      <c r="D708" s="151"/>
      <c r="E708" s="142"/>
      <c r="F708" s="218"/>
      <c r="G708" s="218"/>
      <c r="H708" s="218"/>
      <c r="I708" s="219"/>
      <c r="J708" s="173"/>
    </row>
    <row r="709" spans="1:10" x14ac:dyDescent="0.25">
      <c r="A709" s="106"/>
      <c r="B709" s="107"/>
      <c r="D709" s="151"/>
      <c r="E709" s="142"/>
      <c r="F709" s="218"/>
      <c r="G709" s="218"/>
      <c r="H709" s="218"/>
      <c r="I709" s="230"/>
      <c r="J709" s="173"/>
    </row>
    <row r="710" spans="1:10" x14ac:dyDescent="0.25">
      <c r="A710" s="106"/>
      <c r="B710" s="107"/>
      <c r="D710" s="151"/>
      <c r="E710" s="142"/>
      <c r="F710" s="218"/>
      <c r="G710" s="218"/>
      <c r="H710" s="218"/>
      <c r="I710" s="219"/>
      <c r="J710" s="173"/>
    </row>
    <row r="711" spans="1:10" x14ac:dyDescent="0.25">
      <c r="A711" s="106"/>
      <c r="B711" s="107"/>
      <c r="D711" s="151"/>
      <c r="E711" s="142"/>
      <c r="F711" s="218"/>
      <c r="G711" s="218"/>
      <c r="H711" s="218"/>
      <c r="I711" s="219"/>
      <c r="J711" s="173"/>
    </row>
    <row r="712" spans="1:10" x14ac:dyDescent="0.25">
      <c r="A712" s="106"/>
      <c r="B712" s="107"/>
      <c r="D712" s="151"/>
      <c r="E712" s="142"/>
      <c r="F712" s="218"/>
      <c r="G712" s="218"/>
      <c r="H712" s="218"/>
      <c r="I712" s="219"/>
      <c r="J712" s="173"/>
    </row>
    <row r="713" spans="1:10" x14ac:dyDescent="0.25">
      <c r="A713" s="106"/>
      <c r="B713" s="107"/>
      <c r="D713" s="151"/>
      <c r="E713" s="142"/>
      <c r="F713" s="218"/>
      <c r="G713" s="218"/>
      <c r="H713" s="218"/>
      <c r="I713" s="219"/>
      <c r="J713" s="173"/>
    </row>
    <row r="714" spans="1:10" x14ac:dyDescent="0.25">
      <c r="A714" s="106"/>
      <c r="B714" s="107"/>
      <c r="D714" s="151"/>
      <c r="E714" s="142"/>
      <c r="F714" s="218"/>
      <c r="G714" s="218"/>
      <c r="H714" s="218"/>
      <c r="I714" s="219"/>
      <c r="J714" s="173"/>
    </row>
    <row r="715" spans="1:10" x14ac:dyDescent="0.25">
      <c r="A715" s="106"/>
      <c r="B715" s="107"/>
      <c r="D715" s="151"/>
      <c r="E715" s="142"/>
      <c r="F715" s="218"/>
      <c r="G715" s="218"/>
      <c r="H715" s="218"/>
      <c r="I715" s="219"/>
      <c r="J715" s="173"/>
    </row>
    <row r="716" spans="1:10" x14ac:dyDescent="0.25">
      <c r="A716" s="106"/>
      <c r="B716" s="107"/>
      <c r="D716" s="151"/>
      <c r="E716" s="142"/>
      <c r="F716" s="218"/>
      <c r="G716" s="218"/>
      <c r="H716" s="218"/>
      <c r="I716" s="219"/>
      <c r="J716" s="173"/>
    </row>
    <row r="717" spans="1:10" x14ac:dyDescent="0.25">
      <c r="A717" s="106"/>
      <c r="B717" s="107"/>
      <c r="D717" s="151"/>
      <c r="E717" s="142"/>
      <c r="F717" s="218"/>
      <c r="G717" s="218"/>
      <c r="H717" s="218"/>
      <c r="I717" s="219"/>
      <c r="J717" s="173"/>
    </row>
    <row r="718" spans="1:10" x14ac:dyDescent="0.25">
      <c r="A718" s="106"/>
      <c r="B718" s="107"/>
      <c r="D718" s="151"/>
      <c r="E718" s="142"/>
      <c r="F718" s="218"/>
      <c r="G718" s="221"/>
      <c r="H718" s="218"/>
      <c r="I718" s="219"/>
      <c r="J718" s="173"/>
    </row>
    <row r="719" spans="1:10" x14ac:dyDescent="0.25">
      <c r="A719" s="106"/>
      <c r="B719" s="107"/>
      <c r="D719" s="151"/>
      <c r="E719" s="142"/>
      <c r="F719" s="218"/>
      <c r="G719" s="218"/>
      <c r="H719" s="218"/>
      <c r="I719" s="219"/>
      <c r="J719" s="173"/>
    </row>
    <row r="720" spans="1:10" x14ac:dyDescent="0.25">
      <c r="A720" s="106"/>
      <c r="B720" s="107"/>
      <c r="D720" s="151"/>
      <c r="E720" s="142"/>
      <c r="F720" s="218"/>
      <c r="G720" s="218"/>
      <c r="H720" s="218"/>
      <c r="I720" s="219"/>
      <c r="J720" s="173"/>
    </row>
    <row r="721" spans="1:10" x14ac:dyDescent="0.25">
      <c r="A721" s="106"/>
      <c r="B721" s="107"/>
      <c r="D721" s="151"/>
      <c r="E721" s="142"/>
      <c r="F721" s="218"/>
      <c r="G721" s="218"/>
      <c r="H721" s="218"/>
      <c r="I721" s="219"/>
      <c r="J721" s="173"/>
    </row>
    <row r="722" spans="1:10" x14ac:dyDescent="0.25">
      <c r="A722" s="106"/>
      <c r="B722" s="107"/>
      <c r="D722" s="151"/>
      <c r="E722" s="142"/>
      <c r="F722" s="218"/>
      <c r="G722" s="218"/>
      <c r="H722" s="218"/>
      <c r="I722" s="219"/>
      <c r="J722" s="173"/>
    </row>
    <row r="723" spans="1:10" x14ac:dyDescent="0.25">
      <c r="A723" s="106"/>
      <c r="B723" s="107"/>
      <c r="D723" s="151"/>
      <c r="E723" s="142"/>
      <c r="F723" s="218"/>
      <c r="G723" s="218"/>
      <c r="H723" s="218"/>
      <c r="I723" s="219"/>
      <c r="J723" s="173"/>
    </row>
    <row r="724" spans="1:10" x14ac:dyDescent="0.25">
      <c r="A724" s="106"/>
      <c r="B724" s="107"/>
      <c r="D724" s="151"/>
      <c r="E724" s="142"/>
      <c r="F724" s="218"/>
      <c r="G724" s="226"/>
      <c r="H724" s="227"/>
      <c r="I724" s="230"/>
      <c r="J724" s="173"/>
    </row>
    <row r="725" spans="1:10" x14ac:dyDescent="0.25">
      <c r="A725" s="106"/>
      <c r="B725" s="107"/>
      <c r="D725" s="151"/>
      <c r="E725" s="142"/>
      <c r="F725" s="218"/>
      <c r="G725" s="218"/>
      <c r="H725" s="218"/>
      <c r="I725" s="219"/>
      <c r="J725" s="173"/>
    </row>
    <row r="726" spans="1:10" x14ac:dyDescent="0.25">
      <c r="A726" s="106"/>
      <c r="B726" s="107"/>
      <c r="D726" s="151"/>
      <c r="E726" s="142"/>
      <c r="F726" s="218"/>
      <c r="G726" s="218"/>
      <c r="H726" s="218"/>
      <c r="I726" s="219"/>
      <c r="J726" s="173"/>
    </row>
    <row r="727" spans="1:10" x14ac:dyDescent="0.25">
      <c r="A727" s="106"/>
      <c r="B727" s="107"/>
      <c r="D727" s="151"/>
      <c r="E727" s="142"/>
      <c r="F727" s="218"/>
      <c r="G727" s="218"/>
      <c r="H727" s="218"/>
      <c r="I727" s="219"/>
      <c r="J727" s="173"/>
    </row>
    <row r="728" spans="1:10" x14ac:dyDescent="0.25">
      <c r="A728" s="106"/>
      <c r="B728" s="107"/>
      <c r="D728" s="151"/>
      <c r="E728" s="142"/>
      <c r="F728" s="218"/>
      <c r="G728" s="223"/>
      <c r="H728" s="218"/>
      <c r="I728" s="219"/>
      <c r="J728" s="173"/>
    </row>
    <row r="729" spans="1:10" x14ac:dyDescent="0.25">
      <c r="A729" s="106"/>
      <c r="B729" s="107"/>
      <c r="D729" s="151"/>
      <c r="E729" s="142"/>
      <c r="F729" s="218"/>
      <c r="G729" s="218"/>
      <c r="H729" s="218"/>
      <c r="I729" s="219"/>
      <c r="J729" s="173"/>
    </row>
    <row r="730" spans="1:10" x14ac:dyDescent="0.25">
      <c r="A730" s="106"/>
      <c r="B730" s="107"/>
      <c r="D730" s="151"/>
      <c r="E730" s="142"/>
      <c r="F730" s="218"/>
      <c r="G730" s="218"/>
      <c r="H730" s="218"/>
      <c r="I730" s="219"/>
      <c r="J730" s="173"/>
    </row>
    <row r="731" spans="1:10" x14ac:dyDescent="0.25">
      <c r="A731" s="106"/>
      <c r="B731" s="107"/>
      <c r="D731" s="151"/>
      <c r="E731" s="142"/>
      <c r="F731" s="218"/>
      <c r="G731" s="223"/>
      <c r="H731" s="218"/>
      <c r="I731" s="219"/>
      <c r="J731" s="173"/>
    </row>
    <row r="732" spans="1:10" x14ac:dyDescent="0.25">
      <c r="A732" s="106"/>
      <c r="B732" s="107"/>
      <c r="D732" s="151"/>
      <c r="E732" s="142"/>
      <c r="F732" s="218"/>
      <c r="G732" s="223"/>
      <c r="H732" s="218"/>
      <c r="I732" s="219"/>
      <c r="J732" s="173"/>
    </row>
    <row r="733" spans="1:10" x14ac:dyDescent="0.25">
      <c r="A733" s="106"/>
      <c r="B733" s="107"/>
      <c r="D733" s="151"/>
      <c r="E733" s="142"/>
      <c r="F733" s="218"/>
      <c r="G733" s="223"/>
      <c r="H733" s="218"/>
      <c r="I733" s="219"/>
      <c r="J733" s="173"/>
    </row>
    <row r="734" spans="1:10" x14ac:dyDescent="0.25">
      <c r="A734" s="106"/>
      <c r="B734" s="107"/>
      <c r="D734" s="151"/>
      <c r="E734" s="142"/>
      <c r="F734" s="218"/>
      <c r="G734" s="218"/>
      <c r="H734" s="218"/>
      <c r="I734" s="219"/>
      <c r="J734" s="173"/>
    </row>
    <row r="735" spans="1:10" x14ac:dyDescent="0.25">
      <c r="A735" s="106"/>
      <c r="B735" s="107"/>
      <c r="D735" s="151"/>
      <c r="E735" s="142"/>
      <c r="F735" s="218"/>
      <c r="G735" s="218"/>
      <c r="H735" s="218"/>
      <c r="I735" s="219"/>
      <c r="J735" s="173"/>
    </row>
    <row r="736" spans="1:10" x14ac:dyDescent="0.25">
      <c r="A736" s="106"/>
      <c r="B736" s="107"/>
      <c r="D736" s="151"/>
      <c r="E736" s="142"/>
      <c r="F736" s="218"/>
      <c r="G736" s="218"/>
      <c r="H736" s="218"/>
      <c r="I736" s="219"/>
      <c r="J736" s="173"/>
    </row>
    <row r="737" spans="1:10" x14ac:dyDescent="0.25">
      <c r="A737" s="106"/>
      <c r="B737" s="107"/>
      <c r="D737" s="151"/>
      <c r="E737" s="142"/>
      <c r="F737" s="218"/>
      <c r="G737" s="218"/>
      <c r="H737" s="218"/>
      <c r="I737" s="230"/>
      <c r="J737" s="173"/>
    </row>
    <row r="738" spans="1:10" x14ac:dyDescent="0.25">
      <c r="A738" s="106"/>
      <c r="B738" s="107"/>
      <c r="D738" s="151"/>
      <c r="E738" s="142"/>
      <c r="F738" s="218"/>
      <c r="G738" s="218"/>
      <c r="H738" s="218"/>
      <c r="I738" s="219"/>
      <c r="J738" s="173"/>
    </row>
    <row r="739" spans="1:10" x14ac:dyDescent="0.25">
      <c r="A739" s="106"/>
      <c r="B739" s="107"/>
      <c r="D739" s="151"/>
      <c r="E739" s="142"/>
      <c r="F739" s="218"/>
      <c r="G739" s="218"/>
      <c r="H739" s="218"/>
      <c r="I739" s="219"/>
      <c r="J739" s="173"/>
    </row>
    <row r="740" spans="1:10" x14ac:dyDescent="0.25">
      <c r="A740" s="106"/>
      <c r="B740" s="107"/>
      <c r="D740" s="151"/>
      <c r="E740" s="142"/>
      <c r="F740" s="218"/>
      <c r="G740" s="218"/>
      <c r="H740" s="218"/>
      <c r="I740" s="219"/>
      <c r="J740" s="173"/>
    </row>
    <row r="741" spans="1:10" x14ac:dyDescent="0.25">
      <c r="A741" s="106"/>
      <c r="B741" s="107"/>
      <c r="D741" s="151"/>
      <c r="E741" s="142"/>
      <c r="F741" s="218"/>
      <c r="G741" s="218"/>
      <c r="H741" s="218"/>
      <c r="I741" s="219"/>
      <c r="J741" s="173"/>
    </row>
    <row r="742" spans="1:10" x14ac:dyDescent="0.25">
      <c r="A742" s="106"/>
      <c r="B742" s="107"/>
      <c r="D742" s="151"/>
      <c r="E742" s="142"/>
      <c r="F742" s="218"/>
      <c r="G742" s="218"/>
      <c r="H742" s="218"/>
      <c r="I742" s="230"/>
      <c r="J742" s="173"/>
    </row>
    <row r="743" spans="1:10" x14ac:dyDescent="0.25">
      <c r="A743" s="106"/>
      <c r="B743" s="107"/>
      <c r="D743" s="151"/>
      <c r="E743" s="142"/>
      <c r="F743" s="218"/>
      <c r="G743" s="218"/>
      <c r="H743" s="218"/>
      <c r="I743" s="230"/>
      <c r="J743" s="173"/>
    </row>
    <row r="744" spans="1:10" x14ac:dyDescent="0.25">
      <c r="A744" s="106"/>
      <c r="B744" s="107"/>
      <c r="D744" s="151"/>
      <c r="E744" s="142"/>
      <c r="F744" s="218"/>
      <c r="G744" s="218"/>
      <c r="H744" s="218"/>
      <c r="I744" s="219"/>
      <c r="J744" s="173"/>
    </row>
    <row r="745" spans="1:10" x14ac:dyDescent="0.25">
      <c r="A745" s="106"/>
      <c r="B745" s="107"/>
      <c r="D745" s="151"/>
      <c r="E745" s="142"/>
      <c r="F745" s="218"/>
      <c r="G745" s="218"/>
      <c r="H745" s="218"/>
      <c r="I745" s="219"/>
      <c r="J745" s="173"/>
    </row>
    <row r="746" spans="1:10" x14ac:dyDescent="0.25">
      <c r="A746" s="106"/>
      <c r="B746" s="107"/>
      <c r="D746" s="151"/>
      <c r="E746" s="142"/>
      <c r="F746" s="218"/>
      <c r="G746" s="218"/>
      <c r="H746" s="218"/>
      <c r="I746" s="219"/>
      <c r="J746" s="173"/>
    </row>
    <row r="747" spans="1:10" x14ac:dyDescent="0.25">
      <c r="A747" s="106"/>
      <c r="B747" s="107"/>
      <c r="D747" s="151"/>
      <c r="E747" s="142"/>
      <c r="F747" s="218"/>
      <c r="G747" s="218"/>
      <c r="H747" s="218"/>
      <c r="I747" s="230"/>
      <c r="J747" s="173"/>
    </row>
    <row r="748" spans="1:10" x14ac:dyDescent="0.25">
      <c r="A748" s="106"/>
      <c r="B748" s="107"/>
      <c r="D748" s="151"/>
      <c r="E748" s="142"/>
      <c r="F748" s="218"/>
      <c r="G748" s="218"/>
      <c r="H748" s="218"/>
      <c r="I748" s="230"/>
      <c r="J748" s="173"/>
    </row>
    <row r="749" spans="1:10" x14ac:dyDescent="0.25">
      <c r="A749" s="106"/>
      <c r="B749" s="107"/>
      <c r="D749" s="151"/>
      <c r="E749" s="142"/>
      <c r="F749" s="218"/>
      <c r="G749" s="218"/>
      <c r="H749" s="218"/>
      <c r="I749" s="219"/>
      <c r="J749" s="173"/>
    </row>
    <row r="750" spans="1:10" x14ac:dyDescent="0.25">
      <c r="A750" s="106"/>
      <c r="B750" s="107"/>
      <c r="D750" s="151"/>
      <c r="E750" s="142"/>
      <c r="F750" s="218"/>
      <c r="G750" s="218"/>
      <c r="H750" s="218"/>
      <c r="I750" s="219"/>
      <c r="J750" s="173"/>
    </row>
    <row r="751" spans="1:10" x14ac:dyDescent="0.25">
      <c r="A751" s="106"/>
      <c r="B751" s="107"/>
      <c r="D751" s="151"/>
      <c r="E751" s="142"/>
      <c r="F751" s="218"/>
      <c r="G751" s="218"/>
      <c r="H751" s="218"/>
      <c r="I751" s="219"/>
      <c r="J751" s="173"/>
    </row>
    <row r="752" spans="1:10" x14ac:dyDescent="0.25">
      <c r="A752" s="106"/>
      <c r="B752" s="107"/>
      <c r="D752" s="151"/>
      <c r="E752" s="142"/>
      <c r="F752" s="218"/>
      <c r="G752" s="218"/>
      <c r="H752" s="218"/>
      <c r="I752" s="230"/>
      <c r="J752" s="173"/>
    </row>
    <row r="753" spans="1:10" x14ac:dyDescent="0.25">
      <c r="A753" s="106"/>
      <c r="B753" s="107"/>
      <c r="D753" s="151"/>
      <c r="E753" s="142"/>
      <c r="F753" s="218"/>
      <c r="G753" s="218"/>
      <c r="H753" s="218"/>
      <c r="I753" s="230"/>
      <c r="J753" s="173"/>
    </row>
    <row r="754" spans="1:10" x14ac:dyDescent="0.25">
      <c r="A754" s="106"/>
      <c r="B754" s="107"/>
      <c r="D754" s="151"/>
      <c r="E754" s="142"/>
      <c r="F754" s="218"/>
      <c r="G754" s="218"/>
      <c r="H754" s="218"/>
      <c r="I754" s="219"/>
      <c r="J754" s="173"/>
    </row>
    <row r="755" spans="1:10" x14ac:dyDescent="0.25">
      <c r="A755" s="106"/>
      <c r="B755" s="107"/>
      <c r="D755" s="151"/>
      <c r="E755" s="142"/>
      <c r="F755" s="218"/>
      <c r="G755" s="218"/>
      <c r="H755" s="218"/>
      <c r="I755" s="219"/>
      <c r="J755" s="173"/>
    </row>
    <row r="756" spans="1:10" x14ac:dyDescent="0.25">
      <c r="A756" s="106"/>
      <c r="B756" s="107"/>
      <c r="D756" s="151"/>
      <c r="E756" s="142"/>
      <c r="F756" s="218"/>
      <c r="G756" s="218"/>
      <c r="H756" s="218"/>
      <c r="I756" s="219"/>
      <c r="J756" s="173"/>
    </row>
    <row r="757" spans="1:10" x14ac:dyDescent="0.25">
      <c r="A757" s="106"/>
      <c r="B757" s="107"/>
      <c r="D757" s="151"/>
      <c r="E757" s="142"/>
      <c r="F757" s="218"/>
      <c r="G757" s="218"/>
      <c r="H757" s="218"/>
      <c r="I757" s="230"/>
      <c r="J757" s="173"/>
    </row>
    <row r="758" spans="1:10" x14ac:dyDescent="0.25">
      <c r="A758" s="106"/>
      <c r="B758" s="107"/>
      <c r="D758" s="151"/>
      <c r="E758" s="142"/>
      <c r="F758" s="218"/>
      <c r="G758" s="218"/>
      <c r="H758" s="218"/>
      <c r="I758" s="230"/>
      <c r="J758" s="173"/>
    </row>
    <row r="759" spans="1:10" x14ac:dyDescent="0.25">
      <c r="A759" s="106"/>
      <c r="B759" s="107"/>
      <c r="D759" s="151"/>
      <c r="E759" s="142"/>
      <c r="F759" s="218"/>
      <c r="G759" s="218"/>
      <c r="H759" s="218"/>
      <c r="I759" s="219"/>
      <c r="J759" s="173"/>
    </row>
    <row r="760" spans="1:10" x14ac:dyDescent="0.25">
      <c r="A760" s="106"/>
      <c r="B760" s="107"/>
      <c r="D760" s="151"/>
      <c r="E760" s="142"/>
      <c r="F760" s="218"/>
      <c r="G760" s="218"/>
      <c r="H760" s="218"/>
      <c r="I760" s="219"/>
      <c r="J760" s="173"/>
    </row>
    <row r="761" spans="1:10" x14ac:dyDescent="0.25">
      <c r="A761" s="106"/>
      <c r="B761" s="107"/>
      <c r="D761" s="151"/>
      <c r="E761" s="142"/>
      <c r="F761" s="218"/>
      <c r="G761" s="218"/>
      <c r="H761" s="218"/>
      <c r="I761" s="219"/>
      <c r="J761" s="173"/>
    </row>
    <row r="762" spans="1:10" x14ac:dyDescent="0.25">
      <c r="A762" s="106"/>
      <c r="B762" s="107"/>
      <c r="D762" s="151"/>
      <c r="E762" s="142"/>
      <c r="F762" s="218"/>
      <c r="G762" s="218"/>
      <c r="H762" s="218"/>
      <c r="I762" s="230"/>
      <c r="J762" s="173"/>
    </row>
    <row r="763" spans="1:10" x14ac:dyDescent="0.25">
      <c r="A763" s="106"/>
      <c r="B763" s="107"/>
      <c r="D763" s="151"/>
      <c r="E763" s="142"/>
      <c r="F763" s="218"/>
      <c r="G763" s="218"/>
      <c r="H763" s="218"/>
      <c r="I763" s="230"/>
      <c r="J763" s="173"/>
    </row>
    <row r="764" spans="1:10" x14ac:dyDescent="0.25">
      <c r="A764" s="106"/>
      <c r="B764" s="107"/>
      <c r="D764" s="151"/>
      <c r="E764" s="142"/>
      <c r="F764" s="218"/>
      <c r="G764" s="218"/>
      <c r="H764" s="218"/>
      <c r="I764" s="219"/>
      <c r="J764" s="173"/>
    </row>
    <row r="765" spans="1:10" x14ac:dyDescent="0.25">
      <c r="A765" s="106"/>
      <c r="B765" s="107"/>
      <c r="D765" s="151"/>
      <c r="E765" s="142"/>
      <c r="F765" s="218"/>
      <c r="G765" s="218"/>
      <c r="H765" s="218"/>
      <c r="I765" s="219"/>
      <c r="J765" s="173"/>
    </row>
    <row r="766" spans="1:10" x14ac:dyDescent="0.25">
      <c r="A766" s="106"/>
      <c r="B766" s="107"/>
      <c r="D766" s="151"/>
      <c r="E766" s="142"/>
      <c r="F766" s="218"/>
      <c r="G766" s="218"/>
      <c r="H766" s="218"/>
      <c r="I766" s="219"/>
      <c r="J766" s="173"/>
    </row>
    <row r="767" spans="1:10" x14ac:dyDescent="0.25">
      <c r="A767" s="106"/>
      <c r="B767" s="107"/>
      <c r="D767" s="151"/>
      <c r="E767" s="142"/>
      <c r="F767" s="218"/>
      <c r="G767" s="218"/>
      <c r="H767" s="218"/>
      <c r="I767" s="219"/>
      <c r="J767" s="173"/>
    </row>
    <row r="768" spans="1:10" x14ac:dyDescent="0.25">
      <c r="A768" s="106"/>
      <c r="B768" s="107"/>
      <c r="D768" s="151"/>
      <c r="E768" s="142"/>
      <c r="F768" s="218"/>
      <c r="G768" s="218"/>
      <c r="H768" s="218"/>
      <c r="I768" s="219"/>
      <c r="J768" s="173"/>
    </row>
    <row r="769" spans="1:10" x14ac:dyDescent="0.25">
      <c r="A769" s="106"/>
      <c r="B769" s="107"/>
      <c r="D769" s="151"/>
      <c r="E769" s="142"/>
      <c r="F769" s="218"/>
      <c r="G769" s="218"/>
      <c r="H769" s="218"/>
      <c r="I769" s="219"/>
      <c r="J769" s="173"/>
    </row>
    <row r="770" spans="1:10" x14ac:dyDescent="0.25">
      <c r="A770" s="106"/>
      <c r="B770" s="107"/>
      <c r="D770" s="151"/>
      <c r="E770" s="142"/>
      <c r="F770" s="218"/>
      <c r="G770" s="218"/>
      <c r="H770" s="218"/>
      <c r="I770" s="219"/>
      <c r="J770" s="173"/>
    </row>
    <row r="771" spans="1:10" x14ac:dyDescent="0.25">
      <c r="A771" s="106"/>
      <c r="B771" s="107"/>
      <c r="D771" s="151"/>
      <c r="E771" s="142"/>
      <c r="F771" s="218"/>
      <c r="G771" s="218"/>
      <c r="H771" s="218"/>
      <c r="I771" s="219"/>
      <c r="J771" s="173"/>
    </row>
    <row r="772" spans="1:10" x14ac:dyDescent="0.25">
      <c r="A772" s="106"/>
      <c r="B772" s="107"/>
      <c r="D772" s="151"/>
      <c r="E772" s="142"/>
      <c r="F772" s="218"/>
      <c r="G772" s="218"/>
      <c r="H772" s="218"/>
      <c r="I772" s="219"/>
      <c r="J772" s="173"/>
    </row>
    <row r="773" spans="1:10" x14ac:dyDescent="0.25">
      <c r="A773" s="106"/>
      <c r="B773" s="107"/>
      <c r="D773" s="151"/>
      <c r="E773" s="142"/>
      <c r="F773" s="218"/>
      <c r="G773" s="218"/>
      <c r="H773" s="218"/>
      <c r="I773" s="219"/>
      <c r="J773" s="173"/>
    </row>
    <row r="774" spans="1:10" x14ac:dyDescent="0.25">
      <c r="A774" s="106"/>
      <c r="B774" s="107"/>
      <c r="D774" s="151"/>
      <c r="E774" s="142"/>
      <c r="F774" s="218"/>
      <c r="G774" s="218"/>
      <c r="H774" s="218"/>
      <c r="I774" s="230"/>
      <c r="J774" s="173"/>
    </row>
    <row r="775" spans="1:10" x14ac:dyDescent="0.25">
      <c r="A775" s="106"/>
      <c r="B775" s="107"/>
      <c r="D775" s="151"/>
      <c r="E775" s="142"/>
      <c r="F775" s="218"/>
      <c r="G775" s="218"/>
      <c r="H775" s="218"/>
      <c r="I775" s="219"/>
      <c r="J775" s="173"/>
    </row>
    <row r="776" spans="1:10" x14ac:dyDescent="0.25">
      <c r="A776" s="106"/>
      <c r="B776" s="107"/>
      <c r="D776" s="151"/>
      <c r="E776" s="142"/>
      <c r="F776" s="218"/>
      <c r="G776" s="218"/>
      <c r="H776" s="218"/>
      <c r="I776" s="219"/>
      <c r="J776" s="173"/>
    </row>
    <row r="777" spans="1:10" x14ac:dyDescent="0.25">
      <c r="A777" s="106"/>
      <c r="B777" s="107"/>
      <c r="D777" s="151"/>
      <c r="E777" s="142"/>
      <c r="F777" s="218"/>
      <c r="G777" s="226"/>
      <c r="H777" s="227"/>
      <c r="I777" s="219"/>
      <c r="J777" s="173"/>
    </row>
    <row r="778" spans="1:10" x14ac:dyDescent="0.25">
      <c r="A778" s="106"/>
      <c r="B778" s="107"/>
      <c r="D778" s="151"/>
      <c r="E778" s="142"/>
      <c r="F778" s="218"/>
      <c r="G778" s="226"/>
      <c r="H778" s="227"/>
      <c r="I778" s="219"/>
      <c r="J778" s="173"/>
    </row>
    <row r="779" spans="1:10" x14ac:dyDescent="0.25">
      <c r="A779" s="106"/>
      <c r="B779" s="107"/>
      <c r="D779" s="151"/>
      <c r="E779" s="142"/>
      <c r="F779" s="218"/>
      <c r="G779" s="218"/>
      <c r="H779" s="218"/>
      <c r="I779" s="219"/>
      <c r="J779" s="173"/>
    </row>
    <row r="780" spans="1:10" x14ac:dyDescent="0.25">
      <c r="A780" s="106"/>
      <c r="B780" s="107"/>
      <c r="D780" s="151"/>
      <c r="E780" s="142"/>
      <c r="F780" s="218"/>
      <c r="G780" s="226"/>
      <c r="H780" s="227"/>
      <c r="I780" s="219"/>
      <c r="J780" s="173"/>
    </row>
    <row r="781" spans="1:10" x14ac:dyDescent="0.25">
      <c r="A781" s="106"/>
      <c r="B781" s="107"/>
      <c r="D781" s="151"/>
      <c r="E781" s="142"/>
      <c r="F781" s="218"/>
      <c r="G781" s="218"/>
      <c r="H781" s="218"/>
      <c r="I781" s="219"/>
      <c r="J781" s="173"/>
    </row>
    <row r="782" spans="1:10" x14ac:dyDescent="0.25">
      <c r="A782" s="106"/>
      <c r="B782" s="107"/>
      <c r="D782" s="151"/>
      <c r="E782" s="142"/>
      <c r="F782" s="218"/>
      <c r="G782" s="218"/>
      <c r="H782" s="218"/>
      <c r="I782" s="219"/>
      <c r="J782" s="173"/>
    </row>
    <row r="783" spans="1:10" x14ac:dyDescent="0.25">
      <c r="A783" s="106"/>
      <c r="B783" s="107"/>
      <c r="D783" s="151"/>
      <c r="E783" s="142"/>
      <c r="F783" s="218"/>
      <c r="G783" s="218"/>
      <c r="H783" s="218"/>
      <c r="I783" s="219"/>
      <c r="J783" s="173"/>
    </row>
    <row r="784" spans="1:10" x14ac:dyDescent="0.25">
      <c r="A784" s="106"/>
      <c r="B784" s="107"/>
      <c r="D784" s="151"/>
      <c r="E784" s="142"/>
      <c r="F784" s="218"/>
      <c r="G784" s="218"/>
      <c r="H784" s="218"/>
      <c r="I784" s="219"/>
      <c r="J784" s="173"/>
    </row>
    <row r="785" spans="1:10" x14ac:dyDescent="0.25">
      <c r="A785" s="106"/>
      <c r="B785" s="107"/>
      <c r="D785" s="151"/>
      <c r="E785" s="142"/>
      <c r="F785" s="218"/>
      <c r="G785" s="218"/>
      <c r="H785" s="218"/>
      <c r="I785" s="219"/>
      <c r="J785" s="173"/>
    </row>
    <row r="786" spans="1:10" x14ac:dyDescent="0.25">
      <c r="A786" s="106"/>
      <c r="B786" s="107"/>
      <c r="D786" s="151"/>
      <c r="E786" s="142"/>
      <c r="F786" s="218"/>
      <c r="G786" s="218"/>
      <c r="H786" s="218"/>
      <c r="I786" s="219"/>
      <c r="J786" s="173"/>
    </row>
    <row r="787" spans="1:10" x14ac:dyDescent="0.25">
      <c r="A787" s="106"/>
      <c r="B787" s="107"/>
      <c r="D787" s="151"/>
      <c r="E787" s="142"/>
      <c r="F787" s="218"/>
      <c r="G787" s="218"/>
      <c r="H787" s="218"/>
      <c r="I787" s="219"/>
      <c r="J787" s="173"/>
    </row>
    <row r="788" spans="1:10" x14ac:dyDescent="0.25">
      <c r="A788" s="106"/>
      <c r="B788" s="107"/>
      <c r="D788" s="151"/>
      <c r="E788" s="142"/>
      <c r="F788" s="218"/>
      <c r="G788" s="218"/>
      <c r="H788" s="218"/>
      <c r="I788" s="219"/>
      <c r="J788" s="173"/>
    </row>
    <row r="789" spans="1:10" x14ac:dyDescent="0.25">
      <c r="A789" s="106"/>
      <c r="B789" s="107"/>
      <c r="D789" s="151"/>
      <c r="E789" s="142"/>
      <c r="F789" s="218"/>
      <c r="G789" s="218"/>
      <c r="H789" s="218"/>
      <c r="I789" s="219"/>
      <c r="J789" s="173"/>
    </row>
    <row r="790" spans="1:10" x14ac:dyDescent="0.25">
      <c r="A790" s="106"/>
      <c r="B790" s="107"/>
      <c r="D790" s="151"/>
      <c r="E790" s="142"/>
      <c r="F790" s="218"/>
      <c r="G790" s="218"/>
      <c r="H790" s="218"/>
      <c r="I790" s="219"/>
      <c r="J790" s="173"/>
    </row>
    <row r="791" spans="1:10" x14ac:dyDescent="0.25">
      <c r="A791" s="106"/>
      <c r="B791" s="107"/>
      <c r="D791" s="151"/>
      <c r="E791" s="142"/>
      <c r="F791" s="218"/>
      <c r="G791" s="218"/>
      <c r="H791" s="218"/>
      <c r="I791" s="219"/>
      <c r="J791" s="173"/>
    </row>
    <row r="792" spans="1:10" x14ac:dyDescent="0.25">
      <c r="A792" s="106"/>
      <c r="B792" s="107"/>
      <c r="D792" s="151"/>
      <c r="E792" s="142"/>
      <c r="F792" s="218"/>
      <c r="G792" s="218"/>
      <c r="H792" s="218"/>
      <c r="I792" s="219"/>
      <c r="J792" s="173"/>
    </row>
    <row r="793" spans="1:10" x14ac:dyDescent="0.25">
      <c r="A793" s="106"/>
      <c r="B793" s="107"/>
      <c r="D793" s="151"/>
      <c r="E793" s="142"/>
      <c r="F793" s="218"/>
      <c r="G793" s="218"/>
      <c r="H793" s="218"/>
      <c r="I793" s="219"/>
      <c r="J793" s="173"/>
    </row>
    <row r="794" spans="1:10" x14ac:dyDescent="0.25">
      <c r="A794" s="106"/>
      <c r="B794" s="107"/>
      <c r="D794" s="151"/>
      <c r="E794" s="142"/>
      <c r="F794" s="218"/>
      <c r="G794" s="218"/>
      <c r="H794" s="218"/>
      <c r="I794" s="219"/>
      <c r="J794" s="173"/>
    </row>
    <row r="795" spans="1:10" x14ac:dyDescent="0.25">
      <c r="A795" s="106"/>
      <c r="B795" s="107"/>
      <c r="D795" s="151"/>
      <c r="E795" s="142"/>
      <c r="F795" s="218"/>
      <c r="G795" s="218"/>
      <c r="H795" s="218"/>
      <c r="I795" s="219"/>
      <c r="J795" s="173"/>
    </row>
    <row r="796" spans="1:10" x14ac:dyDescent="0.25">
      <c r="A796" s="106"/>
      <c r="B796" s="107"/>
      <c r="D796" s="151"/>
      <c r="E796" s="142"/>
      <c r="F796" s="218"/>
      <c r="G796" s="218"/>
      <c r="H796" s="218"/>
      <c r="I796" s="219"/>
      <c r="J796" s="173"/>
    </row>
    <row r="797" spans="1:10" x14ac:dyDescent="0.25">
      <c r="A797" s="106"/>
      <c r="B797" s="107"/>
      <c r="D797" s="151"/>
      <c r="E797" s="142"/>
      <c r="F797" s="218"/>
      <c r="G797" s="218"/>
      <c r="H797" s="218"/>
      <c r="I797" s="219"/>
      <c r="J797" s="173"/>
    </row>
    <row r="798" spans="1:10" x14ac:dyDescent="0.25">
      <c r="A798" s="106"/>
      <c r="B798" s="107"/>
      <c r="D798" s="151"/>
      <c r="E798" s="142"/>
      <c r="F798" s="218"/>
      <c r="G798" s="218"/>
      <c r="H798" s="218"/>
      <c r="I798" s="219"/>
      <c r="J798" s="173"/>
    </row>
    <row r="799" spans="1:10" x14ac:dyDescent="0.25">
      <c r="A799" s="106"/>
      <c r="B799" s="107"/>
      <c r="D799" s="151"/>
      <c r="E799" s="142"/>
      <c r="F799" s="218"/>
      <c r="G799" s="218"/>
      <c r="H799" s="218"/>
      <c r="I799" s="219"/>
      <c r="J799" s="173"/>
    </row>
    <row r="800" spans="1:10" x14ac:dyDescent="0.25">
      <c r="A800" s="106"/>
      <c r="B800" s="107"/>
      <c r="D800" s="151"/>
      <c r="E800" s="142"/>
      <c r="F800" s="218"/>
      <c r="G800" s="218"/>
      <c r="H800" s="218"/>
      <c r="I800" s="218"/>
      <c r="J800" s="173"/>
    </row>
    <row r="801" spans="1:10" x14ac:dyDescent="0.25">
      <c r="A801" s="106"/>
      <c r="B801" s="107"/>
      <c r="D801" s="151"/>
      <c r="E801" s="142"/>
      <c r="F801" s="218"/>
      <c r="G801" s="218"/>
      <c r="H801" s="218"/>
      <c r="I801" s="218"/>
      <c r="J801" s="173"/>
    </row>
    <row r="802" spans="1:10" x14ac:dyDescent="0.25">
      <c r="A802" s="106"/>
      <c r="B802" s="107"/>
      <c r="D802" s="151"/>
      <c r="E802" s="142"/>
      <c r="F802" s="218"/>
      <c r="G802" s="218"/>
      <c r="H802" s="218"/>
      <c r="I802" s="218"/>
      <c r="J802" s="173"/>
    </row>
    <row r="803" spans="1:10" x14ac:dyDescent="0.25">
      <c r="A803" s="106"/>
      <c r="B803" s="107"/>
      <c r="D803" s="151"/>
      <c r="E803" s="142"/>
      <c r="F803" s="218"/>
      <c r="G803" s="218"/>
      <c r="H803" s="218"/>
      <c r="I803" s="218"/>
      <c r="J803" s="173"/>
    </row>
    <row r="804" spans="1:10" x14ac:dyDescent="0.25">
      <c r="A804" s="106"/>
      <c r="B804" s="107"/>
      <c r="D804" s="151"/>
      <c r="E804" s="142"/>
      <c r="F804" s="218"/>
      <c r="G804" s="218"/>
      <c r="H804" s="218"/>
      <c r="I804" s="218"/>
      <c r="J804" s="173"/>
    </row>
    <row r="805" spans="1:10" x14ac:dyDescent="0.25">
      <c r="A805" s="106"/>
      <c r="B805" s="107"/>
      <c r="D805" s="151"/>
      <c r="E805" s="142"/>
      <c r="F805" s="218"/>
      <c r="G805" s="226"/>
      <c r="H805" s="218"/>
      <c r="I805" s="218"/>
      <c r="J805" s="173"/>
    </row>
    <row r="806" spans="1:10" x14ac:dyDescent="0.25">
      <c r="A806" s="106"/>
      <c r="B806" s="107"/>
      <c r="D806" s="151"/>
      <c r="E806" s="142"/>
      <c r="F806" s="218"/>
      <c r="G806" s="218"/>
      <c r="H806" s="218"/>
      <c r="I806" s="218"/>
      <c r="J806" s="173"/>
    </row>
    <row r="807" spans="1:10" x14ac:dyDescent="0.25">
      <c r="A807" s="106"/>
      <c r="B807" s="107"/>
      <c r="D807" s="151"/>
      <c r="E807" s="142"/>
      <c r="F807" s="218"/>
      <c r="G807" s="218"/>
      <c r="H807" s="218"/>
      <c r="I807" s="218"/>
      <c r="J807" s="173"/>
    </row>
    <row r="808" spans="1:10" x14ac:dyDescent="0.25">
      <c r="A808" s="106"/>
      <c r="B808" s="107"/>
      <c r="D808" s="151"/>
      <c r="E808" s="142"/>
      <c r="F808" s="218"/>
      <c r="G808" s="218"/>
      <c r="H808" s="218"/>
      <c r="I808" s="218"/>
      <c r="J808" s="173"/>
    </row>
    <row r="809" spans="1:10" x14ac:dyDescent="0.25">
      <c r="A809" s="106"/>
      <c r="B809" s="107"/>
      <c r="D809" s="151"/>
      <c r="E809" s="142"/>
      <c r="F809" s="218"/>
      <c r="G809" s="218"/>
      <c r="H809" s="218"/>
      <c r="I809" s="219"/>
      <c r="J809" s="173"/>
    </row>
    <row r="810" spans="1:10" x14ac:dyDescent="0.25">
      <c r="A810" s="106"/>
      <c r="B810" s="107"/>
      <c r="D810" s="151"/>
      <c r="E810" s="142"/>
      <c r="F810" s="218"/>
      <c r="G810" s="218"/>
      <c r="H810" s="218"/>
      <c r="I810" s="219"/>
      <c r="J810" s="173"/>
    </row>
    <row r="811" spans="1:10" x14ac:dyDescent="0.25">
      <c r="A811" s="106"/>
      <c r="B811" s="107"/>
      <c r="D811" s="151"/>
      <c r="E811" s="142"/>
      <c r="F811" s="218"/>
      <c r="G811" s="218"/>
      <c r="H811" s="218"/>
      <c r="I811" s="218"/>
      <c r="J811" s="173"/>
    </row>
    <row r="812" spans="1:10" x14ac:dyDescent="0.25">
      <c r="A812" s="106"/>
      <c r="B812" s="107"/>
      <c r="D812" s="151"/>
      <c r="E812" s="142"/>
      <c r="F812" s="218"/>
      <c r="G812" s="218"/>
      <c r="H812" s="218"/>
      <c r="I812" s="218"/>
      <c r="J812" s="173"/>
    </row>
    <row r="813" spans="1:10" x14ac:dyDescent="0.25">
      <c r="A813" s="106"/>
      <c r="B813" s="107"/>
      <c r="D813" s="151"/>
      <c r="E813" s="142"/>
      <c r="F813" s="218"/>
      <c r="G813" s="218"/>
      <c r="H813" s="218"/>
      <c r="I813" s="218"/>
      <c r="J813" s="173"/>
    </row>
    <row r="814" spans="1:10" x14ac:dyDescent="0.25">
      <c r="A814" s="106"/>
      <c r="B814" s="107"/>
      <c r="D814" s="151"/>
      <c r="E814" s="142"/>
      <c r="F814" s="218"/>
      <c r="G814" s="229"/>
      <c r="H814" s="218"/>
      <c r="I814" s="218"/>
      <c r="J814" s="173"/>
    </row>
    <row r="815" spans="1:10" x14ac:dyDescent="0.25">
      <c r="A815" s="106"/>
      <c r="B815" s="107"/>
      <c r="D815" s="151"/>
      <c r="E815" s="142"/>
      <c r="F815" s="218"/>
      <c r="G815" s="218"/>
      <c r="H815" s="218"/>
      <c r="I815" s="218"/>
      <c r="J815" s="173"/>
    </row>
    <row r="816" spans="1:10" x14ac:dyDescent="0.25">
      <c r="A816" s="106"/>
      <c r="B816" s="107"/>
      <c r="D816" s="151"/>
      <c r="E816" s="142"/>
      <c r="F816" s="218"/>
      <c r="G816" s="222"/>
      <c r="H816" s="223"/>
      <c r="I816" s="219"/>
      <c r="J816" s="173"/>
    </row>
    <row r="817" spans="1:10" x14ac:dyDescent="0.25">
      <c r="A817" s="106"/>
      <c r="B817" s="107"/>
      <c r="D817" s="151"/>
      <c r="E817" s="142"/>
      <c r="F817" s="218"/>
      <c r="G817" s="218"/>
      <c r="H817" s="218"/>
      <c r="I817" s="218"/>
      <c r="J817" s="173"/>
    </row>
    <row r="818" spans="1:10" x14ac:dyDescent="0.25">
      <c r="A818" s="106"/>
      <c r="B818" s="107"/>
      <c r="D818" s="151"/>
      <c r="E818" s="142"/>
      <c r="F818" s="218"/>
      <c r="G818" s="218"/>
      <c r="H818" s="218"/>
      <c r="I818" s="218"/>
      <c r="J818" s="173"/>
    </row>
    <row r="819" spans="1:10" x14ac:dyDescent="0.25">
      <c r="A819" s="106"/>
      <c r="B819" s="107"/>
      <c r="D819" s="151"/>
      <c r="E819" s="142"/>
      <c r="F819" s="218"/>
      <c r="G819" s="218"/>
      <c r="H819" s="218"/>
      <c r="I819" s="218"/>
      <c r="J819" s="173"/>
    </row>
    <row r="820" spans="1:10" x14ac:dyDescent="0.25">
      <c r="A820" s="106"/>
      <c r="B820" s="107"/>
      <c r="D820" s="151"/>
      <c r="E820" s="142"/>
      <c r="F820" s="218"/>
      <c r="G820" s="218"/>
      <c r="H820" s="218"/>
      <c r="I820" s="218"/>
      <c r="J820" s="173"/>
    </row>
    <row r="821" spans="1:10" x14ac:dyDescent="0.25">
      <c r="A821" s="106"/>
      <c r="B821" s="107"/>
      <c r="D821" s="151"/>
      <c r="E821" s="142"/>
      <c r="F821" s="218"/>
      <c r="G821" s="218"/>
      <c r="H821" s="218"/>
      <c r="I821" s="219"/>
      <c r="J821" s="173"/>
    </row>
    <row r="822" spans="1:10" x14ac:dyDescent="0.25">
      <c r="A822" s="106"/>
      <c r="B822" s="107"/>
      <c r="D822" s="151"/>
      <c r="E822" s="142"/>
      <c r="F822" s="218"/>
      <c r="G822" s="218"/>
      <c r="H822" s="218"/>
      <c r="I822" s="219"/>
      <c r="J822" s="173"/>
    </row>
    <row r="823" spans="1:10" x14ac:dyDescent="0.25">
      <c r="A823" s="106"/>
      <c r="B823" s="107"/>
      <c r="D823" s="151"/>
      <c r="E823" s="142"/>
      <c r="F823" s="218"/>
      <c r="G823" s="218"/>
      <c r="H823" s="218"/>
      <c r="I823" s="219"/>
      <c r="J823" s="173"/>
    </row>
    <row r="824" spans="1:10" x14ac:dyDescent="0.25">
      <c r="A824" s="106"/>
      <c r="B824" s="107"/>
      <c r="D824" s="151"/>
      <c r="E824" s="142"/>
      <c r="F824" s="218"/>
      <c r="G824" s="218"/>
      <c r="H824" s="218"/>
      <c r="I824" s="219"/>
      <c r="J824" s="173"/>
    </row>
    <row r="825" spans="1:10" x14ac:dyDescent="0.25">
      <c r="A825" s="106"/>
      <c r="B825" s="107"/>
      <c r="D825" s="151"/>
      <c r="E825" s="142"/>
      <c r="F825" s="218"/>
      <c r="G825" s="218"/>
      <c r="H825" s="218"/>
      <c r="I825" s="219"/>
      <c r="J825" s="173"/>
    </row>
    <row r="826" spans="1:10" x14ac:dyDescent="0.25">
      <c r="A826" s="106"/>
      <c r="B826" s="107"/>
      <c r="D826" s="151"/>
      <c r="E826" s="142"/>
      <c r="F826" s="218"/>
      <c r="G826" s="218"/>
      <c r="H826" s="218"/>
      <c r="I826" s="219"/>
      <c r="J826" s="173"/>
    </row>
    <row r="827" spans="1:10" x14ac:dyDescent="0.25">
      <c r="A827" s="106"/>
      <c r="B827" s="107"/>
      <c r="D827" s="151"/>
      <c r="E827" s="142"/>
      <c r="F827" s="218"/>
      <c r="G827" s="218"/>
      <c r="H827" s="218"/>
      <c r="I827" s="219"/>
      <c r="J827" s="173"/>
    </row>
    <row r="828" spans="1:10" x14ac:dyDescent="0.25">
      <c r="A828" s="106"/>
      <c r="B828" s="107"/>
      <c r="D828" s="151"/>
      <c r="E828" s="142"/>
      <c r="F828" s="218"/>
      <c r="G828" s="218"/>
      <c r="H828" s="218"/>
      <c r="I828" s="219"/>
      <c r="J828" s="173"/>
    </row>
    <row r="829" spans="1:10" x14ac:dyDescent="0.25">
      <c r="A829" s="106"/>
      <c r="B829" s="107"/>
      <c r="D829" s="151"/>
      <c r="E829" s="142"/>
      <c r="F829" s="218"/>
      <c r="G829" s="218"/>
      <c r="H829" s="218"/>
      <c r="I829" s="219"/>
      <c r="J829" s="173"/>
    </row>
    <row r="830" spans="1:10" x14ac:dyDescent="0.25">
      <c r="A830" s="106"/>
      <c r="B830" s="107"/>
      <c r="D830" s="151"/>
      <c r="E830" s="142"/>
      <c r="F830" s="218"/>
      <c r="G830" s="218"/>
      <c r="H830" s="218"/>
      <c r="I830" s="219"/>
      <c r="J830" s="173"/>
    </row>
    <row r="831" spans="1:10" x14ac:dyDescent="0.25">
      <c r="A831" s="106"/>
      <c r="B831" s="107"/>
      <c r="D831" s="151"/>
      <c r="E831" s="142"/>
      <c r="F831" s="218"/>
      <c r="G831" s="218"/>
      <c r="H831" s="218"/>
      <c r="I831" s="219"/>
      <c r="J831" s="173"/>
    </row>
    <row r="832" spans="1:10" x14ac:dyDescent="0.25">
      <c r="A832" s="106"/>
      <c r="B832" s="107"/>
      <c r="D832" s="151"/>
      <c r="E832" s="142"/>
      <c r="F832" s="218"/>
      <c r="G832" s="218"/>
      <c r="H832" s="218"/>
      <c r="I832" s="219"/>
      <c r="J832" s="173"/>
    </row>
    <row r="833" spans="1:10" x14ac:dyDescent="0.25">
      <c r="A833" s="106"/>
      <c r="B833" s="107"/>
      <c r="D833" s="151"/>
      <c r="E833" s="142"/>
      <c r="F833" s="218"/>
      <c r="G833" s="218"/>
      <c r="H833" s="218"/>
      <c r="I833" s="219"/>
      <c r="J833" s="173"/>
    </row>
    <row r="834" spans="1:10" x14ac:dyDescent="0.25">
      <c r="A834" s="106"/>
      <c r="B834" s="107"/>
      <c r="D834" s="151"/>
      <c r="E834" s="142"/>
      <c r="F834" s="218"/>
      <c r="G834" s="218"/>
      <c r="H834" s="218"/>
      <c r="I834" s="219"/>
      <c r="J834" s="173"/>
    </row>
    <row r="835" spans="1:10" x14ac:dyDescent="0.25">
      <c r="A835" s="106"/>
      <c r="B835" s="107"/>
      <c r="D835" s="151"/>
      <c r="E835" s="142"/>
      <c r="F835" s="218"/>
      <c r="G835" s="218"/>
      <c r="H835" s="218"/>
      <c r="I835" s="219"/>
      <c r="J835" s="173"/>
    </row>
    <row r="836" spans="1:10" x14ac:dyDescent="0.25">
      <c r="A836" s="106"/>
      <c r="B836" s="107"/>
      <c r="D836" s="151"/>
      <c r="E836" s="142"/>
      <c r="F836" s="218"/>
      <c r="G836" s="218"/>
      <c r="H836" s="218"/>
      <c r="I836" s="219"/>
      <c r="J836" s="173"/>
    </row>
    <row r="837" spans="1:10" x14ac:dyDescent="0.25">
      <c r="A837" s="106"/>
      <c r="B837" s="107"/>
      <c r="D837" s="151"/>
      <c r="E837" s="142"/>
      <c r="F837" s="218"/>
      <c r="G837" s="218"/>
      <c r="H837" s="218"/>
      <c r="I837" s="219"/>
      <c r="J837" s="173"/>
    </row>
    <row r="838" spans="1:10" x14ac:dyDescent="0.25">
      <c r="A838" s="106"/>
      <c r="B838" s="107"/>
      <c r="D838" s="151"/>
      <c r="E838" s="142"/>
      <c r="F838" s="218"/>
      <c r="G838" s="218"/>
      <c r="H838" s="218"/>
      <c r="I838" s="219"/>
      <c r="J838" s="173"/>
    </row>
    <row r="839" spans="1:10" x14ac:dyDescent="0.25">
      <c r="A839" s="106"/>
      <c r="B839" s="107"/>
      <c r="D839" s="151"/>
      <c r="E839" s="142"/>
      <c r="F839" s="218"/>
      <c r="G839" s="218"/>
      <c r="H839" s="218"/>
      <c r="I839" s="219"/>
      <c r="J839" s="173"/>
    </row>
    <row r="840" spans="1:10" x14ac:dyDescent="0.25">
      <c r="A840" s="106"/>
      <c r="B840" s="107"/>
      <c r="D840" s="151"/>
      <c r="E840" s="142"/>
      <c r="F840" s="218"/>
      <c r="G840" s="218"/>
      <c r="H840" s="218"/>
      <c r="I840" s="219"/>
      <c r="J840" s="173"/>
    </row>
    <row r="841" spans="1:10" x14ac:dyDescent="0.25">
      <c r="A841" s="106"/>
      <c r="B841" s="107"/>
      <c r="D841" s="151"/>
      <c r="E841" s="142"/>
      <c r="F841" s="218"/>
      <c r="G841" s="218"/>
      <c r="H841" s="218"/>
      <c r="I841" s="219"/>
      <c r="J841" s="173"/>
    </row>
    <row r="842" spans="1:10" x14ac:dyDescent="0.25">
      <c r="A842" s="106"/>
      <c r="B842" s="107"/>
      <c r="D842" s="151"/>
      <c r="E842" s="142"/>
      <c r="F842" s="218"/>
      <c r="G842" s="218"/>
      <c r="H842" s="218"/>
      <c r="I842" s="219"/>
      <c r="J842" s="173"/>
    </row>
    <row r="843" spans="1:10" x14ac:dyDescent="0.25">
      <c r="A843" s="106"/>
      <c r="B843" s="107"/>
      <c r="D843" s="151"/>
      <c r="E843" s="142"/>
      <c r="F843" s="218"/>
      <c r="G843" s="218"/>
      <c r="H843" s="218"/>
      <c r="I843" s="219"/>
      <c r="J843" s="173"/>
    </row>
    <row r="844" spans="1:10" x14ac:dyDescent="0.25">
      <c r="A844" s="106"/>
      <c r="B844" s="107"/>
      <c r="D844" s="151"/>
      <c r="E844" s="142"/>
      <c r="F844" s="218"/>
      <c r="G844" s="218"/>
      <c r="H844" s="218"/>
      <c r="I844" s="219"/>
      <c r="J844" s="173"/>
    </row>
    <row r="845" spans="1:10" x14ac:dyDescent="0.25">
      <c r="A845" s="106"/>
      <c r="B845" s="107"/>
      <c r="D845" s="151"/>
      <c r="E845" s="142"/>
      <c r="F845" s="218"/>
      <c r="G845" s="218"/>
      <c r="H845" s="218"/>
      <c r="I845" s="219"/>
      <c r="J845" s="173"/>
    </row>
    <row r="846" spans="1:10" x14ac:dyDescent="0.25">
      <c r="A846" s="106"/>
      <c r="B846" s="107"/>
      <c r="D846" s="151"/>
      <c r="E846" s="142"/>
      <c r="F846" s="218"/>
      <c r="G846" s="218"/>
      <c r="H846" s="218"/>
      <c r="I846" s="219"/>
      <c r="J846" s="173"/>
    </row>
    <row r="847" spans="1:10" x14ac:dyDescent="0.25">
      <c r="A847" s="106"/>
      <c r="B847" s="107"/>
      <c r="D847" s="151"/>
      <c r="E847" s="142"/>
      <c r="F847" s="218"/>
      <c r="G847" s="218"/>
      <c r="H847" s="218"/>
      <c r="I847" s="219"/>
      <c r="J847" s="173"/>
    </row>
    <row r="848" spans="1:10" x14ac:dyDescent="0.25">
      <c r="A848" s="106"/>
      <c r="B848" s="107"/>
      <c r="D848" s="151"/>
      <c r="E848" s="142"/>
      <c r="F848" s="218"/>
      <c r="G848" s="218"/>
      <c r="H848" s="218"/>
      <c r="I848" s="219"/>
      <c r="J848" s="173"/>
    </row>
    <row r="849" spans="1:10" x14ac:dyDescent="0.25">
      <c r="A849" s="106"/>
      <c r="B849" s="107"/>
      <c r="D849" s="151"/>
      <c r="E849" s="142"/>
      <c r="F849" s="218"/>
      <c r="G849" s="218"/>
      <c r="H849" s="218"/>
      <c r="I849" s="219"/>
      <c r="J849" s="173"/>
    </row>
    <row r="850" spans="1:10" x14ac:dyDescent="0.25">
      <c r="A850" s="106"/>
      <c r="B850" s="107"/>
      <c r="D850" s="151"/>
      <c r="E850" s="142"/>
      <c r="F850" s="218"/>
      <c r="G850" s="218"/>
      <c r="H850" s="218"/>
      <c r="I850" s="219"/>
      <c r="J850" s="173"/>
    </row>
    <row r="851" spans="1:10" x14ac:dyDescent="0.25">
      <c r="A851" s="106"/>
      <c r="B851" s="107"/>
      <c r="D851" s="151"/>
      <c r="E851" s="142"/>
      <c r="F851" s="218"/>
      <c r="G851" s="218"/>
      <c r="H851" s="218"/>
      <c r="I851" s="219"/>
      <c r="J851" s="173"/>
    </row>
    <row r="852" spans="1:10" x14ac:dyDescent="0.25">
      <c r="A852" s="106"/>
      <c r="B852" s="107"/>
      <c r="D852" s="151"/>
      <c r="E852" s="142"/>
      <c r="F852" s="218"/>
      <c r="G852" s="218"/>
      <c r="H852" s="218"/>
      <c r="I852" s="219"/>
      <c r="J852" s="173"/>
    </row>
    <row r="853" spans="1:10" x14ac:dyDescent="0.25">
      <c r="A853" s="106"/>
      <c r="B853" s="107"/>
      <c r="D853" s="151"/>
      <c r="E853" s="142"/>
      <c r="F853" s="218"/>
      <c r="G853" s="218"/>
      <c r="H853" s="218"/>
      <c r="I853" s="219"/>
      <c r="J853" s="173"/>
    </row>
    <row r="854" spans="1:10" x14ac:dyDescent="0.25">
      <c r="A854" s="106"/>
      <c r="B854" s="107"/>
      <c r="D854" s="151"/>
      <c r="E854" s="142"/>
      <c r="F854" s="218"/>
      <c r="G854" s="218"/>
      <c r="H854" s="218"/>
      <c r="I854" s="219"/>
      <c r="J854" s="173"/>
    </row>
    <row r="855" spans="1:10" x14ac:dyDescent="0.25">
      <c r="A855" s="106"/>
      <c r="B855" s="107"/>
      <c r="D855" s="151"/>
      <c r="E855" s="142"/>
      <c r="F855" s="218"/>
      <c r="G855" s="218"/>
      <c r="H855" s="218"/>
      <c r="I855" s="219"/>
      <c r="J855" s="173"/>
    </row>
    <row r="856" spans="1:10" x14ac:dyDescent="0.25">
      <c r="A856" s="106"/>
      <c r="B856" s="107"/>
      <c r="D856" s="151"/>
      <c r="E856" s="142"/>
      <c r="F856" s="218"/>
      <c r="G856" s="218"/>
      <c r="H856" s="218"/>
      <c r="I856" s="219"/>
      <c r="J856" s="173"/>
    </row>
    <row r="857" spans="1:10" x14ac:dyDescent="0.25">
      <c r="A857" s="106"/>
      <c r="B857" s="107"/>
      <c r="D857" s="151"/>
      <c r="E857" s="142"/>
      <c r="F857" s="218"/>
      <c r="G857" s="218"/>
      <c r="H857" s="218"/>
      <c r="I857" s="219"/>
      <c r="J857" s="173"/>
    </row>
    <row r="858" spans="1:10" x14ac:dyDescent="0.25">
      <c r="A858" s="106"/>
      <c r="B858" s="107"/>
      <c r="D858" s="151"/>
      <c r="E858" s="142"/>
      <c r="F858" s="218"/>
      <c r="G858" s="218"/>
      <c r="H858" s="218"/>
      <c r="I858" s="219"/>
      <c r="J858" s="173"/>
    </row>
    <row r="859" spans="1:10" x14ac:dyDescent="0.25">
      <c r="A859" s="106"/>
      <c r="B859" s="107"/>
      <c r="D859" s="151"/>
      <c r="E859" s="142"/>
      <c r="F859" s="218"/>
      <c r="G859" s="218"/>
      <c r="H859" s="218"/>
      <c r="I859" s="219"/>
      <c r="J859" s="173"/>
    </row>
    <row r="860" spans="1:10" x14ac:dyDescent="0.25">
      <c r="A860" s="106"/>
      <c r="B860" s="107"/>
      <c r="D860" s="151"/>
      <c r="E860" s="142"/>
      <c r="F860" s="218"/>
      <c r="G860" s="218"/>
      <c r="H860" s="218"/>
      <c r="I860" s="219"/>
      <c r="J860" s="173"/>
    </row>
    <row r="861" spans="1:10" x14ac:dyDescent="0.25">
      <c r="A861" s="106"/>
      <c r="B861" s="107"/>
      <c r="D861" s="151"/>
      <c r="E861" s="142"/>
      <c r="F861" s="218"/>
      <c r="G861" s="218"/>
      <c r="H861" s="218"/>
      <c r="I861" s="219"/>
      <c r="J861" s="173"/>
    </row>
    <row r="862" spans="1:10" x14ac:dyDescent="0.25">
      <c r="A862" s="106"/>
      <c r="B862" s="107"/>
      <c r="D862" s="151"/>
      <c r="E862" s="142"/>
      <c r="F862" s="218"/>
      <c r="G862" s="218"/>
      <c r="H862" s="218"/>
      <c r="I862" s="219"/>
      <c r="J862" s="173"/>
    </row>
    <row r="863" spans="1:10" x14ac:dyDescent="0.25">
      <c r="A863" s="106"/>
      <c r="B863" s="107"/>
      <c r="D863" s="151"/>
      <c r="E863" s="142"/>
      <c r="F863" s="218"/>
      <c r="G863" s="218"/>
      <c r="H863" s="218"/>
      <c r="I863" s="219"/>
      <c r="J863" s="173"/>
    </row>
    <row r="864" spans="1:10" x14ac:dyDescent="0.25">
      <c r="A864" s="106"/>
      <c r="B864" s="107"/>
      <c r="D864" s="151"/>
      <c r="E864" s="142"/>
      <c r="F864" s="218"/>
      <c r="G864" s="218"/>
      <c r="H864" s="218"/>
      <c r="I864" s="219"/>
      <c r="J864" s="173"/>
    </row>
    <row r="865" spans="1:10" x14ac:dyDescent="0.25">
      <c r="A865" s="106"/>
      <c r="B865" s="107"/>
      <c r="D865" s="151"/>
      <c r="E865" s="142"/>
      <c r="F865" s="218"/>
      <c r="G865" s="218"/>
      <c r="H865" s="218"/>
      <c r="I865" s="219"/>
      <c r="J865" s="173"/>
    </row>
    <row r="866" spans="1:10" x14ac:dyDescent="0.25">
      <c r="A866" s="106"/>
      <c r="B866" s="107"/>
      <c r="D866" s="151"/>
      <c r="E866" s="142"/>
      <c r="F866" s="218"/>
      <c r="G866" s="218"/>
      <c r="H866" s="218"/>
      <c r="I866" s="219"/>
      <c r="J866" s="173"/>
    </row>
    <row r="867" spans="1:10" x14ac:dyDescent="0.25">
      <c r="A867" s="106"/>
      <c r="B867" s="107"/>
      <c r="D867" s="151"/>
      <c r="E867" s="142"/>
      <c r="F867" s="218"/>
      <c r="G867" s="218"/>
      <c r="H867" s="218"/>
      <c r="I867" s="219"/>
      <c r="J867" s="173"/>
    </row>
    <row r="868" spans="1:10" x14ac:dyDescent="0.25">
      <c r="A868" s="106"/>
      <c r="B868" s="107"/>
      <c r="D868" s="151"/>
      <c r="E868" s="142"/>
      <c r="F868" s="218"/>
      <c r="G868" s="218"/>
      <c r="H868" s="218"/>
      <c r="I868" s="219"/>
      <c r="J868" s="173"/>
    </row>
    <row r="869" spans="1:10" x14ac:dyDescent="0.25">
      <c r="A869" s="106"/>
      <c r="B869" s="107"/>
      <c r="D869" s="151"/>
      <c r="E869" s="142"/>
      <c r="F869" s="218"/>
      <c r="G869" s="218"/>
      <c r="H869" s="218"/>
      <c r="I869" s="219"/>
      <c r="J869" s="173"/>
    </row>
    <row r="870" spans="1:10" x14ac:dyDescent="0.25">
      <c r="A870" s="106"/>
      <c r="B870" s="107"/>
      <c r="D870" s="151"/>
      <c r="E870" s="142"/>
      <c r="F870" s="218"/>
      <c r="G870" s="218"/>
      <c r="H870" s="218"/>
      <c r="I870" s="219"/>
      <c r="J870" s="173"/>
    </row>
    <row r="871" spans="1:10" x14ac:dyDescent="0.25">
      <c r="A871" s="106"/>
      <c r="B871" s="107"/>
      <c r="D871" s="151"/>
      <c r="E871" s="142"/>
      <c r="F871" s="218"/>
      <c r="G871" s="218"/>
      <c r="H871" s="218"/>
      <c r="I871" s="219"/>
      <c r="J871" s="173"/>
    </row>
    <row r="872" spans="1:10" x14ac:dyDescent="0.25">
      <c r="A872" s="106"/>
      <c r="B872" s="107"/>
      <c r="D872" s="151"/>
      <c r="E872" s="142"/>
      <c r="F872" s="218"/>
      <c r="G872" s="218"/>
      <c r="H872" s="218"/>
      <c r="I872" s="219"/>
      <c r="J872" s="173"/>
    </row>
    <row r="873" spans="1:10" x14ac:dyDescent="0.25">
      <c r="A873" s="106"/>
      <c r="B873" s="107"/>
      <c r="D873" s="151"/>
      <c r="E873" s="142"/>
      <c r="F873" s="218"/>
      <c r="G873" s="218"/>
      <c r="H873" s="218"/>
      <c r="I873" s="219"/>
      <c r="J873" s="173"/>
    </row>
    <row r="874" spans="1:10" x14ac:dyDescent="0.25">
      <c r="A874" s="106"/>
      <c r="B874" s="107"/>
      <c r="D874" s="151"/>
      <c r="E874" s="142"/>
      <c r="F874" s="218"/>
      <c r="G874" s="218"/>
      <c r="H874" s="218"/>
      <c r="I874" s="219"/>
      <c r="J874" s="173"/>
    </row>
    <row r="875" spans="1:10" x14ac:dyDescent="0.25">
      <c r="A875" s="106"/>
      <c r="B875" s="107"/>
      <c r="D875" s="151"/>
      <c r="E875" s="142"/>
      <c r="F875" s="218"/>
      <c r="G875" s="226"/>
      <c r="H875" s="227"/>
      <c r="I875" s="219"/>
      <c r="J875" s="173"/>
    </row>
    <row r="876" spans="1:10" x14ac:dyDescent="0.25">
      <c r="A876" s="106"/>
      <c r="B876" s="107"/>
      <c r="D876" s="151"/>
      <c r="E876" s="142"/>
      <c r="F876" s="218"/>
      <c r="G876" s="226"/>
      <c r="H876" s="227"/>
      <c r="I876" s="219"/>
      <c r="J876" s="173"/>
    </row>
    <row r="877" spans="1:10" x14ac:dyDescent="0.25">
      <c r="A877" s="106"/>
      <c r="B877" s="107"/>
      <c r="D877" s="151"/>
      <c r="E877" s="142"/>
      <c r="F877" s="218"/>
      <c r="G877" s="218"/>
      <c r="H877" s="218"/>
      <c r="I877" s="219"/>
      <c r="J877" s="173"/>
    </row>
    <row r="878" spans="1:10" x14ac:dyDescent="0.25">
      <c r="A878" s="106"/>
      <c r="B878" s="107"/>
      <c r="D878" s="151"/>
      <c r="E878" s="142"/>
      <c r="F878" s="218"/>
      <c r="G878" s="218"/>
      <c r="H878" s="218"/>
      <c r="I878" s="219"/>
      <c r="J878" s="173"/>
    </row>
    <row r="879" spans="1:10" x14ac:dyDescent="0.25">
      <c r="A879" s="106"/>
      <c r="B879" s="107"/>
      <c r="D879" s="151"/>
      <c r="E879" s="142"/>
      <c r="F879" s="218"/>
      <c r="G879" s="218"/>
      <c r="H879" s="218"/>
      <c r="I879" s="219"/>
      <c r="J879" s="173"/>
    </row>
    <row r="880" spans="1:10" x14ac:dyDescent="0.25">
      <c r="A880" s="106"/>
      <c r="B880" s="107"/>
      <c r="D880" s="151"/>
      <c r="E880" s="142"/>
      <c r="F880" s="218"/>
      <c r="G880" s="218"/>
      <c r="H880" s="218"/>
      <c r="I880" s="219"/>
      <c r="J880" s="173"/>
    </row>
    <row r="881" spans="1:10" x14ac:dyDescent="0.25">
      <c r="A881" s="106"/>
      <c r="B881" s="107"/>
      <c r="D881" s="151"/>
      <c r="E881" s="142"/>
      <c r="F881" s="218"/>
      <c r="G881" s="226"/>
      <c r="H881" s="227"/>
      <c r="I881" s="219"/>
      <c r="J881" s="173"/>
    </row>
    <row r="882" spans="1:10" x14ac:dyDescent="0.25">
      <c r="A882" s="106"/>
      <c r="B882" s="107"/>
      <c r="D882" s="151"/>
      <c r="E882" s="142"/>
      <c r="F882" s="218"/>
      <c r="G882" s="226"/>
      <c r="H882" s="227"/>
      <c r="I882" s="219"/>
      <c r="J882" s="173"/>
    </row>
    <row r="883" spans="1:10" x14ac:dyDescent="0.25">
      <c r="A883" s="106"/>
      <c r="B883" s="107"/>
      <c r="D883" s="151"/>
      <c r="E883" s="142"/>
      <c r="F883" s="218"/>
      <c r="G883" s="226"/>
      <c r="H883" s="227"/>
      <c r="I883" s="219"/>
      <c r="J883" s="173"/>
    </row>
    <row r="884" spans="1:10" x14ac:dyDescent="0.25">
      <c r="A884" s="106"/>
      <c r="B884" s="107"/>
      <c r="D884" s="151"/>
      <c r="E884" s="142"/>
      <c r="F884" s="218"/>
      <c r="G884" s="218"/>
      <c r="H884" s="218"/>
      <c r="I884" s="219"/>
      <c r="J884" s="173"/>
    </row>
    <row r="885" spans="1:10" x14ac:dyDescent="0.25">
      <c r="A885" s="106"/>
      <c r="B885" s="107"/>
      <c r="D885" s="151"/>
      <c r="E885" s="142"/>
      <c r="F885" s="218"/>
      <c r="G885" s="218"/>
      <c r="H885" s="218"/>
      <c r="I885" s="219"/>
      <c r="J885" s="173"/>
    </row>
    <row r="886" spans="1:10" x14ac:dyDescent="0.25">
      <c r="A886" s="106"/>
      <c r="B886" s="107"/>
      <c r="D886" s="151"/>
      <c r="E886" s="142"/>
      <c r="F886" s="218"/>
      <c r="G886" s="218"/>
      <c r="H886" s="218"/>
      <c r="I886" s="219"/>
      <c r="J886" s="173"/>
    </row>
    <row r="887" spans="1:10" x14ac:dyDescent="0.25">
      <c r="A887" s="106"/>
      <c r="B887" s="107"/>
      <c r="D887" s="151"/>
      <c r="E887" s="142"/>
      <c r="F887" s="218"/>
      <c r="G887" s="218"/>
      <c r="H887" s="218"/>
      <c r="I887" s="219"/>
      <c r="J887" s="173"/>
    </row>
    <row r="888" spans="1:10" x14ac:dyDescent="0.25">
      <c r="A888" s="106"/>
      <c r="B888" s="107"/>
      <c r="D888" s="151"/>
      <c r="E888" s="142"/>
      <c r="F888" s="218"/>
      <c r="G888" s="218"/>
      <c r="H888" s="218"/>
      <c r="I888" s="219"/>
      <c r="J888" s="173"/>
    </row>
    <row r="889" spans="1:10" x14ac:dyDescent="0.25">
      <c r="A889" s="106"/>
      <c r="B889" s="107"/>
      <c r="D889" s="151"/>
      <c r="E889" s="142"/>
      <c r="F889" s="218"/>
      <c r="G889" s="227"/>
      <c r="H889" s="218"/>
      <c r="I889" s="219"/>
      <c r="J889" s="173"/>
    </row>
    <row r="890" spans="1:10" x14ac:dyDescent="0.25">
      <c r="A890" s="106"/>
      <c r="B890" s="107"/>
      <c r="D890" s="151"/>
      <c r="E890" s="142"/>
      <c r="F890" s="218"/>
      <c r="G890" s="218"/>
      <c r="H890" s="218"/>
      <c r="I890" s="219"/>
      <c r="J890" s="173"/>
    </row>
    <row r="891" spans="1:10" x14ac:dyDescent="0.25">
      <c r="A891" s="106"/>
      <c r="B891" s="107"/>
      <c r="D891" s="151"/>
      <c r="E891" s="142"/>
      <c r="F891" s="218"/>
      <c r="G891" s="222"/>
      <c r="H891" s="223"/>
      <c r="I891" s="219"/>
      <c r="J891" s="173"/>
    </row>
    <row r="892" spans="1:10" x14ac:dyDescent="0.25">
      <c r="A892" s="106"/>
      <c r="B892" s="107"/>
      <c r="D892" s="151"/>
      <c r="E892" s="142"/>
      <c r="F892" s="218"/>
      <c r="G892" s="218"/>
      <c r="H892" s="218"/>
      <c r="I892" s="219"/>
      <c r="J892" s="173"/>
    </row>
    <row r="893" spans="1:10" x14ac:dyDescent="0.25">
      <c r="A893" s="106"/>
      <c r="B893" s="107"/>
      <c r="D893" s="151"/>
      <c r="E893" s="142"/>
      <c r="F893" s="218"/>
      <c r="G893" s="218"/>
      <c r="H893" s="218"/>
      <c r="I893" s="219"/>
      <c r="J893" s="173"/>
    </row>
    <row r="894" spans="1:10" x14ac:dyDescent="0.25">
      <c r="A894" s="106"/>
      <c r="B894" s="107"/>
      <c r="D894" s="151"/>
      <c r="E894" s="142"/>
      <c r="F894" s="218"/>
      <c r="G894" s="218"/>
      <c r="H894" s="218"/>
      <c r="I894" s="219"/>
      <c r="J894" s="173"/>
    </row>
    <row r="895" spans="1:10" x14ac:dyDescent="0.25">
      <c r="A895" s="106"/>
      <c r="B895" s="107"/>
      <c r="D895" s="151"/>
      <c r="E895" s="142"/>
      <c r="F895" s="218"/>
      <c r="G895" s="218"/>
      <c r="H895" s="218"/>
      <c r="I895" s="219"/>
      <c r="J895" s="173"/>
    </row>
    <row r="896" spans="1:10" x14ac:dyDescent="0.25">
      <c r="A896" s="106"/>
      <c r="B896" s="107"/>
      <c r="D896" s="151"/>
      <c r="E896" s="142"/>
      <c r="F896" s="218"/>
      <c r="G896" s="218"/>
      <c r="H896" s="218"/>
      <c r="I896" s="219"/>
      <c r="J896" s="173"/>
    </row>
    <row r="897" spans="1:10" x14ac:dyDescent="0.25">
      <c r="A897" s="106"/>
      <c r="B897" s="107"/>
      <c r="D897" s="151"/>
      <c r="E897" s="142"/>
      <c r="F897" s="218"/>
      <c r="G897" s="218"/>
      <c r="H897" s="218"/>
      <c r="I897" s="219"/>
      <c r="J897" s="173"/>
    </row>
    <row r="898" spans="1:10" x14ac:dyDescent="0.25">
      <c r="A898" s="106"/>
      <c r="B898" s="107"/>
      <c r="D898" s="151"/>
      <c r="E898" s="142"/>
      <c r="F898" s="218"/>
      <c r="G898" s="218"/>
      <c r="H898" s="218"/>
      <c r="I898" s="219"/>
      <c r="J898" s="173"/>
    </row>
    <row r="899" spans="1:10" x14ac:dyDescent="0.25">
      <c r="A899" s="106"/>
      <c r="B899" s="107"/>
      <c r="D899" s="151"/>
      <c r="E899" s="142"/>
      <c r="F899" s="218"/>
      <c r="G899" s="218"/>
      <c r="H899" s="218"/>
      <c r="I899" s="219"/>
      <c r="J899" s="173"/>
    </row>
    <row r="900" spans="1:10" x14ac:dyDescent="0.25">
      <c r="A900" s="106"/>
      <c r="B900" s="107"/>
      <c r="D900" s="151"/>
      <c r="E900" s="142"/>
      <c r="F900" s="218"/>
      <c r="G900" s="218"/>
      <c r="H900" s="218"/>
      <c r="I900" s="219"/>
      <c r="J900" s="173"/>
    </row>
    <row r="901" spans="1:10" x14ac:dyDescent="0.25">
      <c r="A901" s="106"/>
      <c r="B901" s="107"/>
      <c r="D901" s="151"/>
      <c r="E901" s="142"/>
      <c r="F901" s="218"/>
      <c r="G901" s="218"/>
      <c r="H901" s="218"/>
      <c r="I901" s="219"/>
      <c r="J901" s="173"/>
    </row>
    <row r="902" spans="1:10" x14ac:dyDescent="0.25">
      <c r="A902" s="106"/>
      <c r="B902" s="107"/>
      <c r="D902" s="151"/>
      <c r="E902" s="142"/>
      <c r="F902" s="218"/>
      <c r="G902" s="218"/>
      <c r="H902" s="218"/>
      <c r="I902" s="219"/>
      <c r="J902" s="173"/>
    </row>
    <row r="903" spans="1:10" x14ac:dyDescent="0.25">
      <c r="A903" s="106"/>
      <c r="B903" s="107"/>
      <c r="D903" s="151"/>
      <c r="E903" s="142"/>
      <c r="F903" s="218"/>
      <c r="G903" s="218"/>
      <c r="H903" s="218"/>
      <c r="I903" s="219"/>
      <c r="J903" s="173"/>
    </row>
    <row r="904" spans="1:10" x14ac:dyDescent="0.25">
      <c r="A904" s="106"/>
      <c r="B904" s="107"/>
      <c r="D904" s="151"/>
      <c r="E904" s="142"/>
      <c r="F904" s="218"/>
      <c r="G904" s="218"/>
      <c r="H904" s="218"/>
      <c r="I904" s="219"/>
      <c r="J904" s="173"/>
    </row>
    <row r="905" spans="1:10" x14ac:dyDescent="0.25">
      <c r="A905" s="106"/>
      <c r="B905" s="107"/>
      <c r="D905" s="151"/>
      <c r="E905" s="142"/>
      <c r="F905" s="218"/>
      <c r="G905" s="218"/>
      <c r="H905" s="218"/>
      <c r="I905" s="219"/>
      <c r="J905" s="173"/>
    </row>
    <row r="906" spans="1:10" x14ac:dyDescent="0.25">
      <c r="A906" s="106"/>
      <c r="B906" s="107"/>
      <c r="D906" s="151"/>
      <c r="E906" s="142"/>
      <c r="F906" s="218"/>
      <c r="G906" s="218"/>
      <c r="H906" s="218"/>
      <c r="I906" s="219"/>
      <c r="J906" s="173"/>
    </row>
    <row r="907" spans="1:10" x14ac:dyDescent="0.25">
      <c r="A907" s="106"/>
      <c r="B907" s="107"/>
      <c r="D907" s="151"/>
      <c r="E907" s="142"/>
      <c r="F907" s="218"/>
      <c r="G907" s="218"/>
      <c r="H907" s="218"/>
      <c r="I907" s="219"/>
      <c r="J907" s="173"/>
    </row>
    <row r="908" spans="1:10" x14ac:dyDescent="0.25">
      <c r="A908" s="106"/>
      <c r="B908" s="107"/>
      <c r="D908" s="151"/>
      <c r="E908" s="142"/>
      <c r="F908" s="218"/>
      <c r="G908" s="218"/>
      <c r="H908" s="218"/>
      <c r="I908" s="219"/>
      <c r="J908" s="173"/>
    </row>
    <row r="909" spans="1:10" x14ac:dyDescent="0.25">
      <c r="A909" s="106"/>
      <c r="B909" s="107"/>
      <c r="D909" s="151"/>
      <c r="E909" s="142"/>
      <c r="F909" s="218"/>
      <c r="G909" s="218"/>
      <c r="H909" s="218"/>
      <c r="I909" s="219"/>
      <c r="J909" s="173"/>
    </row>
    <row r="910" spans="1:10" x14ac:dyDescent="0.25">
      <c r="A910" s="106"/>
      <c r="B910" s="107"/>
      <c r="D910" s="151"/>
      <c r="E910" s="142"/>
      <c r="F910" s="218"/>
      <c r="G910" s="227"/>
      <c r="H910" s="218"/>
      <c r="I910" s="219"/>
      <c r="J910" s="173"/>
    </row>
    <row r="911" spans="1:10" x14ac:dyDescent="0.25">
      <c r="A911" s="106"/>
      <c r="B911" s="107"/>
      <c r="D911" s="151"/>
      <c r="E911" s="142"/>
      <c r="F911" s="218"/>
      <c r="G911" s="218"/>
      <c r="H911" s="218"/>
      <c r="I911" s="219"/>
      <c r="J911" s="173"/>
    </row>
    <row r="912" spans="1:10" x14ac:dyDescent="0.25">
      <c r="A912" s="106"/>
      <c r="B912" s="107"/>
      <c r="D912" s="151"/>
      <c r="E912" s="142"/>
      <c r="F912" s="218"/>
      <c r="G912" s="229"/>
      <c r="H912" s="218"/>
      <c r="I912" s="219"/>
      <c r="J912" s="173"/>
    </row>
    <row r="913" spans="1:10" x14ac:dyDescent="0.25">
      <c r="A913" s="106"/>
      <c r="B913" s="107"/>
      <c r="D913" s="151"/>
      <c r="E913" s="142"/>
      <c r="F913" s="218"/>
      <c r="G913" s="218"/>
      <c r="H913" s="218"/>
      <c r="I913" s="219"/>
      <c r="J913" s="173"/>
    </row>
    <row r="914" spans="1:10" x14ac:dyDescent="0.25">
      <c r="A914" s="106"/>
      <c r="B914" s="107"/>
      <c r="D914" s="151"/>
      <c r="E914" s="142"/>
      <c r="F914" s="218"/>
      <c r="G914" s="218"/>
      <c r="H914" s="218"/>
      <c r="I914" s="219"/>
      <c r="J914" s="173"/>
    </row>
    <row r="915" spans="1:10" x14ac:dyDescent="0.25">
      <c r="A915" s="106"/>
      <c r="B915" s="107"/>
      <c r="D915" s="151"/>
      <c r="E915" s="142"/>
      <c r="F915" s="218"/>
      <c r="G915" s="218"/>
      <c r="H915" s="218"/>
      <c r="I915" s="219"/>
      <c r="J915" s="173"/>
    </row>
    <row r="916" spans="1:10" x14ac:dyDescent="0.25">
      <c r="A916" s="106"/>
      <c r="B916" s="107"/>
      <c r="D916" s="151"/>
      <c r="E916" s="142"/>
      <c r="F916" s="218"/>
      <c r="G916" s="218"/>
      <c r="H916" s="218"/>
      <c r="I916" s="219"/>
      <c r="J916" s="173"/>
    </row>
    <row r="917" spans="1:10" x14ac:dyDescent="0.25">
      <c r="A917" s="106"/>
      <c r="B917" s="107"/>
      <c r="D917" s="151"/>
      <c r="E917" s="142"/>
      <c r="F917" s="218"/>
      <c r="G917" s="218"/>
      <c r="H917" s="218"/>
      <c r="I917" s="219"/>
      <c r="J917" s="173"/>
    </row>
    <row r="918" spans="1:10" x14ac:dyDescent="0.25">
      <c r="A918" s="106"/>
      <c r="B918" s="107"/>
      <c r="D918" s="151"/>
      <c r="E918" s="142"/>
      <c r="F918" s="218"/>
      <c r="G918" s="226"/>
      <c r="H918" s="227"/>
      <c r="I918" s="219"/>
      <c r="J918" s="173"/>
    </row>
    <row r="919" spans="1:10" x14ac:dyDescent="0.25">
      <c r="A919" s="106"/>
      <c r="B919" s="107"/>
      <c r="D919" s="151"/>
      <c r="E919" s="142"/>
      <c r="F919" s="218"/>
      <c r="G919" s="222"/>
      <c r="H919" s="223"/>
      <c r="I919" s="219"/>
      <c r="J919" s="173"/>
    </row>
    <row r="920" spans="1:10" x14ac:dyDescent="0.25">
      <c r="A920" s="106"/>
      <c r="B920" s="107"/>
      <c r="D920" s="151"/>
      <c r="E920" s="142"/>
      <c r="F920" s="218"/>
      <c r="G920" s="226"/>
      <c r="H920" s="227"/>
      <c r="I920" s="219"/>
      <c r="J920" s="173"/>
    </row>
    <row r="921" spans="1:10" x14ac:dyDescent="0.25">
      <c r="A921" s="106"/>
      <c r="B921" s="107"/>
      <c r="D921" s="151"/>
      <c r="E921" s="142"/>
      <c r="F921" s="218"/>
      <c r="G921" s="218"/>
      <c r="H921" s="218"/>
      <c r="I921" s="219"/>
      <c r="J921" s="173"/>
    </row>
    <row r="922" spans="1:10" x14ac:dyDescent="0.25">
      <c r="A922" s="106"/>
      <c r="B922" s="107"/>
      <c r="D922" s="151"/>
      <c r="E922" s="142"/>
      <c r="F922" s="218"/>
      <c r="G922" s="218"/>
      <c r="H922" s="218"/>
      <c r="I922" s="219"/>
      <c r="J922" s="173"/>
    </row>
    <row r="923" spans="1:10" x14ac:dyDescent="0.25">
      <c r="A923" s="106"/>
      <c r="B923" s="107"/>
      <c r="D923" s="151"/>
      <c r="E923" s="142"/>
      <c r="F923" s="218"/>
      <c r="G923" s="218"/>
      <c r="H923" s="218"/>
      <c r="I923" s="219"/>
      <c r="J923" s="173"/>
    </row>
    <row r="924" spans="1:10" x14ac:dyDescent="0.25">
      <c r="A924" s="106"/>
      <c r="B924" s="107"/>
      <c r="D924" s="151"/>
      <c r="E924" s="142"/>
      <c r="F924" s="218"/>
      <c r="G924" s="218"/>
      <c r="H924" s="218"/>
      <c r="I924" s="219"/>
      <c r="J924" s="173"/>
    </row>
    <row r="925" spans="1:10" x14ac:dyDescent="0.25">
      <c r="A925" s="106"/>
      <c r="B925" s="107"/>
      <c r="D925" s="151"/>
      <c r="E925" s="142"/>
      <c r="F925" s="218"/>
      <c r="G925" s="218"/>
      <c r="H925" s="218"/>
      <c r="I925" s="219"/>
      <c r="J925" s="173"/>
    </row>
    <row r="926" spans="1:10" x14ac:dyDescent="0.25">
      <c r="A926" s="106"/>
      <c r="B926" s="107"/>
      <c r="D926" s="151"/>
      <c r="E926" s="142"/>
      <c r="F926" s="218"/>
      <c r="G926" s="218"/>
      <c r="H926" s="218"/>
      <c r="I926" s="219"/>
      <c r="J926" s="173"/>
    </row>
    <row r="927" spans="1:10" x14ac:dyDescent="0.25">
      <c r="A927" s="106"/>
      <c r="B927" s="107"/>
      <c r="D927" s="151"/>
      <c r="E927" s="142"/>
      <c r="F927" s="218"/>
      <c r="G927" s="218"/>
      <c r="H927" s="218"/>
      <c r="I927" s="219"/>
      <c r="J927" s="173"/>
    </row>
    <row r="928" spans="1:10" x14ac:dyDescent="0.25">
      <c r="A928" s="106"/>
      <c r="B928" s="107"/>
      <c r="D928" s="151"/>
      <c r="E928" s="142"/>
      <c r="F928" s="218"/>
      <c r="G928" s="218"/>
      <c r="H928" s="218"/>
      <c r="I928" s="219"/>
      <c r="J928" s="173"/>
    </row>
    <row r="929" spans="1:10" x14ac:dyDescent="0.25">
      <c r="A929" s="106"/>
      <c r="B929" s="107"/>
      <c r="D929" s="151"/>
      <c r="E929" s="142"/>
      <c r="F929" s="218"/>
      <c r="G929" s="218"/>
      <c r="H929" s="218"/>
      <c r="I929" s="219"/>
      <c r="J929" s="173"/>
    </row>
    <row r="930" spans="1:10" x14ac:dyDescent="0.25">
      <c r="A930" s="106"/>
      <c r="B930" s="107"/>
      <c r="D930" s="151"/>
      <c r="E930" s="119"/>
      <c r="F930" s="218"/>
      <c r="G930" s="222"/>
      <c r="H930" s="218"/>
      <c r="I930" s="219"/>
      <c r="J930" s="173"/>
    </row>
    <row r="931" spans="1:10" x14ac:dyDescent="0.25">
      <c r="A931" s="106"/>
      <c r="B931" s="107"/>
      <c r="D931" s="151"/>
      <c r="E931" s="119"/>
      <c r="F931" s="218"/>
      <c r="G931" s="221"/>
      <c r="H931" s="218"/>
      <c r="I931" s="219"/>
      <c r="J931" s="173"/>
    </row>
    <row r="932" spans="1:10" x14ac:dyDescent="0.25">
      <c r="A932" s="106"/>
      <c r="B932" s="107"/>
      <c r="D932" s="151"/>
      <c r="E932" s="119"/>
      <c r="F932" s="218"/>
      <c r="G932" s="221"/>
      <c r="H932" s="218"/>
      <c r="I932" s="219"/>
      <c r="J932" s="173"/>
    </row>
    <row r="933" spans="1:10" x14ac:dyDescent="0.25">
      <c r="A933" s="106"/>
      <c r="B933" s="107"/>
      <c r="D933" s="151"/>
      <c r="E933" s="142"/>
      <c r="F933" s="218"/>
      <c r="G933" s="218"/>
      <c r="H933" s="218"/>
      <c r="I933" s="219"/>
      <c r="J933" s="173"/>
    </row>
    <row r="934" spans="1:10" x14ac:dyDescent="0.25">
      <c r="A934" s="106"/>
      <c r="B934" s="107"/>
      <c r="D934" s="151"/>
      <c r="E934" s="142"/>
      <c r="F934" s="218"/>
      <c r="G934" s="218"/>
      <c r="H934" s="218"/>
      <c r="I934" s="219"/>
      <c r="J934" s="173"/>
    </row>
    <row r="935" spans="1:10" x14ac:dyDescent="0.25">
      <c r="A935" s="106"/>
      <c r="B935" s="107"/>
      <c r="D935" s="151"/>
      <c r="E935" s="142"/>
      <c r="F935" s="218"/>
      <c r="G935" s="218"/>
      <c r="H935" s="218"/>
      <c r="I935" s="219"/>
      <c r="J935" s="173"/>
    </row>
    <row r="936" spans="1:10" x14ac:dyDescent="0.25">
      <c r="A936" s="106"/>
      <c r="B936" s="107"/>
      <c r="D936" s="151"/>
      <c r="E936" s="119"/>
      <c r="F936" s="218"/>
      <c r="G936" s="218"/>
      <c r="H936" s="218"/>
      <c r="I936" s="219"/>
      <c r="J936" s="173"/>
    </row>
    <row r="937" spans="1:10" x14ac:dyDescent="0.25">
      <c r="A937" s="106"/>
      <c r="B937" s="107"/>
      <c r="D937" s="151"/>
      <c r="E937" s="119"/>
      <c r="F937" s="218"/>
      <c r="G937" s="218"/>
      <c r="H937" s="218"/>
      <c r="I937" s="219"/>
      <c r="J937" s="173"/>
    </row>
    <row r="938" spans="1:10" x14ac:dyDescent="0.25">
      <c r="A938" s="106"/>
      <c r="B938" s="107"/>
      <c r="D938" s="151"/>
      <c r="E938" s="119"/>
      <c r="F938" s="218"/>
      <c r="G938" s="218"/>
      <c r="H938" s="218"/>
      <c r="I938" s="219"/>
      <c r="J938" s="173"/>
    </row>
    <row r="939" spans="1:10" x14ac:dyDescent="0.25">
      <c r="A939" s="106"/>
      <c r="B939" s="107"/>
      <c r="D939" s="151"/>
      <c r="E939" s="119"/>
      <c r="F939" s="218"/>
      <c r="G939" s="221"/>
      <c r="H939" s="218"/>
      <c r="I939" s="219"/>
      <c r="J939" s="173"/>
    </row>
    <row r="940" spans="1:10" x14ac:dyDescent="0.25">
      <c r="A940" s="106"/>
      <c r="B940" s="107"/>
      <c r="D940" s="151"/>
      <c r="E940" s="119"/>
      <c r="F940" s="218"/>
      <c r="G940" s="224"/>
      <c r="H940" s="218"/>
      <c r="I940" s="219"/>
      <c r="J940" s="173"/>
    </row>
    <row r="941" spans="1:10" x14ac:dyDescent="0.25">
      <c r="A941" s="106"/>
      <c r="B941" s="107"/>
      <c r="D941" s="151"/>
      <c r="E941" s="119"/>
      <c r="F941" s="218"/>
      <c r="G941" s="221"/>
      <c r="H941" s="218"/>
      <c r="I941" s="219"/>
      <c r="J941" s="173"/>
    </row>
    <row r="942" spans="1:10" x14ac:dyDescent="0.25">
      <c r="A942" s="106"/>
      <c r="B942" s="107"/>
      <c r="D942" s="151"/>
      <c r="E942" s="119"/>
      <c r="F942" s="218"/>
      <c r="G942" s="218"/>
      <c r="H942" s="218"/>
      <c r="I942" s="219"/>
      <c r="J942" s="173"/>
    </row>
    <row r="943" spans="1:10" x14ac:dyDescent="0.25">
      <c r="A943" s="106"/>
      <c r="B943" s="107"/>
      <c r="D943" s="151"/>
      <c r="E943" s="142"/>
      <c r="F943" s="218"/>
      <c r="G943" s="218"/>
      <c r="H943" s="218"/>
      <c r="I943" s="219"/>
      <c r="J943" s="173"/>
    </row>
    <row r="944" spans="1:10" x14ac:dyDescent="0.25">
      <c r="A944" s="106"/>
      <c r="B944" s="107"/>
      <c r="D944" s="151"/>
      <c r="E944" s="142"/>
      <c r="F944" s="218"/>
      <c r="G944" s="226"/>
      <c r="H944" s="227"/>
      <c r="I944" s="219"/>
      <c r="J944" s="173"/>
    </row>
    <row r="945" spans="1:10" x14ac:dyDescent="0.25">
      <c r="A945" s="106"/>
      <c r="B945" s="107"/>
      <c r="D945" s="151"/>
      <c r="E945" s="142"/>
      <c r="F945" s="218"/>
      <c r="G945" s="222"/>
      <c r="H945" s="223"/>
      <c r="I945" s="219"/>
      <c r="J945" s="173"/>
    </row>
    <row r="946" spans="1:10" x14ac:dyDescent="0.25">
      <c r="A946" s="106"/>
      <c r="B946" s="107"/>
      <c r="D946" s="151"/>
      <c r="E946" s="119"/>
      <c r="F946" s="218"/>
      <c r="G946" s="226"/>
      <c r="H946" s="227"/>
      <c r="I946" s="219"/>
      <c r="J946" s="173"/>
    </row>
    <row r="947" spans="1:10" x14ac:dyDescent="0.25">
      <c r="A947" s="106"/>
      <c r="B947" s="107"/>
      <c r="D947" s="151"/>
      <c r="E947" s="119"/>
      <c r="F947" s="218"/>
      <c r="G947" s="218"/>
      <c r="H947" s="218"/>
      <c r="I947" s="219"/>
      <c r="J947" s="173"/>
    </row>
    <row r="948" spans="1:10" x14ac:dyDescent="0.25">
      <c r="A948" s="106"/>
      <c r="B948" s="107"/>
      <c r="D948" s="151"/>
      <c r="E948" s="119"/>
      <c r="F948" s="218"/>
      <c r="G948" s="226"/>
      <c r="H948" s="227"/>
      <c r="I948" s="219"/>
      <c r="J948" s="173"/>
    </row>
    <row r="949" spans="1:10" x14ac:dyDescent="0.25">
      <c r="A949" s="106"/>
      <c r="B949" s="107"/>
      <c r="D949" s="151"/>
      <c r="E949" s="119"/>
      <c r="F949" s="218"/>
      <c r="G949" s="222"/>
      <c r="H949" s="223"/>
      <c r="I949" s="219"/>
      <c r="J949" s="173"/>
    </row>
    <row r="950" spans="1:10" x14ac:dyDescent="0.25">
      <c r="A950" s="106"/>
      <c r="B950" s="107"/>
      <c r="D950" s="151"/>
      <c r="E950" s="142"/>
      <c r="F950" s="218"/>
      <c r="G950" s="221"/>
      <c r="H950" s="227"/>
      <c r="I950" s="219"/>
      <c r="J950" s="173"/>
    </row>
    <row r="951" spans="1:10" x14ac:dyDescent="0.25">
      <c r="A951" s="106"/>
      <c r="B951" s="107"/>
      <c r="D951" s="151"/>
      <c r="E951" s="142"/>
      <c r="F951" s="218"/>
      <c r="G951" s="218"/>
      <c r="H951" s="218"/>
      <c r="I951" s="219"/>
      <c r="J951" s="173"/>
    </row>
    <row r="952" spans="1:10" x14ac:dyDescent="0.25">
      <c r="A952" s="106"/>
      <c r="B952" s="107"/>
      <c r="D952" s="151"/>
      <c r="E952" s="142"/>
      <c r="F952" s="218"/>
      <c r="G952" s="226"/>
      <c r="H952" s="227"/>
      <c r="I952" s="219"/>
      <c r="J952" s="173"/>
    </row>
    <row r="953" spans="1:10" x14ac:dyDescent="0.25">
      <c r="A953" s="106"/>
      <c r="B953" s="107"/>
      <c r="D953" s="151"/>
      <c r="E953" s="142"/>
      <c r="F953" s="218"/>
      <c r="G953" s="222"/>
      <c r="H953" s="223"/>
      <c r="I953" s="219"/>
      <c r="J953" s="173"/>
    </row>
    <row r="954" spans="1:10" x14ac:dyDescent="0.25">
      <c r="A954" s="106"/>
      <c r="B954" s="107"/>
      <c r="D954" s="151"/>
      <c r="E954" s="142"/>
      <c r="F954" s="218"/>
      <c r="G954" s="226"/>
      <c r="H954" s="227"/>
      <c r="I954" s="219"/>
      <c r="J954" s="173"/>
    </row>
    <row r="955" spans="1:10" x14ac:dyDescent="0.25">
      <c r="A955" s="106"/>
      <c r="B955" s="107"/>
      <c r="D955" s="151"/>
      <c r="E955" s="119"/>
      <c r="F955" s="218"/>
      <c r="G955" s="218"/>
      <c r="H955" s="218"/>
      <c r="I955" s="219"/>
      <c r="J955" s="173"/>
    </row>
    <row r="956" spans="1:10" x14ac:dyDescent="0.25">
      <c r="A956" s="106"/>
      <c r="B956" s="107"/>
      <c r="D956" s="151"/>
      <c r="E956" s="142"/>
      <c r="F956" s="218"/>
      <c r="G956" s="218"/>
      <c r="H956" s="218"/>
      <c r="I956" s="219"/>
      <c r="J956" s="173"/>
    </row>
    <row r="957" spans="1:10" x14ac:dyDescent="0.25">
      <c r="A957" s="106"/>
      <c r="B957" s="107"/>
      <c r="D957" s="151"/>
      <c r="E957" s="142"/>
      <c r="F957" s="218"/>
      <c r="G957" s="218"/>
      <c r="H957" s="218"/>
      <c r="I957" s="219"/>
      <c r="J957" s="173"/>
    </row>
    <row r="958" spans="1:10" x14ac:dyDescent="0.25">
      <c r="A958" s="106"/>
      <c r="B958" s="107"/>
      <c r="D958" s="151"/>
      <c r="E958" s="142"/>
      <c r="F958" s="218"/>
      <c r="G958" s="226"/>
      <c r="H958" s="227"/>
      <c r="I958" s="219"/>
      <c r="J958" s="173"/>
    </row>
    <row r="959" spans="1:10" x14ac:dyDescent="0.25">
      <c r="A959" s="106"/>
      <c r="B959" s="107"/>
      <c r="D959" s="151"/>
      <c r="E959" s="119"/>
      <c r="F959" s="218"/>
      <c r="G959" s="222"/>
      <c r="H959" s="223"/>
      <c r="I959" s="219"/>
      <c r="J959" s="173"/>
    </row>
    <row r="960" spans="1:10" x14ac:dyDescent="0.25">
      <c r="A960" s="106"/>
      <c r="B960" s="107"/>
      <c r="D960" s="151"/>
      <c r="E960" s="119"/>
      <c r="F960" s="218"/>
      <c r="G960" s="226"/>
      <c r="H960" s="227"/>
      <c r="I960" s="219"/>
      <c r="J960" s="173"/>
    </row>
    <row r="961" spans="1:10" x14ac:dyDescent="0.25">
      <c r="A961" s="106"/>
      <c r="B961" s="107"/>
      <c r="D961" s="151"/>
      <c r="E961" s="119"/>
      <c r="F961" s="218"/>
      <c r="G961" s="218"/>
      <c r="H961" s="218"/>
      <c r="I961" s="219"/>
      <c r="J961" s="173"/>
    </row>
    <row r="962" spans="1:10" x14ac:dyDescent="0.25">
      <c r="A962" s="106"/>
      <c r="B962" s="107"/>
      <c r="D962" s="151"/>
      <c r="E962" s="119"/>
      <c r="F962" s="218"/>
      <c r="G962" s="226"/>
      <c r="H962" s="227"/>
      <c r="I962" s="219"/>
      <c r="J962" s="173"/>
    </row>
    <row r="963" spans="1:10" x14ac:dyDescent="0.25">
      <c r="A963" s="106"/>
      <c r="B963" s="107"/>
      <c r="D963" s="151"/>
      <c r="E963" s="119"/>
      <c r="F963" s="218"/>
      <c r="G963" s="222"/>
      <c r="H963" s="223"/>
      <c r="I963" s="219"/>
      <c r="J963" s="173"/>
    </row>
    <row r="964" spans="1:10" x14ac:dyDescent="0.25">
      <c r="A964" s="106"/>
      <c r="B964" s="107"/>
      <c r="D964" s="151"/>
      <c r="E964" s="142"/>
      <c r="F964" s="218"/>
      <c r="G964" s="226"/>
      <c r="H964" s="227"/>
      <c r="I964" s="219"/>
      <c r="J964" s="173"/>
    </row>
    <row r="965" spans="1:10" x14ac:dyDescent="0.25">
      <c r="A965" s="106"/>
      <c r="B965" s="107"/>
      <c r="D965" s="151"/>
      <c r="E965" s="142"/>
      <c r="F965" s="218"/>
      <c r="G965" s="218"/>
      <c r="H965" s="218"/>
      <c r="I965" s="219"/>
      <c r="J965" s="173"/>
    </row>
    <row r="966" spans="1:10" x14ac:dyDescent="0.25">
      <c r="A966" s="106"/>
      <c r="B966" s="107"/>
      <c r="D966" s="151"/>
      <c r="E966" s="142"/>
      <c r="F966" s="218"/>
      <c r="G966" s="226"/>
      <c r="H966" s="227"/>
      <c r="I966" s="219"/>
      <c r="J966" s="173"/>
    </row>
    <row r="967" spans="1:10" x14ac:dyDescent="0.25">
      <c r="A967" s="106"/>
      <c r="B967" s="107"/>
      <c r="D967" s="151"/>
      <c r="E967" s="119"/>
      <c r="F967" s="218"/>
      <c r="G967" s="222"/>
      <c r="H967" s="223"/>
      <c r="I967" s="219"/>
      <c r="J967" s="173"/>
    </row>
    <row r="968" spans="1:10" x14ac:dyDescent="0.25">
      <c r="A968" s="106"/>
      <c r="B968" s="107"/>
      <c r="D968" s="151"/>
      <c r="E968" s="142"/>
      <c r="F968" s="218"/>
      <c r="G968" s="226"/>
      <c r="H968" s="227"/>
      <c r="I968" s="219"/>
      <c r="J968" s="173"/>
    </row>
    <row r="969" spans="1:10" x14ac:dyDescent="0.25">
      <c r="A969" s="106"/>
      <c r="B969" s="107"/>
      <c r="D969" s="151"/>
      <c r="E969" s="142"/>
      <c r="F969" s="218"/>
      <c r="G969" s="218"/>
      <c r="H969" s="218"/>
      <c r="I969" s="219"/>
      <c r="J969" s="173"/>
    </row>
    <row r="970" spans="1:10" x14ac:dyDescent="0.25">
      <c r="A970" s="106"/>
      <c r="B970" s="107"/>
      <c r="D970" s="151"/>
      <c r="E970" s="142"/>
      <c r="F970" s="218"/>
      <c r="G970" s="226"/>
      <c r="H970" s="227"/>
      <c r="I970" s="219"/>
      <c r="J970" s="173"/>
    </row>
    <row r="971" spans="1:10" x14ac:dyDescent="0.25">
      <c r="A971" s="106"/>
      <c r="B971" s="107"/>
      <c r="D971" s="151"/>
      <c r="E971" s="119"/>
      <c r="F971" s="218"/>
      <c r="G971" s="222"/>
      <c r="H971" s="223"/>
      <c r="I971" s="219"/>
      <c r="J971" s="173"/>
    </row>
    <row r="972" spans="1:10" x14ac:dyDescent="0.25">
      <c r="A972" s="106"/>
      <c r="B972" s="107"/>
      <c r="D972" s="151"/>
      <c r="E972" s="119"/>
      <c r="F972" s="218"/>
      <c r="G972" s="226"/>
      <c r="H972" s="227"/>
      <c r="I972" s="219"/>
      <c r="J972" s="173"/>
    </row>
    <row r="973" spans="1:10" x14ac:dyDescent="0.25">
      <c r="A973" s="106"/>
      <c r="B973" s="107"/>
      <c r="D973" s="151"/>
      <c r="E973" s="119"/>
      <c r="F973" s="218"/>
      <c r="G973" s="218"/>
      <c r="H973" s="218"/>
      <c r="I973" s="219"/>
      <c r="J973" s="173"/>
    </row>
    <row r="974" spans="1:10" x14ac:dyDescent="0.25">
      <c r="A974" s="106"/>
      <c r="B974" s="107"/>
      <c r="D974" s="151"/>
      <c r="E974" s="142"/>
      <c r="F974" s="218"/>
      <c r="G974" s="218"/>
      <c r="H974" s="218"/>
      <c r="I974" s="219"/>
      <c r="J974" s="173"/>
    </row>
    <row r="975" spans="1:10" x14ac:dyDescent="0.25">
      <c r="A975" s="106"/>
      <c r="B975" s="107"/>
      <c r="D975" s="151"/>
      <c r="E975" s="142"/>
      <c r="F975" s="218"/>
      <c r="G975" s="218"/>
      <c r="H975" s="218"/>
      <c r="I975" s="219"/>
      <c r="J975" s="173"/>
    </row>
    <row r="976" spans="1:10" x14ac:dyDescent="0.25">
      <c r="A976" s="106"/>
      <c r="B976" s="107"/>
      <c r="D976" s="151"/>
      <c r="E976" s="142"/>
      <c r="F976" s="218"/>
      <c r="G976" s="218"/>
      <c r="H976" s="218"/>
      <c r="I976" s="219"/>
      <c r="J976" s="173"/>
    </row>
    <row r="977" spans="1:10" x14ac:dyDescent="0.25">
      <c r="A977" s="106"/>
      <c r="B977" s="107"/>
      <c r="D977" s="151"/>
      <c r="E977" s="119"/>
      <c r="F977" s="218"/>
      <c r="G977" s="229"/>
      <c r="H977" s="218"/>
      <c r="I977" s="219"/>
      <c r="J977" s="173"/>
    </row>
    <row r="978" spans="1:10" x14ac:dyDescent="0.25">
      <c r="A978" s="106"/>
      <c r="B978" s="107"/>
      <c r="D978" s="151"/>
      <c r="E978" s="142"/>
      <c r="F978" s="218"/>
      <c r="G978" s="218"/>
      <c r="H978" s="218"/>
      <c r="I978" s="219"/>
      <c r="J978" s="173"/>
    </row>
    <row r="979" spans="1:10" x14ac:dyDescent="0.25">
      <c r="A979" s="106"/>
      <c r="B979" s="107"/>
      <c r="D979" s="151"/>
      <c r="E979" s="142"/>
      <c r="F979" s="218"/>
      <c r="G979" s="218"/>
      <c r="H979" s="218"/>
      <c r="I979" s="219"/>
      <c r="J979" s="173"/>
    </row>
    <row r="980" spans="1:10" x14ac:dyDescent="0.25">
      <c r="A980" s="106"/>
      <c r="B980" s="107"/>
      <c r="D980" s="151"/>
      <c r="E980" s="142"/>
      <c r="F980" s="218"/>
      <c r="G980" s="222"/>
      <c r="H980" s="223"/>
      <c r="I980" s="219"/>
      <c r="J980" s="173"/>
    </row>
    <row r="981" spans="1:10" x14ac:dyDescent="0.25">
      <c r="A981" s="106"/>
      <c r="B981" s="107"/>
      <c r="D981" s="151"/>
      <c r="E981" s="119"/>
      <c r="F981" s="218"/>
      <c r="G981" s="218"/>
      <c r="H981" s="218"/>
      <c r="I981" s="219"/>
      <c r="J981" s="173"/>
    </row>
    <row r="982" spans="1:10" x14ac:dyDescent="0.25">
      <c r="A982" s="106"/>
      <c r="B982" s="107"/>
      <c r="D982" s="151"/>
      <c r="E982" s="142"/>
      <c r="F982" s="218"/>
      <c r="G982" s="218"/>
      <c r="H982" s="218"/>
      <c r="I982" s="219"/>
      <c r="J982" s="173"/>
    </row>
    <row r="983" spans="1:10" x14ac:dyDescent="0.25">
      <c r="A983" s="106"/>
      <c r="B983" s="107"/>
      <c r="D983" s="151"/>
      <c r="E983" s="142"/>
      <c r="F983" s="218"/>
      <c r="G983" s="218"/>
      <c r="H983" s="218"/>
      <c r="I983" s="219"/>
      <c r="J983" s="173"/>
    </row>
    <row r="984" spans="1:10" x14ac:dyDescent="0.25">
      <c r="A984" s="106"/>
      <c r="B984" s="107"/>
      <c r="D984" s="151"/>
      <c r="E984" s="142"/>
      <c r="F984" s="218"/>
      <c r="G984" s="226"/>
      <c r="H984" s="227"/>
      <c r="I984" s="219"/>
      <c r="J984" s="173"/>
    </row>
    <row r="985" spans="1:10" x14ac:dyDescent="0.25">
      <c r="A985" s="106"/>
      <c r="B985" s="107"/>
      <c r="D985" s="151"/>
      <c r="E985" s="119"/>
      <c r="F985" s="218"/>
      <c r="G985" s="218"/>
      <c r="H985" s="218"/>
      <c r="I985" s="219"/>
      <c r="J985" s="173"/>
    </row>
    <row r="986" spans="1:10" x14ac:dyDescent="0.25">
      <c r="A986" s="106"/>
      <c r="B986" s="107"/>
      <c r="D986" s="151"/>
      <c r="E986" s="142"/>
      <c r="F986" s="218"/>
      <c r="G986" s="218"/>
      <c r="H986" s="218"/>
      <c r="I986" s="219"/>
      <c r="J986" s="173"/>
    </row>
    <row r="987" spans="1:10" x14ac:dyDescent="0.25">
      <c r="A987" s="106"/>
      <c r="B987" s="107"/>
      <c r="D987" s="151"/>
      <c r="E987" s="142"/>
      <c r="F987" s="218"/>
      <c r="G987" s="218"/>
      <c r="H987" s="218"/>
      <c r="I987" s="219"/>
      <c r="J987" s="173"/>
    </row>
    <row r="988" spans="1:10" x14ac:dyDescent="0.25">
      <c r="A988" s="106"/>
      <c r="B988" s="107"/>
      <c r="D988" s="151"/>
      <c r="E988" s="142"/>
      <c r="F988" s="218"/>
      <c r="G988" s="218"/>
      <c r="H988" s="218"/>
      <c r="I988" s="219"/>
      <c r="J988" s="173"/>
    </row>
    <row r="989" spans="1:10" x14ac:dyDescent="0.25">
      <c r="A989" s="106"/>
      <c r="B989" s="107"/>
      <c r="D989" s="151"/>
      <c r="E989" s="119"/>
      <c r="F989" s="218"/>
      <c r="G989" s="218"/>
      <c r="H989" s="218"/>
      <c r="I989" s="219"/>
      <c r="J989" s="173"/>
    </row>
    <row r="990" spans="1:10" x14ac:dyDescent="0.25">
      <c r="A990" s="106"/>
      <c r="B990" s="107"/>
      <c r="D990" s="151"/>
      <c r="E990" s="142"/>
      <c r="F990" s="218"/>
      <c r="G990" s="218"/>
      <c r="H990" s="218"/>
      <c r="I990" s="219"/>
      <c r="J990" s="173"/>
    </row>
    <row r="991" spans="1:10" x14ac:dyDescent="0.25">
      <c r="A991" s="106"/>
      <c r="B991" s="107"/>
      <c r="D991" s="151"/>
      <c r="E991" s="142"/>
      <c r="F991" s="218"/>
      <c r="G991" s="218"/>
      <c r="H991" s="218"/>
      <c r="I991" s="219"/>
      <c r="J991" s="173"/>
    </row>
    <row r="992" spans="1:10" x14ac:dyDescent="0.25">
      <c r="A992" s="106"/>
      <c r="B992" s="107"/>
      <c r="D992" s="151"/>
      <c r="E992" s="142"/>
      <c r="F992" s="218"/>
      <c r="G992" s="223"/>
      <c r="H992" s="218"/>
      <c r="I992" s="219"/>
      <c r="J992" s="173"/>
    </row>
    <row r="993" spans="1:10" x14ac:dyDescent="0.25">
      <c r="A993" s="106"/>
      <c r="B993" s="107"/>
      <c r="D993" s="151"/>
      <c r="E993" s="119"/>
      <c r="F993" s="218"/>
      <c r="G993" s="218"/>
      <c r="H993" s="218"/>
      <c r="I993" s="219"/>
      <c r="J993" s="173"/>
    </row>
    <row r="994" spans="1:10" x14ac:dyDescent="0.25">
      <c r="A994" s="106"/>
      <c r="B994" s="107"/>
      <c r="D994" s="151"/>
      <c r="E994" s="142"/>
      <c r="F994" s="218"/>
      <c r="G994" s="218"/>
      <c r="H994" s="218"/>
      <c r="I994" s="230"/>
      <c r="J994" s="173"/>
    </row>
    <row r="995" spans="1:10" x14ac:dyDescent="0.25">
      <c r="A995" s="106"/>
      <c r="B995" s="107"/>
      <c r="D995" s="151"/>
      <c r="E995" s="142"/>
      <c r="F995" s="218"/>
      <c r="G995" s="218"/>
      <c r="H995" s="218"/>
      <c r="I995" s="219"/>
      <c r="J995" s="173"/>
    </row>
    <row r="996" spans="1:10" x14ac:dyDescent="0.25">
      <c r="A996" s="106"/>
      <c r="B996" s="107"/>
      <c r="D996" s="151"/>
      <c r="E996" s="142"/>
      <c r="F996" s="218"/>
      <c r="G996" s="223"/>
      <c r="H996" s="218"/>
      <c r="I996" s="219"/>
      <c r="J996" s="173"/>
    </row>
    <row r="997" spans="1:10" x14ac:dyDescent="0.25">
      <c r="A997" s="106"/>
      <c r="B997" s="107"/>
      <c r="D997" s="151"/>
      <c r="E997" s="119"/>
      <c r="F997" s="218"/>
      <c r="G997" s="218"/>
      <c r="H997" s="218"/>
      <c r="I997" s="219"/>
      <c r="J997" s="173"/>
    </row>
    <row r="998" spans="1:10" x14ac:dyDescent="0.25">
      <c r="A998" s="106"/>
      <c r="B998" s="107"/>
      <c r="D998" s="151"/>
      <c r="E998" s="142"/>
      <c r="F998" s="176"/>
      <c r="G998" s="178"/>
      <c r="H998" s="176"/>
      <c r="I998" s="172"/>
      <c r="J998" s="173"/>
    </row>
    <row r="999" spans="1:10" x14ac:dyDescent="0.25">
      <c r="A999" s="106"/>
      <c r="B999" s="107"/>
      <c r="D999" s="151"/>
      <c r="E999" s="142"/>
      <c r="F999" s="176"/>
      <c r="G999" s="178"/>
      <c r="H999" s="176"/>
      <c r="I999" s="172"/>
      <c r="J999" s="173"/>
    </row>
    <row r="1000" spans="1:10" x14ac:dyDescent="0.25">
      <c r="A1000" s="106"/>
      <c r="B1000" s="107"/>
      <c r="D1000" s="151"/>
      <c r="E1000" s="142"/>
      <c r="F1000" s="176"/>
      <c r="G1000" s="178"/>
      <c r="H1000" s="176"/>
      <c r="I1000" s="172"/>
      <c r="J1000" s="173"/>
    </row>
    <row r="1001" spans="1:10" x14ac:dyDescent="0.25">
      <c r="A1001" s="106"/>
      <c r="B1001" s="107"/>
      <c r="D1001" s="151"/>
      <c r="E1001" s="142"/>
      <c r="F1001" s="176"/>
      <c r="G1001" s="178"/>
      <c r="H1001" s="176"/>
      <c r="I1001" s="172"/>
      <c r="J1001" s="173"/>
    </row>
    <row r="1002" spans="1:10" x14ac:dyDescent="0.25">
      <c r="A1002" s="106"/>
      <c r="B1002" s="107"/>
      <c r="D1002" s="151"/>
      <c r="E1002" s="142"/>
      <c r="F1002" s="176"/>
      <c r="G1002" s="178"/>
      <c r="H1002" s="176"/>
      <c r="I1002" s="172"/>
      <c r="J1002" s="173"/>
    </row>
    <row r="1003" spans="1:10" x14ac:dyDescent="0.25">
      <c r="A1003" s="106"/>
      <c r="B1003" s="107"/>
      <c r="D1003" s="151"/>
      <c r="E1003" s="142"/>
      <c r="F1003" s="176"/>
      <c r="G1003" s="178"/>
      <c r="H1003" s="176"/>
      <c r="I1003" s="130"/>
      <c r="J1003" s="173"/>
    </row>
    <row r="1004" spans="1:10" x14ac:dyDescent="0.25">
      <c r="A1004" s="106"/>
      <c r="B1004" s="107"/>
      <c r="D1004" s="151"/>
      <c r="E1004" s="142"/>
      <c r="F1004" s="176"/>
      <c r="G1004" s="178"/>
      <c r="H1004" s="176"/>
      <c r="I1004" s="172"/>
      <c r="J1004" s="173"/>
    </row>
    <row r="1005" spans="1:10" x14ac:dyDescent="0.25">
      <c r="A1005" s="106"/>
      <c r="B1005" s="107"/>
      <c r="D1005" s="151"/>
      <c r="E1005" s="142"/>
      <c r="F1005" s="176"/>
      <c r="G1005" s="176"/>
      <c r="H1005" s="176"/>
      <c r="I1005" s="172"/>
      <c r="J1005" s="173"/>
    </row>
    <row r="1006" spans="1:10" x14ac:dyDescent="0.25">
      <c r="A1006" s="106"/>
      <c r="B1006" s="107"/>
      <c r="D1006" s="151"/>
      <c r="E1006" s="142"/>
      <c r="F1006" s="176"/>
      <c r="G1006" s="176"/>
      <c r="H1006" s="176"/>
      <c r="I1006" s="130"/>
      <c r="J1006" s="173"/>
    </row>
    <row r="1007" spans="1:10" x14ac:dyDescent="0.25">
      <c r="A1007" s="106"/>
      <c r="B1007" s="107"/>
      <c r="D1007" s="151"/>
      <c r="E1007" s="142"/>
      <c r="F1007" s="176"/>
      <c r="G1007" s="176"/>
      <c r="H1007" s="176"/>
      <c r="I1007" s="172"/>
      <c r="J1007" s="173"/>
    </row>
    <row r="1008" spans="1:10" x14ac:dyDescent="0.25">
      <c r="A1008" s="106"/>
      <c r="B1008" s="107"/>
      <c r="D1008" s="151"/>
      <c r="E1008" s="142"/>
      <c r="F1008" s="176"/>
      <c r="G1008" s="176"/>
      <c r="H1008" s="176"/>
      <c r="I1008" s="172"/>
      <c r="J1008" s="173"/>
    </row>
    <row r="1009" spans="1:10" x14ac:dyDescent="0.25">
      <c r="A1009" s="106"/>
      <c r="B1009" s="107"/>
      <c r="D1009" s="151"/>
      <c r="E1009" s="142"/>
      <c r="F1009" s="176"/>
      <c r="G1009" s="176"/>
      <c r="H1009" s="176"/>
      <c r="I1009" s="130"/>
      <c r="J1009" s="173"/>
    </row>
    <row r="1010" spans="1:10" x14ac:dyDescent="0.25">
      <c r="A1010" s="106"/>
      <c r="B1010" s="107"/>
      <c r="D1010" s="151"/>
      <c r="E1010" s="142"/>
      <c r="F1010" s="176"/>
      <c r="G1010" s="176"/>
      <c r="H1010" s="176"/>
      <c r="I1010" s="172"/>
      <c r="J1010" s="173"/>
    </row>
    <row r="1011" spans="1:10" x14ac:dyDescent="0.25">
      <c r="A1011" s="106"/>
      <c r="B1011" s="107"/>
      <c r="D1011" s="151"/>
      <c r="E1011" s="142"/>
      <c r="F1011" s="176"/>
      <c r="G1011" s="176"/>
      <c r="H1011" s="176"/>
      <c r="I1011" s="172"/>
      <c r="J1011" s="173"/>
    </row>
    <row r="1012" spans="1:10" x14ac:dyDescent="0.25">
      <c r="A1012" s="106"/>
      <c r="B1012" s="107"/>
      <c r="D1012" s="151"/>
      <c r="E1012" s="142"/>
      <c r="F1012" s="176"/>
      <c r="G1012" s="176"/>
      <c r="H1012" s="176"/>
      <c r="I1012" s="130"/>
      <c r="J1012" s="173"/>
    </row>
    <row r="1013" spans="1:10" x14ac:dyDescent="0.25">
      <c r="A1013" s="106"/>
      <c r="B1013" s="107"/>
      <c r="D1013" s="151"/>
      <c r="E1013" s="142"/>
      <c r="F1013" s="176"/>
      <c r="G1013" s="176"/>
      <c r="H1013" s="176"/>
      <c r="I1013" s="172"/>
      <c r="J1013" s="173"/>
    </row>
    <row r="1014" spans="1:10" x14ac:dyDescent="0.25">
      <c r="A1014" s="106"/>
      <c r="B1014" s="107"/>
      <c r="D1014" s="151"/>
      <c r="E1014" s="142"/>
      <c r="F1014" s="176"/>
      <c r="G1014" s="176"/>
      <c r="H1014" s="176"/>
      <c r="I1014" s="172"/>
      <c r="J1014" s="173"/>
    </row>
    <row r="1015" spans="1:10" x14ac:dyDescent="0.25">
      <c r="A1015" s="106"/>
      <c r="B1015" s="107"/>
      <c r="D1015" s="151"/>
      <c r="E1015" s="142"/>
      <c r="F1015" s="176"/>
      <c r="G1015" s="176"/>
      <c r="H1015" s="176"/>
      <c r="I1015" s="130"/>
      <c r="J1015" s="173"/>
    </row>
    <row r="1016" spans="1:10" x14ac:dyDescent="0.25">
      <c r="A1016" s="106"/>
      <c r="B1016" s="107"/>
      <c r="D1016" s="151"/>
      <c r="E1016" s="142"/>
      <c r="F1016" s="176"/>
      <c r="G1016" s="176"/>
      <c r="H1016" s="176"/>
      <c r="I1016" s="172"/>
      <c r="J1016" s="173"/>
    </row>
    <row r="1017" spans="1:10" x14ac:dyDescent="0.25">
      <c r="A1017" s="106"/>
      <c r="B1017" s="107"/>
      <c r="D1017" s="151"/>
      <c r="E1017" s="142"/>
      <c r="F1017" s="176"/>
      <c r="G1017" s="176"/>
      <c r="H1017" s="176"/>
      <c r="I1017" s="172"/>
      <c r="J1017" s="173"/>
    </row>
    <row r="1018" spans="1:10" x14ac:dyDescent="0.25">
      <c r="A1018" s="106"/>
      <c r="B1018" s="107"/>
      <c r="D1018" s="151"/>
      <c r="E1018" s="142"/>
      <c r="F1018" s="176"/>
      <c r="G1018" s="176"/>
      <c r="H1018" s="176"/>
      <c r="I1018" s="130"/>
      <c r="J1018" s="173"/>
    </row>
    <row r="1019" spans="1:10" x14ac:dyDescent="0.25">
      <c r="A1019" s="106"/>
      <c r="B1019" s="107"/>
      <c r="D1019" s="151"/>
      <c r="E1019" s="142"/>
      <c r="F1019" s="176"/>
      <c r="G1019" s="176"/>
      <c r="H1019" s="176"/>
      <c r="I1019" s="172"/>
      <c r="J1019" s="173"/>
    </row>
    <row r="1020" spans="1:10" x14ac:dyDescent="0.25">
      <c r="A1020" s="106"/>
      <c r="B1020" s="107"/>
      <c r="D1020" s="151"/>
      <c r="E1020" s="142"/>
      <c r="F1020" s="176"/>
      <c r="G1020" s="176"/>
      <c r="H1020" s="176"/>
      <c r="I1020" s="172"/>
      <c r="J1020" s="173"/>
    </row>
    <row r="1021" spans="1:10" x14ac:dyDescent="0.25">
      <c r="A1021" s="106"/>
      <c r="B1021" s="107"/>
      <c r="D1021" s="151"/>
      <c r="E1021" s="142"/>
      <c r="F1021" s="176"/>
      <c r="G1021" s="176"/>
      <c r="H1021" s="176"/>
      <c r="I1021" s="130"/>
      <c r="J1021" s="173"/>
    </row>
    <row r="1022" spans="1:10" x14ac:dyDescent="0.25">
      <c r="A1022" s="106"/>
      <c r="B1022" s="107"/>
      <c r="D1022" s="151"/>
      <c r="E1022" s="142"/>
      <c r="F1022" s="176"/>
      <c r="G1022" s="176"/>
      <c r="H1022" s="176"/>
      <c r="I1022" s="172"/>
      <c r="J1022" s="173"/>
    </row>
    <row r="1023" spans="1:10" x14ac:dyDescent="0.25">
      <c r="A1023" s="106"/>
      <c r="B1023" s="107"/>
      <c r="D1023" s="151"/>
      <c r="E1023" s="142"/>
      <c r="F1023" s="176"/>
      <c r="G1023" s="176"/>
      <c r="H1023" s="176"/>
      <c r="I1023" s="172"/>
      <c r="J1023" s="173"/>
    </row>
    <row r="1024" spans="1:10" x14ac:dyDescent="0.25">
      <c r="A1024" s="106"/>
      <c r="B1024" s="107"/>
      <c r="D1024" s="151"/>
      <c r="E1024" s="142"/>
      <c r="F1024" s="176"/>
      <c r="G1024" s="176"/>
      <c r="H1024" s="176"/>
      <c r="I1024" s="130"/>
      <c r="J1024" s="173"/>
    </row>
    <row r="1025" spans="1:10" x14ac:dyDescent="0.25">
      <c r="A1025" s="106"/>
      <c r="B1025" s="107"/>
      <c r="D1025" s="151"/>
      <c r="E1025" s="142"/>
      <c r="F1025" s="176"/>
      <c r="G1025" s="176"/>
      <c r="H1025" s="176"/>
      <c r="I1025" s="172"/>
      <c r="J1025" s="173"/>
    </row>
    <row r="1026" spans="1:10" x14ac:dyDescent="0.25">
      <c r="A1026" s="106"/>
      <c r="B1026" s="107"/>
      <c r="D1026" s="151"/>
      <c r="E1026" s="142"/>
      <c r="F1026" s="176"/>
      <c r="G1026" s="176"/>
      <c r="H1026" s="176"/>
      <c r="I1026" s="172"/>
      <c r="J1026" s="173"/>
    </row>
    <row r="1027" spans="1:10" x14ac:dyDescent="0.25">
      <c r="A1027" s="106"/>
      <c r="B1027" s="107"/>
      <c r="D1027" s="151"/>
      <c r="E1027" s="142"/>
      <c r="F1027" s="176"/>
      <c r="G1027" s="176"/>
      <c r="H1027" s="176"/>
      <c r="I1027" s="130"/>
      <c r="J1027" s="173"/>
    </row>
    <row r="1028" spans="1:10" x14ac:dyDescent="0.25">
      <c r="A1028" s="106"/>
      <c r="B1028" s="107"/>
      <c r="D1028" s="151"/>
      <c r="E1028" s="142"/>
      <c r="F1028" s="176"/>
      <c r="G1028" s="176"/>
      <c r="H1028" s="176"/>
      <c r="I1028" s="172"/>
      <c r="J1028" s="173"/>
    </row>
    <row r="1029" spans="1:10" x14ac:dyDescent="0.25">
      <c r="A1029" s="106"/>
      <c r="B1029" s="107"/>
      <c r="D1029" s="151"/>
      <c r="E1029" s="142"/>
      <c r="F1029" s="176"/>
      <c r="G1029" s="176"/>
      <c r="H1029" s="176"/>
      <c r="I1029" s="172"/>
      <c r="J1029" s="173"/>
    </row>
    <row r="1030" spans="1:10" x14ac:dyDescent="0.25">
      <c r="A1030" s="106"/>
      <c r="B1030" s="107"/>
      <c r="D1030" s="151"/>
      <c r="E1030" s="142"/>
      <c r="F1030" s="176"/>
      <c r="G1030" s="176"/>
      <c r="H1030" s="176"/>
      <c r="I1030" s="130"/>
      <c r="J1030" s="173"/>
    </row>
    <row r="1031" spans="1:10" x14ac:dyDescent="0.25">
      <c r="A1031" s="106"/>
      <c r="B1031" s="107"/>
      <c r="D1031" s="151"/>
      <c r="E1031" s="142"/>
      <c r="F1031" s="176"/>
      <c r="G1031" s="176"/>
      <c r="H1031" s="176"/>
      <c r="I1031" s="172"/>
      <c r="J1031" s="173"/>
    </row>
    <row r="1032" spans="1:10" x14ac:dyDescent="0.25">
      <c r="A1032" s="106"/>
      <c r="B1032" s="107"/>
      <c r="D1032" s="151"/>
      <c r="E1032" s="142"/>
      <c r="F1032" s="176"/>
      <c r="G1032" s="176"/>
      <c r="H1032" s="176"/>
      <c r="I1032" s="172"/>
      <c r="J1032" s="173"/>
    </row>
    <row r="1033" spans="1:10" x14ac:dyDescent="0.25">
      <c r="A1033" s="106"/>
      <c r="B1033" s="107"/>
      <c r="D1033" s="151"/>
      <c r="E1033" s="142"/>
      <c r="F1033" s="176"/>
      <c r="G1033" s="176"/>
      <c r="H1033" s="176"/>
      <c r="I1033" s="172"/>
      <c r="J1033" s="173"/>
    </row>
    <row r="1034" spans="1:10" x14ac:dyDescent="0.25">
      <c r="A1034" s="106"/>
      <c r="B1034" s="107"/>
      <c r="D1034" s="151"/>
      <c r="E1034" s="142"/>
      <c r="F1034" s="176"/>
      <c r="G1034" s="176"/>
      <c r="H1034" s="176"/>
      <c r="I1034" s="172"/>
      <c r="J1034" s="173"/>
    </row>
    <row r="1035" spans="1:10" x14ac:dyDescent="0.25">
      <c r="A1035" s="106"/>
      <c r="B1035" s="107"/>
      <c r="D1035" s="151"/>
      <c r="E1035" s="142"/>
      <c r="F1035" s="176"/>
      <c r="G1035" s="176"/>
      <c r="H1035" s="176"/>
      <c r="I1035" s="172"/>
      <c r="J1035" s="173"/>
    </row>
    <row r="1036" spans="1:10" x14ac:dyDescent="0.25">
      <c r="A1036" s="106"/>
      <c r="B1036" s="107"/>
      <c r="D1036" s="151"/>
      <c r="E1036" s="142"/>
      <c r="F1036" s="176"/>
      <c r="G1036" s="176"/>
      <c r="H1036" s="176"/>
      <c r="I1036" s="172"/>
      <c r="J1036" s="173"/>
    </row>
    <row r="1037" spans="1:10" x14ac:dyDescent="0.25">
      <c r="A1037" s="106"/>
      <c r="B1037" s="107"/>
      <c r="D1037" s="151"/>
      <c r="E1037" s="142"/>
      <c r="F1037" s="176"/>
      <c r="G1037" s="176"/>
      <c r="H1037" s="176"/>
      <c r="I1037" s="172"/>
      <c r="J1037" s="173"/>
    </row>
    <row r="1038" spans="1:10" x14ac:dyDescent="0.25">
      <c r="A1038" s="106"/>
      <c r="B1038" s="107"/>
      <c r="D1038" s="151"/>
      <c r="E1038" s="142"/>
      <c r="F1038" s="176"/>
      <c r="G1038" s="176"/>
      <c r="H1038" s="176"/>
      <c r="I1038" s="172"/>
      <c r="J1038" s="173"/>
    </row>
    <row r="1039" spans="1:10" x14ac:dyDescent="0.25">
      <c r="A1039" s="106"/>
      <c r="B1039" s="107"/>
      <c r="D1039" s="151"/>
      <c r="E1039" s="142"/>
      <c r="F1039" s="176"/>
      <c r="G1039" s="176"/>
      <c r="H1039" s="176"/>
      <c r="I1039" s="172"/>
      <c r="J1039" s="173"/>
    </row>
    <row r="1040" spans="1:10" x14ac:dyDescent="0.25">
      <c r="A1040" s="106"/>
      <c r="B1040" s="107"/>
      <c r="D1040" s="151"/>
      <c r="E1040" s="142"/>
      <c r="F1040" s="176"/>
      <c r="G1040" s="176"/>
      <c r="H1040" s="176"/>
      <c r="I1040" s="172"/>
      <c r="J1040" s="173"/>
    </row>
    <row r="1041" spans="1:10" x14ac:dyDescent="0.25">
      <c r="A1041" s="106"/>
      <c r="B1041" s="107"/>
      <c r="D1041" s="151"/>
      <c r="E1041" s="142"/>
      <c r="F1041" s="176"/>
      <c r="G1041" s="176"/>
      <c r="H1041" s="176"/>
      <c r="I1041" s="172"/>
      <c r="J1041" s="173"/>
    </row>
    <row r="1042" spans="1:10" x14ac:dyDescent="0.25">
      <c r="A1042" s="106"/>
      <c r="B1042" s="107"/>
      <c r="D1042" s="151"/>
      <c r="E1042" s="142"/>
      <c r="F1042" s="176"/>
      <c r="G1042" s="176"/>
      <c r="H1042" s="176"/>
      <c r="I1042" s="172"/>
      <c r="J1042" s="173"/>
    </row>
    <row r="1043" spans="1:10" x14ac:dyDescent="0.25">
      <c r="A1043" s="106"/>
      <c r="B1043" s="107"/>
      <c r="D1043" s="151"/>
      <c r="E1043" s="142"/>
      <c r="F1043" s="176"/>
      <c r="G1043" s="176"/>
      <c r="H1043" s="176"/>
      <c r="I1043" s="172"/>
      <c r="J1043" s="173"/>
    </row>
    <row r="1044" spans="1:10" x14ac:dyDescent="0.25">
      <c r="A1044" s="106"/>
      <c r="B1044" s="107"/>
      <c r="D1044" s="151"/>
      <c r="E1044" s="142"/>
      <c r="F1044" s="176"/>
      <c r="G1044" s="176"/>
      <c r="H1044" s="176"/>
      <c r="I1044" s="172"/>
      <c r="J1044" s="173"/>
    </row>
    <row r="1045" spans="1:10" x14ac:dyDescent="0.25">
      <c r="A1045" s="106"/>
      <c r="B1045" s="107"/>
      <c r="D1045" s="151"/>
      <c r="E1045" s="142"/>
      <c r="F1045" s="176"/>
      <c r="G1045" s="176"/>
      <c r="H1045" s="176"/>
      <c r="I1045" s="172"/>
      <c r="J1045" s="173"/>
    </row>
    <row r="1046" spans="1:10" x14ac:dyDescent="0.25">
      <c r="A1046" s="106"/>
      <c r="B1046" s="107"/>
      <c r="D1046" s="151"/>
      <c r="E1046" s="142"/>
      <c r="F1046" s="176"/>
      <c r="G1046" s="176"/>
      <c r="H1046" s="176"/>
      <c r="I1046" s="172"/>
      <c r="J1046" s="173"/>
    </row>
    <row r="1047" spans="1:10" x14ac:dyDescent="0.25">
      <c r="A1047" s="106"/>
      <c r="B1047" s="107"/>
      <c r="D1047" s="151"/>
      <c r="E1047" s="142"/>
      <c r="F1047" s="176"/>
      <c r="G1047" s="176"/>
      <c r="H1047" s="176"/>
      <c r="I1047" s="172"/>
      <c r="J1047" s="173"/>
    </row>
    <row r="1048" spans="1:10" x14ac:dyDescent="0.25">
      <c r="A1048" s="106"/>
      <c r="B1048" s="107"/>
      <c r="D1048" s="151"/>
      <c r="E1048" s="142"/>
      <c r="F1048" s="176"/>
      <c r="G1048" s="176"/>
      <c r="H1048" s="176"/>
      <c r="I1048" s="172"/>
      <c r="J1048" s="173"/>
    </row>
    <row r="1049" spans="1:10" x14ac:dyDescent="0.25">
      <c r="A1049" s="106"/>
      <c r="B1049" s="107"/>
      <c r="D1049" s="151"/>
      <c r="E1049" s="142"/>
      <c r="F1049" s="176"/>
      <c r="G1049" s="176"/>
      <c r="H1049" s="176"/>
      <c r="I1049" s="172"/>
      <c r="J1049" s="173"/>
    </row>
    <row r="1050" spans="1:10" x14ac:dyDescent="0.25">
      <c r="A1050" s="106"/>
      <c r="B1050" s="107"/>
      <c r="D1050" s="151"/>
      <c r="E1050" s="142"/>
      <c r="F1050" s="176"/>
      <c r="G1050" s="176"/>
      <c r="H1050" s="176"/>
      <c r="I1050" s="172"/>
      <c r="J1050" s="173"/>
    </row>
    <row r="1051" spans="1:10" x14ac:dyDescent="0.25">
      <c r="A1051" s="106"/>
      <c r="B1051" s="107"/>
      <c r="D1051" s="151"/>
      <c r="E1051" s="142"/>
      <c r="F1051" s="176"/>
      <c r="G1051" s="176"/>
      <c r="H1051" s="176"/>
      <c r="I1051" s="172"/>
      <c r="J1051" s="173"/>
    </row>
    <row r="1052" spans="1:10" x14ac:dyDescent="0.25">
      <c r="A1052" s="106"/>
      <c r="B1052" s="107"/>
      <c r="D1052" s="151"/>
      <c r="E1052" s="142"/>
      <c r="F1052" s="176"/>
      <c r="G1052" s="176"/>
      <c r="H1052" s="176"/>
      <c r="I1052" s="172"/>
      <c r="J1052" s="173"/>
    </row>
    <row r="1053" spans="1:10" x14ac:dyDescent="0.25">
      <c r="A1053" s="106"/>
      <c r="B1053" s="107"/>
      <c r="D1053" s="151"/>
      <c r="E1053" s="142"/>
      <c r="F1053" s="176"/>
      <c r="G1053" s="176"/>
      <c r="H1053" s="176"/>
      <c r="I1053" s="172"/>
      <c r="J1053" s="173"/>
    </row>
    <row r="1054" spans="1:10" x14ac:dyDescent="0.25">
      <c r="A1054" s="106"/>
      <c r="B1054" s="107"/>
      <c r="D1054" s="151"/>
      <c r="E1054" s="142"/>
      <c r="F1054" s="176"/>
      <c r="G1054" s="176"/>
      <c r="H1054" s="176"/>
      <c r="I1054" s="172"/>
      <c r="J1054" s="173"/>
    </row>
    <row r="1055" spans="1:10" x14ac:dyDescent="0.25">
      <c r="A1055" s="106"/>
      <c r="B1055" s="107"/>
      <c r="D1055" s="151"/>
      <c r="E1055" s="142"/>
      <c r="F1055" s="176"/>
      <c r="G1055" s="176"/>
      <c r="H1055" s="176"/>
      <c r="I1055" s="172"/>
      <c r="J1055" s="173"/>
    </row>
    <row r="1056" spans="1:10" x14ac:dyDescent="0.25">
      <c r="A1056" s="106"/>
      <c r="B1056" s="107"/>
      <c r="D1056" s="151"/>
      <c r="E1056" s="142"/>
      <c r="F1056" s="176"/>
      <c r="G1056" s="176"/>
      <c r="H1056" s="176"/>
      <c r="I1056" s="172"/>
      <c r="J1056" s="173"/>
    </row>
    <row r="1057" spans="1:10" x14ac:dyDescent="0.25">
      <c r="A1057" s="106"/>
      <c r="B1057" s="107"/>
      <c r="D1057" s="151"/>
      <c r="E1057" s="142"/>
      <c r="F1057" s="176"/>
      <c r="G1057" s="176"/>
      <c r="H1057" s="176"/>
      <c r="I1057" s="172"/>
      <c r="J1057" s="173"/>
    </row>
    <row r="1058" spans="1:10" x14ac:dyDescent="0.25">
      <c r="A1058" s="106"/>
      <c r="B1058" s="107"/>
      <c r="D1058" s="151"/>
      <c r="E1058" s="142"/>
      <c r="F1058" s="176"/>
      <c r="G1058" s="176"/>
      <c r="H1058" s="176"/>
      <c r="I1058" s="172"/>
      <c r="J1058" s="173"/>
    </row>
    <row r="1059" spans="1:10" x14ac:dyDescent="0.25">
      <c r="A1059" s="106"/>
      <c r="B1059" s="107"/>
      <c r="D1059" s="151"/>
      <c r="E1059" s="142"/>
      <c r="F1059" s="176"/>
      <c r="G1059" s="176"/>
      <c r="H1059" s="176"/>
      <c r="I1059" s="172"/>
      <c r="J1059" s="173"/>
    </row>
    <row r="1060" spans="1:10" x14ac:dyDescent="0.25">
      <c r="A1060" s="106"/>
      <c r="B1060" s="107"/>
      <c r="D1060" s="151"/>
      <c r="E1060" s="142"/>
      <c r="F1060" s="176"/>
      <c r="G1060" s="176"/>
      <c r="H1060" s="176"/>
      <c r="I1060" s="172"/>
      <c r="J1060" s="173"/>
    </row>
    <row r="1061" spans="1:10" x14ac:dyDescent="0.25">
      <c r="A1061" s="106"/>
      <c r="B1061" s="107"/>
      <c r="D1061" s="151"/>
      <c r="E1061" s="142"/>
      <c r="F1061" s="176"/>
      <c r="G1061" s="176"/>
      <c r="H1061" s="176"/>
      <c r="I1061" s="172"/>
      <c r="J1061" s="173"/>
    </row>
    <row r="1062" spans="1:10" x14ac:dyDescent="0.25">
      <c r="A1062" s="106"/>
      <c r="B1062" s="107"/>
      <c r="D1062" s="151"/>
      <c r="E1062" s="142"/>
      <c r="F1062" s="176"/>
      <c r="G1062" s="176"/>
      <c r="H1062" s="176"/>
      <c r="I1062" s="172"/>
      <c r="J1062" s="173"/>
    </row>
    <row r="1063" spans="1:10" x14ac:dyDescent="0.25">
      <c r="A1063" s="106"/>
      <c r="B1063" s="107"/>
      <c r="D1063" s="151"/>
      <c r="E1063" s="142"/>
      <c r="F1063" s="176"/>
      <c r="G1063" s="176"/>
      <c r="H1063" s="176"/>
      <c r="I1063" s="172"/>
      <c r="J1063" s="173"/>
    </row>
    <row r="1064" spans="1:10" x14ac:dyDescent="0.25">
      <c r="A1064" s="106"/>
      <c r="B1064" s="107"/>
      <c r="D1064" s="151"/>
      <c r="E1064" s="142"/>
      <c r="F1064" s="176"/>
      <c r="G1064" s="179"/>
      <c r="H1064" s="180"/>
      <c r="I1064" s="172"/>
      <c r="J1064" s="173"/>
    </row>
    <row r="1065" spans="1:10" x14ac:dyDescent="0.25">
      <c r="A1065" s="106"/>
      <c r="B1065" s="107"/>
      <c r="D1065" s="151"/>
      <c r="E1065" s="142"/>
      <c r="F1065" s="176"/>
      <c r="G1065" s="176"/>
      <c r="H1065" s="176"/>
      <c r="I1065" s="172"/>
      <c r="J1065" s="173"/>
    </row>
    <row r="1066" spans="1:10" x14ac:dyDescent="0.25">
      <c r="A1066" s="106"/>
      <c r="B1066" s="107"/>
      <c r="D1066" s="151"/>
      <c r="E1066" s="142"/>
      <c r="F1066" s="176"/>
      <c r="G1066" s="132"/>
      <c r="H1066" s="178"/>
      <c r="I1066" s="172"/>
      <c r="J1066" s="173"/>
    </row>
    <row r="1067" spans="1:10" x14ac:dyDescent="0.25">
      <c r="A1067" s="106"/>
      <c r="B1067" s="107"/>
      <c r="D1067" s="151"/>
      <c r="E1067" s="142"/>
      <c r="F1067" s="176"/>
      <c r="G1067" s="132"/>
      <c r="H1067" s="178"/>
      <c r="I1067" s="172"/>
      <c r="J1067" s="173"/>
    </row>
    <row r="1068" spans="1:10" x14ac:dyDescent="0.25">
      <c r="A1068" s="106"/>
      <c r="B1068" s="107"/>
      <c r="D1068" s="151"/>
      <c r="E1068" s="142"/>
      <c r="F1068" s="176"/>
      <c r="G1068" s="176"/>
      <c r="H1068" s="176"/>
      <c r="I1068" s="172"/>
      <c r="J1068" s="173"/>
    </row>
    <row r="1069" spans="1:10" x14ac:dyDescent="0.25">
      <c r="A1069" s="106"/>
      <c r="B1069" s="107"/>
      <c r="D1069" s="151"/>
      <c r="E1069" s="142"/>
      <c r="F1069" s="176"/>
      <c r="G1069" s="179"/>
      <c r="H1069" s="180"/>
      <c r="I1069" s="172"/>
      <c r="J1069" s="173"/>
    </row>
    <row r="1070" spans="1:10" x14ac:dyDescent="0.25">
      <c r="A1070" s="106"/>
      <c r="B1070" s="107"/>
      <c r="D1070" s="151"/>
      <c r="E1070" s="142"/>
      <c r="F1070" s="176"/>
      <c r="G1070" s="176"/>
      <c r="H1070" s="176"/>
      <c r="I1070" s="172"/>
      <c r="J1070" s="173"/>
    </row>
    <row r="1071" spans="1:10" x14ac:dyDescent="0.25">
      <c r="A1071" s="106"/>
      <c r="B1071" s="107"/>
      <c r="D1071" s="151"/>
      <c r="E1071" s="142"/>
      <c r="F1071" s="176"/>
      <c r="G1071" s="176"/>
      <c r="H1071" s="176"/>
      <c r="I1071" s="172"/>
      <c r="J1071" s="173"/>
    </row>
    <row r="1072" spans="1:10" x14ac:dyDescent="0.25">
      <c r="A1072" s="106"/>
      <c r="B1072" s="107"/>
      <c r="D1072" s="151"/>
      <c r="E1072" s="142"/>
      <c r="F1072" s="176"/>
      <c r="G1072" s="176"/>
      <c r="H1072" s="176"/>
      <c r="I1072" s="172"/>
      <c r="J1072" s="173"/>
    </row>
    <row r="1073" spans="1:10" x14ac:dyDescent="0.25">
      <c r="A1073" s="106"/>
      <c r="B1073" s="107"/>
      <c r="D1073" s="151"/>
      <c r="E1073" s="142"/>
      <c r="F1073" s="176"/>
      <c r="G1073" s="176"/>
      <c r="H1073" s="176"/>
      <c r="I1073" s="172"/>
      <c r="J1073" s="173"/>
    </row>
    <row r="1074" spans="1:10" x14ac:dyDescent="0.25">
      <c r="A1074" s="106"/>
      <c r="B1074" s="107"/>
      <c r="D1074" s="151"/>
      <c r="E1074" s="142"/>
      <c r="F1074" s="176"/>
      <c r="G1074" s="179"/>
      <c r="H1074" s="180"/>
      <c r="I1074" s="172"/>
      <c r="J1074" s="173"/>
    </row>
    <row r="1075" spans="1:10" x14ac:dyDescent="0.25">
      <c r="A1075" s="106"/>
      <c r="B1075" s="107"/>
      <c r="D1075" s="151"/>
      <c r="E1075" s="142"/>
      <c r="F1075" s="176"/>
      <c r="G1075" s="176"/>
      <c r="H1075" s="176"/>
      <c r="I1075" s="172"/>
      <c r="J1075" s="173"/>
    </row>
    <row r="1076" spans="1:10" x14ac:dyDescent="0.25">
      <c r="A1076" s="106"/>
      <c r="B1076" s="107"/>
      <c r="D1076" s="151"/>
      <c r="E1076" s="142"/>
      <c r="F1076" s="176"/>
      <c r="G1076" s="132"/>
      <c r="H1076" s="178"/>
      <c r="I1076" s="172"/>
      <c r="J1076" s="173"/>
    </row>
    <row r="1077" spans="1:10" x14ac:dyDescent="0.25">
      <c r="A1077" s="106"/>
      <c r="B1077" s="107"/>
      <c r="D1077" s="151"/>
      <c r="E1077" s="142"/>
      <c r="F1077" s="176"/>
      <c r="G1077" s="132"/>
      <c r="H1077" s="178"/>
      <c r="I1077" s="172"/>
      <c r="J1077" s="173"/>
    </row>
    <row r="1078" spans="1:10" x14ac:dyDescent="0.25">
      <c r="A1078" s="106"/>
      <c r="B1078" s="107"/>
      <c r="D1078" s="151"/>
      <c r="E1078" s="142"/>
      <c r="F1078" s="176"/>
      <c r="G1078" s="176"/>
      <c r="H1078" s="176"/>
      <c r="I1078" s="172"/>
      <c r="J1078" s="173"/>
    </row>
    <row r="1079" spans="1:10" x14ac:dyDescent="0.25">
      <c r="A1079" s="106"/>
      <c r="B1079" s="107"/>
      <c r="D1079" s="151"/>
      <c r="E1079" s="142"/>
      <c r="F1079" s="176"/>
      <c r="G1079" s="179"/>
      <c r="H1079" s="180"/>
      <c r="I1079" s="172"/>
      <c r="J1079" s="173"/>
    </row>
    <row r="1080" spans="1:10" x14ac:dyDescent="0.25">
      <c r="A1080" s="106"/>
      <c r="B1080" s="107"/>
      <c r="D1080" s="151"/>
      <c r="E1080" s="142"/>
      <c r="F1080" s="176"/>
      <c r="G1080" s="176"/>
      <c r="H1080" s="176"/>
      <c r="I1080" s="172"/>
      <c r="J1080" s="173"/>
    </row>
    <row r="1081" spans="1:10" x14ac:dyDescent="0.25">
      <c r="A1081" s="106"/>
      <c r="B1081" s="107"/>
      <c r="D1081" s="151"/>
      <c r="E1081" s="142"/>
      <c r="F1081" s="176"/>
      <c r="G1081" s="176"/>
      <c r="H1081" s="176"/>
      <c r="I1081" s="172"/>
      <c r="J1081" s="173"/>
    </row>
    <row r="1082" spans="1:10" x14ac:dyDescent="0.25">
      <c r="A1082" s="106"/>
      <c r="B1082" s="107"/>
      <c r="D1082" s="151"/>
      <c r="E1082" s="142"/>
      <c r="F1082" s="176"/>
      <c r="G1082" s="176"/>
      <c r="H1082" s="176"/>
      <c r="I1082" s="172"/>
      <c r="J1082" s="173"/>
    </row>
    <row r="1083" spans="1:10" x14ac:dyDescent="0.25">
      <c r="A1083" s="106"/>
      <c r="B1083" s="107"/>
      <c r="D1083" s="151"/>
      <c r="E1083" s="142"/>
      <c r="F1083" s="176"/>
      <c r="G1083" s="176"/>
      <c r="H1083" s="176"/>
      <c r="I1083" s="172"/>
      <c r="J1083" s="173"/>
    </row>
    <row r="1084" spans="1:10" x14ac:dyDescent="0.25">
      <c r="A1084" s="106"/>
      <c r="B1084" s="107"/>
      <c r="D1084" s="151"/>
      <c r="E1084" s="142"/>
      <c r="F1084" s="176"/>
      <c r="G1084" s="179"/>
      <c r="H1084" s="180"/>
      <c r="I1084" s="172"/>
      <c r="J1084" s="173"/>
    </row>
    <row r="1085" spans="1:10" x14ac:dyDescent="0.25">
      <c r="A1085" s="106"/>
      <c r="B1085" s="107"/>
      <c r="D1085" s="151"/>
      <c r="E1085" s="142"/>
      <c r="F1085" s="176"/>
      <c r="G1085" s="176"/>
      <c r="H1085" s="176"/>
      <c r="I1085" s="172"/>
      <c r="J1085" s="173"/>
    </row>
    <row r="1086" spans="1:10" x14ac:dyDescent="0.25">
      <c r="A1086" s="106"/>
      <c r="B1086" s="107"/>
      <c r="D1086" s="151"/>
      <c r="E1086" s="142"/>
      <c r="F1086" s="176"/>
      <c r="G1086" s="132"/>
      <c r="H1086" s="178"/>
      <c r="I1086" s="172"/>
      <c r="J1086" s="173"/>
    </row>
    <row r="1087" spans="1:10" x14ac:dyDescent="0.25">
      <c r="A1087" s="106"/>
      <c r="B1087" s="107"/>
      <c r="D1087" s="151"/>
      <c r="E1087" s="142"/>
      <c r="F1087" s="176"/>
      <c r="G1087" s="179"/>
      <c r="H1087" s="180"/>
      <c r="I1087" s="172"/>
      <c r="J1087" s="173"/>
    </row>
    <row r="1088" spans="1:10" x14ac:dyDescent="0.25">
      <c r="A1088" s="106"/>
      <c r="B1088" s="107"/>
      <c r="D1088" s="151"/>
      <c r="E1088" s="142"/>
      <c r="F1088" s="176"/>
      <c r="G1088" s="132"/>
      <c r="H1088" s="178"/>
      <c r="I1088" s="172"/>
      <c r="J1088" s="173"/>
    </row>
    <row r="1089" spans="1:10" x14ac:dyDescent="0.25">
      <c r="A1089" s="106"/>
      <c r="B1089" s="107"/>
      <c r="D1089" s="151"/>
      <c r="E1089" s="142"/>
      <c r="F1089" s="176"/>
      <c r="G1089" s="176"/>
      <c r="H1089" s="176"/>
      <c r="I1089" s="172"/>
      <c r="J1089" s="173"/>
    </row>
    <row r="1090" spans="1:10" x14ac:dyDescent="0.25">
      <c r="A1090" s="106"/>
      <c r="B1090" s="107"/>
      <c r="D1090" s="151"/>
      <c r="E1090" s="142"/>
      <c r="F1090" s="176"/>
      <c r="G1090" s="179"/>
      <c r="H1090" s="180"/>
      <c r="I1090" s="172"/>
      <c r="J1090" s="173"/>
    </row>
    <row r="1091" spans="1:10" x14ac:dyDescent="0.25">
      <c r="A1091" s="106"/>
      <c r="B1091" s="107"/>
      <c r="D1091" s="151"/>
      <c r="E1091" s="142"/>
      <c r="F1091" s="176"/>
      <c r="G1091" s="176"/>
      <c r="H1091" s="176"/>
      <c r="I1091" s="172"/>
      <c r="J1091" s="173"/>
    </row>
    <row r="1092" spans="1:10" x14ac:dyDescent="0.25">
      <c r="A1092" s="106"/>
      <c r="B1092" s="107"/>
      <c r="D1092" s="151"/>
      <c r="E1092" s="142"/>
      <c r="F1092" s="176"/>
      <c r="G1092" s="176"/>
      <c r="H1092" s="176"/>
      <c r="I1092" s="172"/>
      <c r="J1092" s="173"/>
    </row>
    <row r="1093" spans="1:10" x14ac:dyDescent="0.25">
      <c r="A1093" s="106"/>
      <c r="B1093" s="107"/>
      <c r="D1093" s="151"/>
      <c r="E1093" s="142"/>
      <c r="F1093" s="176"/>
      <c r="G1093" s="179"/>
      <c r="H1093" s="180"/>
      <c r="I1093" s="172"/>
      <c r="J1093" s="173"/>
    </row>
    <row r="1094" spans="1:10" x14ac:dyDescent="0.25">
      <c r="A1094" s="106"/>
      <c r="B1094" s="107"/>
      <c r="D1094" s="151"/>
      <c r="E1094" s="142"/>
      <c r="F1094" s="176"/>
      <c r="G1094" s="176"/>
      <c r="H1094" s="176"/>
      <c r="I1094" s="172"/>
      <c r="J1094" s="173"/>
    </row>
    <row r="1095" spans="1:10" x14ac:dyDescent="0.25">
      <c r="A1095" s="106"/>
      <c r="B1095" s="107"/>
      <c r="D1095" s="151"/>
      <c r="E1095" s="142"/>
      <c r="F1095" s="176"/>
      <c r="G1095" s="176"/>
      <c r="H1095" s="176"/>
      <c r="I1095" s="172"/>
      <c r="J1095" s="173"/>
    </row>
    <row r="1096" spans="1:10" x14ac:dyDescent="0.25">
      <c r="A1096" s="106"/>
      <c r="B1096" s="107"/>
      <c r="D1096" s="151"/>
      <c r="E1096" s="142"/>
      <c r="F1096" s="176"/>
      <c r="G1096" s="179"/>
      <c r="H1096" s="180"/>
      <c r="I1096" s="172"/>
      <c r="J1096" s="173"/>
    </row>
    <row r="1097" spans="1:10" x14ac:dyDescent="0.25">
      <c r="A1097" s="106"/>
      <c r="B1097" s="107"/>
      <c r="D1097" s="151"/>
      <c r="E1097" s="142"/>
      <c r="F1097" s="176"/>
      <c r="G1097" s="176"/>
      <c r="H1097" s="176"/>
      <c r="I1097" s="172"/>
      <c r="J1097" s="173"/>
    </row>
    <row r="1098" spans="1:10" x14ac:dyDescent="0.25">
      <c r="A1098" s="106"/>
      <c r="B1098" s="107"/>
      <c r="D1098" s="151"/>
      <c r="E1098" s="142"/>
      <c r="F1098" s="176"/>
      <c r="G1098" s="132"/>
      <c r="H1098" s="178"/>
      <c r="I1098" s="172"/>
      <c r="J1098" s="173"/>
    </row>
    <row r="1099" spans="1:10" x14ac:dyDescent="0.25">
      <c r="A1099" s="106"/>
      <c r="B1099" s="107"/>
      <c r="D1099" s="151"/>
      <c r="E1099" s="142"/>
      <c r="F1099" s="176"/>
      <c r="G1099" s="179"/>
      <c r="H1099" s="180"/>
      <c r="I1099" s="172"/>
      <c r="J1099" s="173"/>
    </row>
    <row r="1100" spans="1:10" x14ac:dyDescent="0.25">
      <c r="A1100" s="106"/>
      <c r="B1100" s="107"/>
      <c r="D1100" s="151"/>
      <c r="E1100" s="142"/>
      <c r="F1100" s="176"/>
      <c r="G1100" s="132"/>
      <c r="H1100" s="178"/>
      <c r="I1100" s="172"/>
      <c r="J1100" s="173"/>
    </row>
    <row r="1101" spans="1:10" x14ac:dyDescent="0.25">
      <c r="A1101" s="106"/>
      <c r="B1101" s="107"/>
      <c r="D1101" s="151"/>
      <c r="E1101" s="142"/>
      <c r="F1101" s="176"/>
      <c r="G1101" s="176"/>
      <c r="H1101" s="176"/>
      <c r="I1101" s="172"/>
      <c r="J1101" s="173"/>
    </row>
    <row r="1102" spans="1:10" x14ac:dyDescent="0.25">
      <c r="A1102" s="106"/>
      <c r="B1102" s="107"/>
      <c r="D1102" s="151"/>
      <c r="E1102" s="142"/>
      <c r="F1102" s="176"/>
      <c r="G1102" s="179"/>
      <c r="H1102" s="180"/>
      <c r="I1102" s="172"/>
      <c r="J1102" s="173"/>
    </row>
    <row r="1103" spans="1:10" x14ac:dyDescent="0.25">
      <c r="A1103" s="106"/>
      <c r="B1103" s="107"/>
      <c r="D1103" s="151"/>
      <c r="E1103" s="142"/>
      <c r="F1103" s="176"/>
      <c r="G1103" s="176"/>
      <c r="H1103" s="176"/>
      <c r="I1103" s="172"/>
      <c r="J1103" s="173"/>
    </row>
    <row r="1104" spans="1:10" x14ac:dyDescent="0.25">
      <c r="A1104" s="106"/>
      <c r="B1104" s="107"/>
      <c r="D1104" s="151"/>
      <c r="E1104" s="142"/>
      <c r="F1104" s="176"/>
      <c r="G1104" s="176"/>
      <c r="H1104" s="176"/>
      <c r="I1104" s="172"/>
      <c r="J1104" s="173"/>
    </row>
    <row r="1105" spans="1:10" x14ac:dyDescent="0.25">
      <c r="A1105" s="106"/>
      <c r="B1105" s="107"/>
      <c r="D1105" s="151"/>
      <c r="E1105" s="142"/>
      <c r="F1105" s="176"/>
      <c r="G1105" s="179"/>
      <c r="H1105" s="180"/>
      <c r="I1105" s="172"/>
      <c r="J1105" s="173"/>
    </row>
    <row r="1106" spans="1:10" x14ac:dyDescent="0.25">
      <c r="A1106" s="106"/>
      <c r="B1106" s="107"/>
      <c r="D1106" s="151"/>
      <c r="E1106" s="142"/>
      <c r="F1106" s="176"/>
      <c r="G1106" s="176"/>
      <c r="H1106" s="176"/>
      <c r="I1106" s="172"/>
      <c r="J1106" s="173"/>
    </row>
    <row r="1107" spans="1:10" x14ac:dyDescent="0.25">
      <c r="A1107" s="106"/>
      <c r="B1107" s="107"/>
      <c r="D1107" s="151"/>
      <c r="E1107" s="142"/>
      <c r="F1107" s="176"/>
      <c r="G1107" s="176"/>
      <c r="H1107" s="176"/>
      <c r="I1107" s="172"/>
      <c r="J1107" s="173"/>
    </row>
    <row r="1108" spans="1:10" x14ac:dyDescent="0.25">
      <c r="A1108" s="106"/>
      <c r="B1108" s="107"/>
      <c r="D1108" s="151"/>
      <c r="E1108" s="142"/>
      <c r="F1108" s="176"/>
      <c r="G1108" s="179"/>
      <c r="H1108" s="180"/>
      <c r="I1108" s="172"/>
      <c r="J1108" s="173"/>
    </row>
    <row r="1109" spans="1:10" x14ac:dyDescent="0.25">
      <c r="A1109" s="106"/>
      <c r="B1109" s="107"/>
      <c r="D1109" s="151"/>
      <c r="E1109" s="142"/>
      <c r="F1109" s="176"/>
      <c r="G1109" s="176"/>
      <c r="H1109" s="176"/>
      <c r="I1109" s="172"/>
      <c r="J1109" s="173"/>
    </row>
    <row r="1110" spans="1:10" x14ac:dyDescent="0.25">
      <c r="A1110" s="106"/>
      <c r="B1110" s="107"/>
      <c r="D1110" s="151"/>
      <c r="E1110" s="142"/>
      <c r="F1110" s="176"/>
      <c r="G1110" s="132"/>
      <c r="H1110" s="178"/>
      <c r="I1110" s="172"/>
      <c r="J1110" s="173"/>
    </row>
    <row r="1111" spans="1:10" x14ac:dyDescent="0.25">
      <c r="A1111" s="106"/>
      <c r="B1111" s="107"/>
      <c r="D1111" s="151"/>
      <c r="E1111" s="142"/>
      <c r="F1111" s="176"/>
      <c r="G1111" s="179"/>
      <c r="H1111" s="180"/>
      <c r="I1111" s="172"/>
      <c r="J1111" s="173"/>
    </row>
    <row r="1112" spans="1:10" x14ac:dyDescent="0.25">
      <c r="A1112" s="106"/>
      <c r="B1112" s="107"/>
      <c r="D1112" s="151"/>
      <c r="E1112" s="142"/>
      <c r="F1112" s="176"/>
      <c r="G1112" s="132"/>
      <c r="H1112" s="178"/>
      <c r="I1112" s="172"/>
      <c r="J1112" s="173"/>
    </row>
    <row r="1113" spans="1:10" x14ac:dyDescent="0.25">
      <c r="A1113" s="106"/>
      <c r="B1113" s="107"/>
      <c r="D1113" s="151"/>
      <c r="E1113" s="142"/>
      <c r="F1113" s="176"/>
      <c r="G1113" s="176"/>
      <c r="H1113" s="176"/>
      <c r="I1113" s="172"/>
      <c r="J1113" s="173"/>
    </row>
    <row r="1114" spans="1:10" x14ac:dyDescent="0.25">
      <c r="A1114" s="106"/>
      <c r="B1114" s="107"/>
      <c r="D1114" s="151"/>
      <c r="E1114" s="142"/>
      <c r="F1114" s="176"/>
      <c r="G1114" s="179"/>
      <c r="H1114" s="180"/>
      <c r="I1114" s="172"/>
      <c r="J1114" s="173"/>
    </row>
    <row r="1115" spans="1:10" x14ac:dyDescent="0.25">
      <c r="A1115" s="106"/>
      <c r="B1115" s="107"/>
      <c r="D1115" s="151"/>
      <c r="E1115" s="142"/>
      <c r="F1115" s="176"/>
      <c r="G1115" s="176"/>
      <c r="H1115" s="176"/>
      <c r="I1115" s="172"/>
      <c r="J1115" s="173"/>
    </row>
    <row r="1116" spans="1:10" x14ac:dyDescent="0.25">
      <c r="A1116" s="106"/>
      <c r="B1116" s="107"/>
      <c r="D1116" s="151"/>
      <c r="E1116" s="142"/>
      <c r="F1116" s="176"/>
      <c r="G1116" s="176"/>
      <c r="H1116" s="176"/>
      <c r="I1116" s="172"/>
      <c r="J1116" s="173"/>
    </row>
    <row r="1117" spans="1:10" x14ac:dyDescent="0.25">
      <c r="A1117" s="106"/>
      <c r="B1117" s="107"/>
      <c r="D1117" s="151"/>
      <c r="E1117" s="142"/>
      <c r="F1117" s="176"/>
      <c r="G1117" s="179"/>
      <c r="H1117" s="180"/>
      <c r="I1117" s="172"/>
      <c r="J1117" s="173"/>
    </row>
    <row r="1118" spans="1:10" x14ac:dyDescent="0.25">
      <c r="A1118" s="106"/>
      <c r="B1118" s="107"/>
      <c r="D1118" s="151"/>
      <c r="E1118" s="142"/>
      <c r="F1118" s="176"/>
      <c r="G1118" s="176"/>
      <c r="H1118" s="176"/>
      <c r="I1118" s="172"/>
      <c r="J1118" s="173"/>
    </row>
    <row r="1119" spans="1:10" x14ac:dyDescent="0.25">
      <c r="A1119" s="106"/>
      <c r="B1119" s="107"/>
      <c r="D1119" s="151"/>
      <c r="E1119" s="142"/>
      <c r="F1119" s="176"/>
      <c r="G1119" s="176"/>
      <c r="H1119" s="176"/>
      <c r="I1119" s="172"/>
      <c r="J1119" s="173"/>
    </row>
    <row r="1120" spans="1:10" x14ac:dyDescent="0.25">
      <c r="A1120" s="106"/>
      <c r="B1120" s="107"/>
      <c r="D1120" s="151"/>
      <c r="E1120" s="142"/>
      <c r="F1120" s="176"/>
      <c r="G1120" s="176"/>
      <c r="H1120" s="176"/>
      <c r="I1120" s="172"/>
      <c r="J1120" s="173"/>
    </row>
    <row r="1121" spans="1:10" x14ac:dyDescent="0.25">
      <c r="A1121" s="106"/>
      <c r="B1121" s="107"/>
      <c r="D1121" s="151"/>
      <c r="E1121" s="142"/>
      <c r="F1121" s="176"/>
      <c r="G1121" s="176"/>
      <c r="H1121" s="176"/>
      <c r="I1121" s="172"/>
      <c r="J1121" s="173"/>
    </row>
    <row r="1122" spans="1:10" x14ac:dyDescent="0.25">
      <c r="A1122" s="106"/>
      <c r="B1122" s="107"/>
      <c r="D1122" s="151"/>
      <c r="E1122" s="142"/>
      <c r="F1122" s="176"/>
      <c r="G1122" s="176"/>
      <c r="H1122" s="176"/>
      <c r="I1122" s="172"/>
      <c r="J1122" s="173"/>
    </row>
    <row r="1123" spans="1:10" x14ac:dyDescent="0.25">
      <c r="A1123" s="106"/>
      <c r="B1123" s="107"/>
      <c r="D1123" s="151"/>
      <c r="E1123" s="142"/>
      <c r="F1123" s="176"/>
      <c r="G1123" s="176"/>
      <c r="H1123" s="176"/>
      <c r="I1123" s="172"/>
      <c r="J1123" s="173"/>
    </row>
    <row r="1124" spans="1:10" x14ac:dyDescent="0.25">
      <c r="A1124" s="106"/>
      <c r="B1124" s="107"/>
      <c r="D1124" s="151"/>
      <c r="E1124" s="142"/>
      <c r="F1124" s="176"/>
      <c r="G1124" s="176"/>
      <c r="H1124" s="176"/>
      <c r="I1124" s="172"/>
      <c r="J1124" s="173"/>
    </row>
    <row r="1125" spans="1:10" x14ac:dyDescent="0.25">
      <c r="A1125" s="106"/>
      <c r="B1125" s="107"/>
      <c r="D1125" s="151"/>
      <c r="E1125" s="142"/>
      <c r="F1125" s="176"/>
      <c r="G1125" s="176"/>
      <c r="H1125" s="176"/>
      <c r="I1125" s="172"/>
      <c r="J1125" s="173"/>
    </row>
    <row r="1126" spans="1:10" x14ac:dyDescent="0.25">
      <c r="A1126" s="106"/>
      <c r="B1126" s="107"/>
      <c r="D1126" s="151"/>
      <c r="E1126" s="142"/>
      <c r="F1126" s="176"/>
      <c r="G1126" s="176"/>
      <c r="H1126" s="176"/>
      <c r="I1126" s="172"/>
      <c r="J1126" s="173"/>
    </row>
    <row r="1127" spans="1:10" x14ac:dyDescent="0.25">
      <c r="A1127" s="106"/>
      <c r="B1127" s="107"/>
      <c r="D1127" s="151"/>
      <c r="E1127" s="142"/>
      <c r="F1127" s="176"/>
      <c r="G1127" s="176"/>
      <c r="H1127" s="176"/>
      <c r="I1127" s="172"/>
      <c r="J1127" s="173"/>
    </row>
    <row r="1128" spans="1:10" x14ac:dyDescent="0.25">
      <c r="A1128" s="106"/>
      <c r="B1128" s="107"/>
      <c r="D1128" s="151"/>
      <c r="E1128" s="142"/>
      <c r="F1128" s="176"/>
      <c r="G1128" s="179"/>
      <c r="H1128" s="180"/>
      <c r="I1128" s="172"/>
      <c r="J1128" s="173"/>
    </row>
    <row r="1129" spans="1:10" x14ac:dyDescent="0.25">
      <c r="A1129" s="106"/>
      <c r="B1129" s="107"/>
      <c r="D1129" s="151"/>
      <c r="E1129" s="142"/>
      <c r="F1129" s="176"/>
      <c r="G1129" s="176"/>
      <c r="H1129" s="176"/>
      <c r="I1129" s="172"/>
      <c r="J1129" s="173"/>
    </row>
    <row r="1130" spans="1:10" x14ac:dyDescent="0.25">
      <c r="A1130" s="106"/>
      <c r="B1130" s="107"/>
      <c r="D1130" s="151"/>
      <c r="E1130" s="142"/>
      <c r="F1130" s="176"/>
      <c r="G1130" s="179"/>
      <c r="H1130" s="180"/>
      <c r="I1130" s="172"/>
      <c r="J1130" s="173"/>
    </row>
    <row r="1131" spans="1:10" x14ac:dyDescent="0.25">
      <c r="A1131" s="106"/>
      <c r="B1131" s="107"/>
      <c r="D1131" s="151"/>
      <c r="E1131" s="142"/>
      <c r="F1131" s="176"/>
      <c r="G1131" s="176"/>
      <c r="H1131" s="176"/>
      <c r="I1131" s="172"/>
      <c r="J1131" s="173"/>
    </row>
    <row r="1132" spans="1:10" x14ac:dyDescent="0.25">
      <c r="A1132" s="106"/>
      <c r="B1132" s="107"/>
      <c r="D1132" s="151"/>
      <c r="E1132" s="142"/>
      <c r="F1132" s="176"/>
      <c r="G1132" s="176"/>
      <c r="H1132" s="176"/>
      <c r="I1132" s="172"/>
      <c r="J1132" s="173"/>
    </row>
    <row r="1133" spans="1:10" x14ac:dyDescent="0.25">
      <c r="A1133" s="106"/>
      <c r="B1133" s="107"/>
      <c r="D1133" s="151"/>
      <c r="E1133" s="142"/>
      <c r="F1133" s="176"/>
      <c r="G1133" s="176"/>
      <c r="H1133" s="176"/>
      <c r="I1133" s="172"/>
      <c r="J1133" s="173"/>
    </row>
    <row r="1134" spans="1:10" x14ac:dyDescent="0.25">
      <c r="A1134" s="106"/>
      <c r="B1134" s="107"/>
      <c r="D1134" s="151"/>
      <c r="E1134" s="142"/>
      <c r="F1134" s="176"/>
      <c r="G1134" s="176"/>
      <c r="H1134" s="176"/>
      <c r="I1134" s="172"/>
      <c r="J1134" s="173"/>
    </row>
    <row r="1135" spans="1:10" x14ac:dyDescent="0.25">
      <c r="A1135" s="106"/>
      <c r="B1135" s="107"/>
      <c r="D1135" s="151"/>
      <c r="E1135" s="142"/>
      <c r="F1135" s="176"/>
      <c r="G1135" s="176"/>
      <c r="H1135" s="176"/>
      <c r="I1135" s="172"/>
      <c r="J1135" s="173"/>
    </row>
    <row r="1136" spans="1:10" x14ac:dyDescent="0.25">
      <c r="A1136" s="106"/>
      <c r="B1136" s="107"/>
      <c r="D1136" s="151"/>
      <c r="E1136" s="142"/>
      <c r="F1136" s="176"/>
      <c r="G1136" s="176"/>
      <c r="H1136" s="176"/>
      <c r="I1136" s="172"/>
      <c r="J1136" s="173"/>
    </row>
    <row r="1137" spans="1:10" x14ac:dyDescent="0.25">
      <c r="A1137" s="106"/>
      <c r="B1137" s="107"/>
      <c r="D1137" s="151"/>
      <c r="E1137" s="142"/>
      <c r="F1137" s="176"/>
      <c r="G1137" s="176"/>
      <c r="H1137" s="176"/>
      <c r="I1137" s="172"/>
      <c r="J1137" s="173"/>
    </row>
    <row r="1138" spans="1:10" x14ac:dyDescent="0.25">
      <c r="A1138" s="106"/>
      <c r="B1138" s="107"/>
      <c r="D1138" s="151"/>
      <c r="E1138" s="142"/>
      <c r="F1138" s="176"/>
      <c r="G1138" s="176"/>
      <c r="H1138" s="176"/>
      <c r="I1138" s="172"/>
      <c r="J1138" s="173"/>
    </row>
    <row r="1139" spans="1:10" x14ac:dyDescent="0.25">
      <c r="A1139" s="106"/>
      <c r="B1139" s="107"/>
      <c r="D1139" s="151"/>
      <c r="E1139" s="142"/>
      <c r="F1139" s="176"/>
      <c r="G1139" s="176"/>
      <c r="H1139" s="176"/>
      <c r="I1139" s="172"/>
      <c r="J1139" s="173"/>
    </row>
    <row r="1140" spans="1:10" x14ac:dyDescent="0.25">
      <c r="A1140" s="106"/>
      <c r="B1140" s="107"/>
      <c r="D1140" s="151"/>
      <c r="E1140" s="142"/>
      <c r="F1140" s="176"/>
      <c r="G1140" s="176"/>
      <c r="H1140" s="176"/>
      <c r="I1140" s="172"/>
      <c r="J1140" s="173"/>
    </row>
    <row r="1141" spans="1:10" x14ac:dyDescent="0.25">
      <c r="A1141" s="106"/>
      <c r="B1141" s="107"/>
      <c r="D1141" s="151"/>
      <c r="E1141" s="142"/>
      <c r="F1141" s="176"/>
      <c r="G1141" s="176"/>
      <c r="H1141" s="176"/>
      <c r="I1141" s="172"/>
      <c r="J1141" s="173"/>
    </row>
    <row r="1142" spans="1:10" x14ac:dyDescent="0.25">
      <c r="A1142" s="106"/>
      <c r="B1142" s="107"/>
      <c r="D1142" s="151"/>
      <c r="E1142" s="142"/>
      <c r="F1142" s="176"/>
      <c r="G1142" s="176"/>
      <c r="H1142" s="176"/>
      <c r="I1142" s="172"/>
      <c r="J1142" s="173"/>
    </row>
    <row r="1143" spans="1:10" x14ac:dyDescent="0.25">
      <c r="A1143" s="106"/>
      <c r="B1143" s="107"/>
      <c r="D1143" s="151"/>
      <c r="E1143" s="142"/>
      <c r="F1143" s="176"/>
      <c r="G1143" s="176"/>
      <c r="H1143" s="176"/>
      <c r="I1143" s="172"/>
      <c r="J1143" s="173"/>
    </row>
    <row r="1144" spans="1:10" x14ac:dyDescent="0.25">
      <c r="A1144" s="106"/>
      <c r="B1144" s="107"/>
      <c r="D1144" s="151"/>
      <c r="E1144" s="142"/>
      <c r="F1144" s="176"/>
      <c r="G1144" s="176"/>
      <c r="H1144" s="176"/>
      <c r="I1144" s="172"/>
      <c r="J1144" s="173"/>
    </row>
    <row r="1145" spans="1:10" x14ac:dyDescent="0.25">
      <c r="A1145" s="106"/>
      <c r="B1145" s="107"/>
      <c r="D1145" s="151"/>
      <c r="E1145" s="142"/>
      <c r="F1145" s="176"/>
      <c r="G1145" s="179"/>
      <c r="H1145" s="180"/>
      <c r="I1145" s="172"/>
      <c r="J1145" s="173"/>
    </row>
    <row r="1146" spans="1:10" x14ac:dyDescent="0.25">
      <c r="A1146" s="106"/>
      <c r="B1146" s="107"/>
      <c r="D1146" s="151"/>
      <c r="E1146" s="142"/>
      <c r="F1146" s="176"/>
      <c r="G1146" s="179"/>
      <c r="H1146" s="180"/>
      <c r="I1146" s="172"/>
      <c r="J1146" s="173"/>
    </row>
    <row r="1147" spans="1:10" x14ac:dyDescent="0.25">
      <c r="A1147" s="106"/>
      <c r="B1147" s="107"/>
      <c r="D1147" s="151"/>
      <c r="E1147" s="142"/>
      <c r="F1147" s="176"/>
      <c r="G1147" s="179"/>
      <c r="H1147" s="180"/>
      <c r="I1147" s="172"/>
      <c r="J1147" s="173"/>
    </row>
    <row r="1148" spans="1:10" x14ac:dyDescent="0.25">
      <c r="A1148" s="106"/>
      <c r="B1148" s="107"/>
      <c r="D1148" s="151"/>
      <c r="E1148" s="142"/>
      <c r="F1148" s="176"/>
      <c r="G1148" s="179"/>
      <c r="H1148" s="180"/>
      <c r="I1148" s="172"/>
      <c r="J1148" s="173"/>
    </row>
    <row r="1149" spans="1:10" x14ac:dyDescent="0.25">
      <c r="A1149" s="106"/>
      <c r="B1149" s="107"/>
      <c r="D1149" s="151"/>
      <c r="E1149" s="142"/>
      <c r="F1149" s="176"/>
      <c r="G1149" s="179"/>
      <c r="H1149" s="180"/>
      <c r="I1149" s="172"/>
      <c r="J1149" s="173"/>
    </row>
    <row r="1150" spans="1:10" x14ac:dyDescent="0.25">
      <c r="A1150" s="106"/>
      <c r="B1150" s="107"/>
      <c r="D1150" s="151"/>
      <c r="E1150" s="142"/>
      <c r="F1150" s="176"/>
      <c r="G1150" s="179"/>
      <c r="H1150" s="180"/>
      <c r="I1150" s="172"/>
      <c r="J1150" s="173"/>
    </row>
    <row r="1151" spans="1:10" x14ac:dyDescent="0.25">
      <c r="A1151" s="106"/>
      <c r="B1151" s="107"/>
      <c r="D1151" s="151"/>
      <c r="E1151" s="142"/>
      <c r="F1151" s="176"/>
      <c r="G1151" s="176"/>
      <c r="H1151" s="176"/>
      <c r="I1151" s="172"/>
      <c r="J1151" s="173"/>
    </row>
    <row r="1152" spans="1:10" x14ac:dyDescent="0.25">
      <c r="A1152" s="106"/>
      <c r="B1152" s="107"/>
      <c r="D1152" s="151"/>
      <c r="E1152" s="142"/>
      <c r="F1152" s="176"/>
      <c r="G1152" s="176"/>
      <c r="H1152" s="176"/>
      <c r="I1152" s="172"/>
      <c r="J1152" s="173"/>
    </row>
    <row r="1153" spans="1:10" x14ac:dyDescent="0.25">
      <c r="A1153" s="106"/>
      <c r="B1153" s="107"/>
      <c r="D1153" s="151"/>
      <c r="E1153" s="142"/>
      <c r="F1153" s="176"/>
      <c r="G1153" s="179"/>
      <c r="H1153" s="180"/>
      <c r="I1153" s="172"/>
      <c r="J1153" s="173"/>
    </row>
    <row r="1154" spans="1:10" x14ac:dyDescent="0.25">
      <c r="A1154" s="106"/>
      <c r="B1154" s="107"/>
      <c r="D1154" s="151"/>
      <c r="E1154" s="142"/>
      <c r="F1154" s="176"/>
      <c r="G1154" s="176"/>
      <c r="H1154" s="176"/>
      <c r="I1154" s="172"/>
      <c r="J1154" s="173"/>
    </row>
    <row r="1155" spans="1:10" x14ac:dyDescent="0.25">
      <c r="A1155" s="106"/>
      <c r="B1155" s="107"/>
      <c r="D1155" s="151"/>
      <c r="E1155" s="142"/>
      <c r="F1155" s="176"/>
      <c r="G1155" s="131"/>
      <c r="H1155" s="176"/>
      <c r="I1155" s="172"/>
      <c r="J1155" s="173"/>
    </row>
    <row r="1156" spans="1:10" x14ac:dyDescent="0.25">
      <c r="A1156" s="106"/>
      <c r="B1156" s="107"/>
      <c r="D1156" s="151"/>
      <c r="E1156" s="142"/>
      <c r="F1156" s="176"/>
      <c r="G1156" s="176"/>
      <c r="H1156" s="176"/>
      <c r="I1156" s="172"/>
      <c r="J1156" s="173"/>
    </row>
    <row r="1157" spans="1:10" x14ac:dyDescent="0.25">
      <c r="A1157" s="106"/>
      <c r="B1157" s="107"/>
      <c r="D1157" s="151"/>
      <c r="E1157" s="142"/>
      <c r="F1157" s="176"/>
      <c r="G1157" s="176"/>
      <c r="H1157" s="176"/>
      <c r="I1157" s="172"/>
      <c r="J1157" s="173"/>
    </row>
    <row r="1158" spans="1:10" x14ac:dyDescent="0.25">
      <c r="A1158" s="106"/>
      <c r="B1158" s="107"/>
      <c r="D1158" s="151"/>
      <c r="E1158" s="142"/>
      <c r="F1158" s="176"/>
      <c r="G1158" s="176"/>
      <c r="H1158" s="176"/>
      <c r="I1158" s="172"/>
      <c r="J1158" s="173"/>
    </row>
    <row r="1159" spans="1:10" x14ac:dyDescent="0.25">
      <c r="A1159" s="106"/>
      <c r="B1159" s="107"/>
      <c r="D1159" s="151"/>
      <c r="E1159" s="142"/>
      <c r="F1159" s="176"/>
      <c r="G1159" s="131"/>
      <c r="H1159" s="176"/>
      <c r="I1159" s="172"/>
      <c r="J1159" s="173"/>
    </row>
    <row r="1160" spans="1:10" x14ac:dyDescent="0.25">
      <c r="A1160" s="106"/>
      <c r="B1160" s="107"/>
      <c r="D1160" s="151"/>
      <c r="E1160" s="142"/>
      <c r="F1160" s="176"/>
      <c r="G1160" s="176"/>
      <c r="H1160" s="176"/>
      <c r="I1160" s="172"/>
      <c r="J1160" s="173"/>
    </row>
    <row r="1161" spans="1:10" x14ac:dyDescent="0.25">
      <c r="A1161" s="106"/>
      <c r="B1161" s="107"/>
      <c r="D1161" s="151"/>
      <c r="E1161" s="142"/>
      <c r="F1161" s="176"/>
      <c r="G1161" s="176"/>
      <c r="H1161" s="176"/>
      <c r="I1161" s="172"/>
      <c r="J1161" s="173"/>
    </row>
    <row r="1162" spans="1:10" x14ac:dyDescent="0.25">
      <c r="A1162" s="106"/>
      <c r="B1162" s="107"/>
      <c r="D1162" s="151"/>
      <c r="E1162" s="142"/>
      <c r="F1162" s="176"/>
      <c r="G1162" s="176"/>
      <c r="H1162" s="176"/>
      <c r="I1162" s="172"/>
      <c r="J1162" s="173"/>
    </row>
    <row r="1163" spans="1:10" x14ac:dyDescent="0.25">
      <c r="A1163" s="106"/>
      <c r="B1163" s="107"/>
      <c r="D1163" s="151"/>
      <c r="E1163" s="142"/>
      <c r="F1163" s="176"/>
      <c r="G1163" s="132"/>
      <c r="H1163" s="176"/>
      <c r="I1163" s="133"/>
      <c r="J1163" s="173"/>
    </row>
    <row r="1164" spans="1:10" x14ac:dyDescent="0.25">
      <c r="A1164" s="106"/>
      <c r="B1164" s="107"/>
      <c r="D1164" s="151"/>
      <c r="E1164" s="142"/>
      <c r="F1164" s="176"/>
      <c r="G1164" s="134"/>
      <c r="H1164" s="135"/>
      <c r="I1164" s="136"/>
      <c r="J1164" s="173"/>
    </row>
    <row r="1165" spans="1:10" x14ac:dyDescent="0.25">
      <c r="A1165" s="106"/>
      <c r="B1165" s="107"/>
      <c r="D1165" s="151"/>
      <c r="E1165" s="142"/>
      <c r="F1165" s="176"/>
      <c r="G1165" s="134"/>
      <c r="H1165" s="135"/>
      <c r="I1165" s="136"/>
      <c r="J1165" s="173"/>
    </row>
    <row r="1166" spans="1:10" x14ac:dyDescent="0.25">
      <c r="A1166" s="106"/>
      <c r="B1166" s="107"/>
      <c r="D1166" s="151"/>
      <c r="E1166" s="142"/>
      <c r="F1166" s="176"/>
      <c r="G1166" s="176"/>
      <c r="H1166" s="176"/>
      <c r="I1166" s="172"/>
      <c r="J1166" s="173"/>
    </row>
    <row r="1167" spans="1:10" x14ac:dyDescent="0.25">
      <c r="A1167" s="106"/>
      <c r="B1167" s="107"/>
      <c r="D1167" s="151"/>
      <c r="E1167" s="142"/>
      <c r="F1167" s="176"/>
      <c r="G1167" s="134"/>
      <c r="H1167" s="135"/>
      <c r="I1167" s="136"/>
      <c r="J1167" s="173"/>
    </row>
    <row r="1168" spans="1:10" x14ac:dyDescent="0.25">
      <c r="A1168" s="106"/>
      <c r="B1168" s="107"/>
      <c r="D1168" s="151"/>
      <c r="E1168" s="142"/>
      <c r="F1168" s="176"/>
      <c r="G1168" s="134"/>
      <c r="H1168" s="135"/>
      <c r="I1168" s="136"/>
      <c r="J1168" s="173"/>
    </row>
    <row r="1169" spans="1:10" x14ac:dyDescent="0.25">
      <c r="A1169" s="106"/>
      <c r="B1169" s="107"/>
      <c r="D1169" s="151"/>
      <c r="E1169" s="142"/>
      <c r="F1169" s="176"/>
      <c r="G1169" s="176"/>
      <c r="H1169" s="176"/>
      <c r="I1169" s="172"/>
      <c r="J1169" s="173"/>
    </row>
    <row r="1170" spans="1:10" x14ac:dyDescent="0.25">
      <c r="A1170" s="106"/>
      <c r="B1170" s="107"/>
      <c r="D1170" s="151"/>
      <c r="E1170" s="142"/>
      <c r="F1170" s="176"/>
      <c r="G1170" s="134"/>
      <c r="H1170" s="135"/>
      <c r="I1170" s="136"/>
      <c r="J1170" s="173"/>
    </row>
    <row r="1171" spans="1:10" x14ac:dyDescent="0.25">
      <c r="A1171" s="106"/>
      <c r="B1171" s="107"/>
      <c r="D1171" s="151"/>
      <c r="E1171" s="142"/>
      <c r="F1171" s="176"/>
      <c r="G1171" s="134"/>
      <c r="H1171" s="135"/>
      <c r="I1171" s="136"/>
      <c r="J1171" s="173"/>
    </row>
    <row r="1172" spans="1:10" x14ac:dyDescent="0.25">
      <c r="A1172" s="106"/>
      <c r="B1172" s="107"/>
      <c r="D1172" s="151"/>
      <c r="E1172" s="142"/>
      <c r="F1172" s="176"/>
      <c r="G1172" s="176"/>
      <c r="H1172" s="176"/>
      <c r="I1172" s="172"/>
      <c r="J1172" s="173"/>
    </row>
    <row r="1173" spans="1:10" x14ac:dyDescent="0.25">
      <c r="A1173" s="106"/>
      <c r="B1173" s="107"/>
      <c r="D1173" s="151"/>
      <c r="E1173" s="142"/>
      <c r="F1173" s="176"/>
      <c r="G1173" s="132"/>
      <c r="H1173" s="176"/>
      <c r="I1173" s="133"/>
      <c r="J1173" s="173"/>
    </row>
    <row r="1174" spans="1:10" x14ac:dyDescent="0.25">
      <c r="A1174" s="106"/>
      <c r="B1174" s="107"/>
      <c r="D1174" s="151"/>
      <c r="E1174" s="142"/>
      <c r="F1174" s="176"/>
      <c r="G1174" s="134"/>
      <c r="H1174" s="135"/>
      <c r="I1174" s="136"/>
      <c r="J1174" s="173"/>
    </row>
    <row r="1175" spans="1:10" x14ac:dyDescent="0.25">
      <c r="A1175" s="106"/>
      <c r="B1175" s="107"/>
      <c r="D1175" s="151"/>
      <c r="E1175" s="142"/>
      <c r="F1175" s="176"/>
      <c r="G1175" s="134"/>
      <c r="H1175" s="135"/>
      <c r="I1175" s="136"/>
      <c r="J1175" s="173"/>
    </row>
    <row r="1176" spans="1:10" x14ac:dyDescent="0.25">
      <c r="A1176" s="106"/>
      <c r="B1176" s="107"/>
      <c r="D1176" s="151"/>
      <c r="E1176" s="142"/>
      <c r="F1176" s="176"/>
      <c r="G1176" s="134"/>
      <c r="H1176" s="135"/>
      <c r="I1176" s="136"/>
      <c r="J1176" s="173"/>
    </row>
    <row r="1177" spans="1:10" x14ac:dyDescent="0.25">
      <c r="A1177" s="106"/>
      <c r="B1177" s="107"/>
      <c r="D1177" s="151"/>
      <c r="E1177" s="142"/>
      <c r="F1177" s="176"/>
      <c r="G1177" s="134"/>
      <c r="H1177" s="135"/>
      <c r="I1177" s="136"/>
      <c r="J1177" s="173"/>
    </row>
    <row r="1178" spans="1:10" x14ac:dyDescent="0.25">
      <c r="A1178" s="106"/>
      <c r="B1178" s="107"/>
      <c r="D1178" s="151"/>
      <c r="E1178" s="142"/>
      <c r="F1178" s="176"/>
      <c r="G1178" s="134"/>
      <c r="H1178" s="135"/>
      <c r="I1178" s="136"/>
      <c r="J1178" s="173"/>
    </row>
    <row r="1179" spans="1:10" x14ac:dyDescent="0.25">
      <c r="A1179" s="106"/>
      <c r="B1179" s="107"/>
      <c r="D1179" s="151"/>
      <c r="E1179" s="142"/>
      <c r="F1179" s="176"/>
      <c r="G1179" s="134"/>
      <c r="H1179" s="180"/>
      <c r="I1179" s="172"/>
      <c r="J1179" s="173"/>
    </row>
    <row r="1180" spans="1:10" x14ac:dyDescent="0.25">
      <c r="A1180" s="106"/>
      <c r="B1180" s="107"/>
      <c r="D1180" s="151"/>
      <c r="E1180" s="142"/>
      <c r="F1180" s="176"/>
      <c r="G1180" s="134"/>
      <c r="H1180" s="176"/>
      <c r="I1180" s="172"/>
      <c r="J1180" s="173"/>
    </row>
    <row r="1181" spans="1:10" x14ac:dyDescent="0.25">
      <c r="A1181" s="106"/>
      <c r="B1181" s="107"/>
      <c r="D1181" s="151"/>
      <c r="E1181" s="142"/>
      <c r="F1181" s="176"/>
      <c r="G1181" s="134"/>
      <c r="H1181" s="176"/>
      <c r="I1181" s="172"/>
      <c r="J1181" s="173"/>
    </row>
    <row r="1182" spans="1:10" x14ac:dyDescent="0.25">
      <c r="A1182" s="106"/>
      <c r="B1182" s="107"/>
      <c r="D1182" s="151"/>
      <c r="E1182" s="142"/>
      <c r="F1182" s="176"/>
      <c r="G1182" s="134"/>
      <c r="H1182" s="176"/>
      <c r="I1182" s="172"/>
      <c r="J1182" s="173"/>
    </row>
    <row r="1183" spans="1:10" x14ac:dyDescent="0.25">
      <c r="A1183" s="106"/>
      <c r="B1183" s="107"/>
      <c r="D1183" s="151"/>
      <c r="E1183" s="142"/>
      <c r="F1183" s="176"/>
      <c r="G1183" s="134"/>
      <c r="H1183" s="176"/>
      <c r="I1183" s="172"/>
      <c r="J1183" s="173"/>
    </row>
    <row r="1184" spans="1:10" x14ac:dyDescent="0.25">
      <c r="A1184" s="106"/>
      <c r="B1184" s="107"/>
      <c r="D1184" s="151"/>
      <c r="E1184" s="142"/>
      <c r="F1184" s="176"/>
      <c r="G1184" s="134"/>
      <c r="H1184" s="176"/>
      <c r="I1184" s="172"/>
      <c r="J1184" s="173"/>
    </row>
    <row r="1185" spans="1:10" x14ac:dyDescent="0.25">
      <c r="A1185" s="106"/>
      <c r="B1185" s="107"/>
      <c r="D1185" s="151"/>
      <c r="E1185" s="142"/>
      <c r="F1185" s="176"/>
      <c r="G1185" s="134"/>
      <c r="H1185" s="178"/>
      <c r="I1185" s="172"/>
      <c r="J1185" s="173"/>
    </row>
    <row r="1186" spans="1:10" x14ac:dyDescent="0.25">
      <c r="A1186" s="106"/>
      <c r="B1186" s="107"/>
      <c r="D1186" s="151"/>
      <c r="E1186" s="142"/>
      <c r="F1186" s="176"/>
      <c r="G1186" s="134"/>
      <c r="H1186" s="176"/>
      <c r="I1186" s="172"/>
      <c r="J1186" s="173"/>
    </row>
    <row r="1187" spans="1:10" x14ac:dyDescent="0.25">
      <c r="A1187" s="106"/>
      <c r="B1187" s="107"/>
      <c r="D1187" s="151"/>
      <c r="E1187" s="142"/>
      <c r="F1187" s="176"/>
      <c r="G1187" s="134"/>
      <c r="H1187" s="176"/>
      <c r="I1187" s="172"/>
      <c r="J1187" s="173"/>
    </row>
    <row r="1188" spans="1:10" x14ac:dyDescent="0.25">
      <c r="A1188" s="106"/>
      <c r="B1188" s="107"/>
      <c r="D1188" s="151"/>
      <c r="E1188" s="142"/>
      <c r="F1188" s="176"/>
      <c r="G1188" s="134"/>
      <c r="H1188" s="176"/>
      <c r="I1188" s="172"/>
      <c r="J1188" s="173"/>
    </row>
    <row r="1189" spans="1:10" x14ac:dyDescent="0.25">
      <c r="A1189" s="106"/>
      <c r="B1189" s="107"/>
      <c r="D1189" s="151"/>
      <c r="E1189" s="142"/>
      <c r="F1189" s="176"/>
      <c r="G1189" s="134"/>
      <c r="H1189" s="176"/>
      <c r="I1189" s="172"/>
      <c r="J1189" s="173"/>
    </row>
    <row r="1190" spans="1:10" x14ac:dyDescent="0.25">
      <c r="A1190" s="106"/>
      <c r="B1190" s="107"/>
      <c r="D1190" s="151"/>
      <c r="E1190" s="142"/>
      <c r="F1190" s="176"/>
      <c r="G1190" s="134"/>
      <c r="H1190" s="176"/>
      <c r="I1190" s="172"/>
      <c r="J1190" s="173"/>
    </row>
    <row r="1191" spans="1:10" x14ac:dyDescent="0.25">
      <c r="A1191" s="106"/>
      <c r="B1191" s="107"/>
      <c r="D1191" s="151"/>
      <c r="E1191" s="142"/>
      <c r="F1191" s="176"/>
      <c r="G1191" s="134"/>
      <c r="H1191" s="176"/>
      <c r="I1191" s="172"/>
      <c r="J1191" s="173"/>
    </row>
    <row r="1192" spans="1:10" x14ac:dyDescent="0.25">
      <c r="A1192" s="106"/>
      <c r="B1192" s="107"/>
      <c r="D1192" s="151"/>
      <c r="E1192" s="142"/>
      <c r="F1192" s="176"/>
      <c r="G1192" s="134"/>
      <c r="H1192" s="176"/>
      <c r="I1192" s="172"/>
      <c r="J1192" s="173"/>
    </row>
    <row r="1193" spans="1:10" x14ac:dyDescent="0.25">
      <c r="A1193" s="106"/>
      <c r="B1193" s="107"/>
      <c r="D1193" s="151"/>
      <c r="E1193" s="142"/>
      <c r="F1193" s="176"/>
      <c r="G1193" s="134"/>
      <c r="H1193" s="176"/>
      <c r="I1193" s="172"/>
      <c r="J1193" s="173"/>
    </row>
    <row r="1194" spans="1:10" x14ac:dyDescent="0.25">
      <c r="A1194" s="106"/>
      <c r="B1194" s="107"/>
      <c r="D1194" s="151"/>
      <c r="E1194" s="142"/>
      <c r="F1194" s="176"/>
      <c r="G1194" s="134"/>
      <c r="H1194" s="176"/>
      <c r="I1194" s="172"/>
      <c r="J1194" s="173"/>
    </row>
    <row r="1195" spans="1:10" x14ac:dyDescent="0.25">
      <c r="A1195" s="106"/>
      <c r="B1195" s="107"/>
      <c r="D1195" s="151"/>
      <c r="E1195" s="142"/>
      <c r="F1195" s="176"/>
      <c r="G1195" s="134"/>
      <c r="H1195" s="176"/>
      <c r="I1195" s="172"/>
      <c r="J1195" s="173"/>
    </row>
    <row r="1196" spans="1:10" x14ac:dyDescent="0.25">
      <c r="A1196" s="106"/>
      <c r="B1196" s="107"/>
      <c r="D1196" s="151"/>
      <c r="E1196" s="142"/>
      <c r="F1196" s="176"/>
      <c r="G1196" s="134"/>
      <c r="H1196" s="176"/>
      <c r="I1196" s="172"/>
      <c r="J1196" s="173"/>
    </row>
    <row r="1197" spans="1:10" x14ac:dyDescent="0.25">
      <c r="A1197" s="106"/>
      <c r="B1197" s="107"/>
      <c r="D1197" s="151"/>
      <c r="E1197" s="142"/>
      <c r="F1197" s="176"/>
      <c r="G1197" s="134"/>
      <c r="H1197" s="176"/>
      <c r="I1197" s="172"/>
      <c r="J1197" s="173"/>
    </row>
    <row r="1198" spans="1:10" x14ac:dyDescent="0.25">
      <c r="A1198" s="106"/>
      <c r="B1198" s="107"/>
      <c r="D1198" s="151"/>
      <c r="E1198" s="142"/>
      <c r="F1198" s="176"/>
      <c r="G1198" s="134"/>
      <c r="H1198" s="176"/>
      <c r="I1198" s="172"/>
      <c r="J1198" s="173"/>
    </row>
    <row r="1199" spans="1:10" x14ac:dyDescent="0.25">
      <c r="A1199" s="106"/>
      <c r="B1199" s="107"/>
      <c r="D1199" s="151"/>
      <c r="E1199" s="142"/>
      <c r="F1199" s="176"/>
      <c r="G1199" s="134"/>
      <c r="H1199" s="176"/>
      <c r="I1199" s="172"/>
      <c r="J1199" s="173"/>
    </row>
    <row r="1200" spans="1:10" x14ac:dyDescent="0.25">
      <c r="A1200" s="106"/>
      <c r="B1200" s="107"/>
      <c r="D1200" s="151"/>
      <c r="E1200" s="142"/>
      <c r="F1200" s="176"/>
      <c r="G1200" s="134"/>
      <c r="H1200" s="176"/>
      <c r="I1200" s="172"/>
      <c r="J1200" s="173"/>
    </row>
    <row r="1201" spans="1:10" x14ac:dyDescent="0.25">
      <c r="A1201" s="106"/>
      <c r="B1201" s="107"/>
      <c r="D1201" s="151"/>
      <c r="E1201" s="142"/>
      <c r="F1201" s="176"/>
      <c r="G1201" s="134"/>
      <c r="H1201" s="176"/>
      <c r="I1201" s="172"/>
      <c r="J1201" s="173"/>
    </row>
    <row r="1202" spans="1:10" x14ac:dyDescent="0.25">
      <c r="A1202" s="106"/>
      <c r="B1202" s="107"/>
      <c r="D1202" s="151"/>
      <c r="E1202" s="142"/>
      <c r="F1202" s="176"/>
      <c r="G1202" s="134"/>
      <c r="H1202" s="176"/>
      <c r="I1202" s="172"/>
      <c r="J1202" s="173"/>
    </row>
    <row r="1203" spans="1:10" x14ac:dyDescent="0.25">
      <c r="A1203" s="106"/>
      <c r="B1203" s="107"/>
      <c r="D1203" s="151"/>
      <c r="E1203" s="142"/>
      <c r="F1203" s="176"/>
      <c r="G1203" s="134"/>
      <c r="H1203" s="176"/>
      <c r="I1203" s="172"/>
      <c r="J1203" s="173"/>
    </row>
    <row r="1204" spans="1:10" x14ac:dyDescent="0.25">
      <c r="A1204" s="106"/>
      <c r="B1204" s="107"/>
      <c r="D1204" s="151"/>
      <c r="E1204" s="142"/>
      <c r="F1204" s="176"/>
      <c r="G1204" s="134"/>
      <c r="H1204" s="180"/>
      <c r="I1204" s="172"/>
      <c r="J1204" s="173"/>
    </row>
    <row r="1205" spans="1:10" x14ac:dyDescent="0.25">
      <c r="A1205" s="106"/>
      <c r="B1205" s="107"/>
      <c r="D1205" s="151"/>
      <c r="E1205" s="142"/>
      <c r="F1205" s="176"/>
      <c r="G1205" s="176"/>
      <c r="H1205" s="176"/>
      <c r="I1205" s="172"/>
      <c r="J1205" s="173"/>
    </row>
    <row r="1206" spans="1:10" x14ac:dyDescent="0.25">
      <c r="A1206" s="106"/>
      <c r="B1206" s="107"/>
      <c r="D1206" s="151"/>
      <c r="E1206" s="142"/>
      <c r="F1206" s="176"/>
      <c r="G1206" s="131"/>
      <c r="H1206" s="176"/>
      <c r="I1206" s="172"/>
      <c r="J1206" s="173"/>
    </row>
    <row r="1207" spans="1:10" x14ac:dyDescent="0.25">
      <c r="A1207" s="106"/>
      <c r="B1207" s="107"/>
      <c r="D1207" s="151"/>
      <c r="E1207" s="142"/>
      <c r="F1207" s="176"/>
      <c r="G1207" s="176"/>
      <c r="H1207" s="176"/>
      <c r="I1207" s="172"/>
      <c r="J1207" s="173"/>
    </row>
    <row r="1208" spans="1:10" x14ac:dyDescent="0.25">
      <c r="A1208" s="106"/>
      <c r="B1208" s="107"/>
      <c r="D1208" s="151"/>
      <c r="E1208" s="142"/>
      <c r="F1208" s="176"/>
      <c r="G1208" s="176"/>
      <c r="H1208" s="176"/>
      <c r="I1208" s="172"/>
      <c r="J1208" s="173"/>
    </row>
    <row r="1209" spans="1:10" x14ac:dyDescent="0.25">
      <c r="A1209" s="106"/>
      <c r="B1209" s="107"/>
      <c r="D1209" s="151"/>
      <c r="E1209" s="142"/>
      <c r="F1209" s="176"/>
      <c r="G1209" s="176"/>
      <c r="H1209" s="176"/>
      <c r="I1209" s="172"/>
      <c r="J1209" s="173"/>
    </row>
    <row r="1210" spans="1:10" x14ac:dyDescent="0.25">
      <c r="A1210" s="106"/>
      <c r="B1210" s="107"/>
      <c r="D1210" s="151"/>
      <c r="E1210" s="142"/>
      <c r="F1210" s="176"/>
      <c r="G1210" s="131"/>
      <c r="H1210" s="176"/>
      <c r="I1210" s="172"/>
      <c r="J1210" s="173"/>
    </row>
    <row r="1211" spans="1:10" x14ac:dyDescent="0.25">
      <c r="A1211" s="106"/>
      <c r="B1211" s="107"/>
      <c r="D1211" s="151"/>
      <c r="E1211" s="142"/>
      <c r="F1211" s="176"/>
      <c r="G1211" s="176"/>
      <c r="H1211" s="176"/>
      <c r="I1211" s="172"/>
      <c r="J1211" s="173"/>
    </row>
    <row r="1212" spans="1:10" x14ac:dyDescent="0.25">
      <c r="A1212" s="106"/>
      <c r="B1212" s="107"/>
      <c r="D1212" s="151"/>
      <c r="E1212" s="142"/>
      <c r="F1212" s="176"/>
      <c r="G1212" s="176"/>
      <c r="H1212" s="176"/>
      <c r="I1212" s="172"/>
      <c r="J1212" s="173"/>
    </row>
    <row r="1213" spans="1:10" x14ac:dyDescent="0.25">
      <c r="A1213" s="106"/>
      <c r="B1213" s="107"/>
      <c r="D1213" s="151"/>
      <c r="E1213" s="142"/>
      <c r="F1213" s="176"/>
      <c r="G1213" s="176"/>
      <c r="H1213" s="176"/>
      <c r="I1213" s="172"/>
      <c r="J1213" s="173"/>
    </row>
    <row r="1214" spans="1:10" x14ac:dyDescent="0.25">
      <c r="A1214" s="106"/>
      <c r="B1214" s="107"/>
      <c r="D1214" s="151"/>
      <c r="E1214" s="142"/>
      <c r="F1214" s="176"/>
      <c r="G1214" s="132"/>
      <c r="H1214" s="176"/>
      <c r="I1214" s="133"/>
      <c r="J1214" s="173"/>
    </row>
    <row r="1215" spans="1:10" x14ac:dyDescent="0.25">
      <c r="A1215" s="106"/>
      <c r="B1215" s="107"/>
      <c r="D1215" s="151"/>
      <c r="E1215" s="142"/>
      <c r="F1215" s="176"/>
      <c r="G1215" s="134"/>
      <c r="H1215" s="135"/>
      <c r="I1215" s="136"/>
      <c r="J1215" s="173"/>
    </row>
    <row r="1216" spans="1:10" x14ac:dyDescent="0.25">
      <c r="A1216" s="106"/>
      <c r="B1216" s="107"/>
      <c r="D1216" s="151"/>
      <c r="E1216" s="142"/>
      <c r="F1216" s="176"/>
      <c r="G1216" s="134"/>
      <c r="H1216" s="135"/>
      <c r="I1216" s="136"/>
      <c r="J1216" s="173"/>
    </row>
    <row r="1217" spans="1:10" x14ac:dyDescent="0.25">
      <c r="A1217" s="106"/>
      <c r="B1217" s="107"/>
      <c r="D1217" s="151"/>
      <c r="E1217" s="142"/>
      <c r="F1217" s="176"/>
      <c r="G1217" s="176"/>
      <c r="H1217" s="176"/>
      <c r="I1217" s="172"/>
      <c r="J1217" s="173"/>
    </row>
    <row r="1218" spans="1:10" x14ac:dyDescent="0.25">
      <c r="A1218" s="106"/>
      <c r="B1218" s="107"/>
      <c r="D1218" s="151"/>
      <c r="E1218" s="142"/>
      <c r="F1218" s="176"/>
      <c r="G1218" s="134"/>
      <c r="H1218" s="135"/>
      <c r="I1218" s="136"/>
      <c r="J1218" s="173"/>
    </row>
    <row r="1219" spans="1:10" x14ac:dyDescent="0.25">
      <c r="A1219" s="106"/>
      <c r="B1219" s="107"/>
      <c r="D1219" s="151"/>
      <c r="E1219" s="142"/>
      <c r="F1219" s="176"/>
      <c r="G1219" s="134"/>
      <c r="H1219" s="135"/>
      <c r="I1219" s="136"/>
      <c r="J1219" s="173"/>
    </row>
    <row r="1220" spans="1:10" x14ac:dyDescent="0.25">
      <c r="A1220" s="106"/>
      <c r="B1220" s="107"/>
      <c r="D1220" s="151"/>
      <c r="E1220" s="142"/>
      <c r="F1220" s="176"/>
      <c r="G1220" s="176"/>
      <c r="H1220" s="176"/>
      <c r="I1220" s="172"/>
      <c r="J1220" s="173"/>
    </row>
    <row r="1221" spans="1:10" x14ac:dyDescent="0.25">
      <c r="A1221" s="106"/>
      <c r="B1221" s="107"/>
      <c r="D1221" s="151"/>
      <c r="E1221" s="142"/>
      <c r="F1221" s="176"/>
      <c r="G1221" s="134"/>
      <c r="H1221" s="135"/>
      <c r="I1221" s="136"/>
      <c r="J1221" s="173"/>
    </row>
    <row r="1222" spans="1:10" x14ac:dyDescent="0.25">
      <c r="A1222" s="106"/>
      <c r="B1222" s="107"/>
      <c r="D1222" s="151"/>
      <c r="E1222" s="142"/>
      <c r="F1222" s="176"/>
      <c r="G1222" s="134"/>
      <c r="H1222" s="135"/>
      <c r="I1222" s="136"/>
      <c r="J1222" s="173"/>
    </row>
    <row r="1223" spans="1:10" x14ac:dyDescent="0.25">
      <c r="A1223" s="106"/>
      <c r="B1223" s="107"/>
      <c r="D1223" s="151"/>
      <c r="E1223" s="142"/>
      <c r="F1223" s="176"/>
      <c r="G1223" s="134"/>
      <c r="H1223" s="135"/>
      <c r="I1223" s="136"/>
      <c r="J1223" s="173"/>
    </row>
    <row r="1224" spans="1:10" x14ac:dyDescent="0.25">
      <c r="A1224" s="106"/>
      <c r="B1224" s="107"/>
      <c r="D1224" s="151"/>
      <c r="E1224" s="142"/>
      <c r="F1224" s="176"/>
      <c r="G1224" s="176"/>
      <c r="H1224" s="176"/>
      <c r="I1224" s="172"/>
      <c r="J1224" s="173"/>
    </row>
    <row r="1225" spans="1:10" x14ac:dyDescent="0.25">
      <c r="A1225" s="106"/>
      <c r="B1225" s="107"/>
      <c r="D1225" s="151"/>
      <c r="E1225" s="142"/>
      <c r="F1225" s="176"/>
      <c r="G1225" s="132"/>
      <c r="H1225" s="176"/>
      <c r="I1225" s="133"/>
      <c r="J1225" s="173"/>
    </row>
    <row r="1226" spans="1:10" x14ac:dyDescent="0.25">
      <c r="A1226" s="106"/>
      <c r="B1226" s="107"/>
      <c r="D1226" s="151"/>
      <c r="E1226" s="142"/>
      <c r="F1226" s="176"/>
      <c r="G1226" s="134"/>
      <c r="H1226" s="135"/>
      <c r="I1226" s="136"/>
      <c r="J1226" s="173"/>
    </row>
    <row r="1227" spans="1:10" x14ac:dyDescent="0.25">
      <c r="A1227" s="106"/>
      <c r="B1227" s="107"/>
      <c r="D1227" s="151"/>
      <c r="E1227" s="142"/>
      <c r="F1227" s="176"/>
      <c r="G1227" s="134"/>
      <c r="H1227" s="135"/>
      <c r="I1227" s="136"/>
      <c r="J1227" s="173"/>
    </row>
    <row r="1228" spans="1:10" x14ac:dyDescent="0.25">
      <c r="A1228" s="106"/>
      <c r="B1228" s="107"/>
      <c r="D1228" s="151"/>
      <c r="E1228" s="142"/>
      <c r="F1228" s="176"/>
      <c r="G1228" s="134"/>
      <c r="H1228" s="135"/>
      <c r="I1228" s="136"/>
      <c r="J1228" s="173"/>
    </row>
    <row r="1229" spans="1:10" x14ac:dyDescent="0.25">
      <c r="A1229" s="106"/>
      <c r="B1229" s="107"/>
      <c r="D1229" s="151"/>
      <c r="E1229" s="142"/>
      <c r="F1229" s="176"/>
      <c r="G1229" s="134"/>
      <c r="H1229" s="135"/>
      <c r="I1229" s="136"/>
      <c r="J1229" s="173"/>
    </row>
    <row r="1230" spans="1:10" x14ac:dyDescent="0.25">
      <c r="A1230" s="106"/>
      <c r="B1230" s="107"/>
      <c r="D1230" s="151"/>
      <c r="E1230" s="142"/>
      <c r="F1230" s="176"/>
      <c r="G1230" s="134"/>
      <c r="H1230" s="135"/>
      <c r="I1230" s="136"/>
      <c r="J1230" s="173"/>
    </row>
    <row r="1231" spans="1:10" x14ac:dyDescent="0.25">
      <c r="A1231" s="106"/>
      <c r="B1231" s="107"/>
      <c r="D1231" s="151"/>
      <c r="E1231" s="142"/>
      <c r="F1231" s="176"/>
      <c r="G1231" s="176"/>
      <c r="H1231" s="176"/>
      <c r="I1231" s="172"/>
      <c r="J1231" s="173"/>
    </row>
    <row r="1232" spans="1:10" x14ac:dyDescent="0.25">
      <c r="A1232" s="106"/>
      <c r="B1232" s="107"/>
      <c r="D1232" s="151"/>
      <c r="E1232" s="142"/>
      <c r="F1232" s="176"/>
      <c r="G1232" s="179"/>
      <c r="H1232" s="180"/>
      <c r="I1232" s="143"/>
      <c r="J1232" s="173"/>
    </row>
    <row r="1233" spans="1:10" x14ac:dyDescent="0.25">
      <c r="A1233" s="106"/>
      <c r="B1233" s="107"/>
      <c r="D1233" s="151"/>
      <c r="E1233" s="142"/>
      <c r="F1233" s="176"/>
      <c r="G1233" s="176"/>
      <c r="H1233" s="176"/>
      <c r="I1233" s="172"/>
      <c r="J1233" s="173"/>
    </row>
    <row r="1234" spans="1:10" x14ac:dyDescent="0.25">
      <c r="A1234" s="106"/>
      <c r="B1234" s="107"/>
      <c r="D1234" s="151"/>
      <c r="E1234" s="142"/>
      <c r="F1234" s="176"/>
      <c r="G1234" s="176"/>
      <c r="H1234" s="176"/>
      <c r="I1234" s="172"/>
      <c r="J1234" s="173"/>
    </row>
    <row r="1235" spans="1:10" x14ac:dyDescent="0.25">
      <c r="A1235" s="106"/>
      <c r="B1235" s="107"/>
      <c r="D1235" s="151"/>
      <c r="E1235" s="142"/>
      <c r="F1235" s="176"/>
      <c r="G1235" s="176"/>
      <c r="H1235" s="176"/>
      <c r="I1235" s="172"/>
      <c r="J1235" s="173"/>
    </row>
    <row r="1236" spans="1:10" x14ac:dyDescent="0.25">
      <c r="A1236" s="106"/>
      <c r="B1236" s="107"/>
      <c r="D1236" s="151"/>
      <c r="E1236" s="142"/>
      <c r="F1236" s="176"/>
      <c r="G1236" s="176"/>
      <c r="H1236" s="176"/>
      <c r="I1236" s="172"/>
      <c r="J1236" s="173"/>
    </row>
    <row r="1237" spans="1:10" x14ac:dyDescent="0.25">
      <c r="A1237" s="106"/>
      <c r="B1237" s="107"/>
      <c r="D1237" s="151"/>
      <c r="E1237" s="142"/>
      <c r="F1237" s="176"/>
      <c r="G1237" s="176"/>
      <c r="H1237" s="176"/>
      <c r="I1237" s="172"/>
      <c r="J1237" s="173"/>
    </row>
    <row r="1238" spans="1:10" x14ac:dyDescent="0.25">
      <c r="A1238" s="106"/>
      <c r="B1238" s="107"/>
      <c r="D1238" s="151"/>
      <c r="E1238" s="142"/>
      <c r="F1238" s="176"/>
      <c r="G1238" s="176"/>
      <c r="H1238" s="176"/>
      <c r="I1238" s="172"/>
      <c r="J1238" s="173"/>
    </row>
    <row r="1239" spans="1:10" x14ac:dyDescent="0.25">
      <c r="A1239" s="106"/>
      <c r="B1239" s="107"/>
      <c r="D1239" s="151"/>
      <c r="E1239" s="142"/>
      <c r="F1239" s="176"/>
      <c r="G1239" s="176"/>
      <c r="H1239" s="176"/>
      <c r="I1239" s="172"/>
      <c r="J1239" s="173"/>
    </row>
    <row r="1240" spans="1:10" x14ac:dyDescent="0.25">
      <c r="A1240" s="106"/>
      <c r="B1240" s="107"/>
      <c r="D1240" s="151"/>
      <c r="E1240" s="142"/>
      <c r="F1240" s="176"/>
      <c r="G1240" s="176"/>
      <c r="H1240" s="176"/>
      <c r="I1240" s="172"/>
      <c r="J1240" s="173"/>
    </row>
    <row r="1241" spans="1:10" x14ac:dyDescent="0.25">
      <c r="A1241" s="106"/>
      <c r="B1241" s="107"/>
      <c r="D1241" s="151"/>
      <c r="E1241" s="142"/>
      <c r="F1241" s="176"/>
      <c r="G1241" s="176"/>
      <c r="H1241" s="176"/>
      <c r="I1241" s="172"/>
      <c r="J1241" s="173"/>
    </row>
    <row r="1242" spans="1:10" x14ac:dyDescent="0.25">
      <c r="A1242" s="106"/>
      <c r="B1242" s="107"/>
      <c r="D1242" s="151"/>
      <c r="E1242" s="142"/>
      <c r="F1242" s="176"/>
      <c r="G1242" s="176"/>
      <c r="H1242" s="176"/>
      <c r="I1242" s="172"/>
      <c r="J1242" s="173"/>
    </row>
    <row r="1243" spans="1:10" x14ac:dyDescent="0.25">
      <c r="A1243" s="106"/>
      <c r="B1243" s="107"/>
      <c r="D1243" s="151"/>
      <c r="E1243" s="142"/>
      <c r="F1243" s="176"/>
      <c r="G1243" s="176"/>
      <c r="H1243" s="176"/>
      <c r="I1243" s="172"/>
      <c r="J1243" s="173"/>
    </row>
    <row r="1244" spans="1:10" x14ac:dyDescent="0.25">
      <c r="A1244" s="106"/>
      <c r="B1244" s="107"/>
      <c r="D1244" s="151"/>
      <c r="E1244" s="142"/>
      <c r="F1244" s="176"/>
      <c r="G1244" s="176"/>
      <c r="H1244" s="176"/>
      <c r="I1244" s="172"/>
      <c r="J1244" s="173"/>
    </row>
    <row r="1245" spans="1:10" x14ac:dyDescent="0.25">
      <c r="A1245" s="106"/>
      <c r="B1245" s="107"/>
      <c r="D1245" s="151"/>
      <c r="E1245" s="142"/>
      <c r="F1245" s="176"/>
      <c r="G1245" s="176"/>
      <c r="H1245" s="176"/>
      <c r="I1245" s="172"/>
      <c r="J1245" s="173"/>
    </row>
    <row r="1246" spans="1:10" x14ac:dyDescent="0.25">
      <c r="A1246" s="106"/>
      <c r="B1246" s="107"/>
      <c r="D1246" s="151"/>
      <c r="E1246" s="142"/>
      <c r="F1246" s="176"/>
      <c r="G1246" s="176"/>
      <c r="H1246" s="176"/>
      <c r="I1246" s="172"/>
      <c r="J1246" s="173"/>
    </row>
    <row r="1247" spans="1:10" x14ac:dyDescent="0.25">
      <c r="A1247" s="106"/>
      <c r="B1247" s="107"/>
      <c r="D1247" s="151"/>
      <c r="E1247" s="142"/>
      <c r="F1247" s="176"/>
      <c r="G1247" s="176"/>
      <c r="H1247" s="176"/>
      <c r="I1247" s="172"/>
      <c r="J1247" s="173"/>
    </row>
    <row r="1248" spans="1:10" x14ac:dyDescent="0.25">
      <c r="A1248" s="106"/>
      <c r="B1248" s="107"/>
      <c r="D1248" s="151"/>
      <c r="E1248" s="142"/>
      <c r="F1248" s="176"/>
      <c r="G1248" s="176"/>
      <c r="H1248" s="176"/>
      <c r="I1248" s="172"/>
      <c r="J1248" s="173"/>
    </row>
    <row r="1249" spans="1:10" x14ac:dyDescent="0.25">
      <c r="A1249" s="106"/>
      <c r="B1249" s="107"/>
      <c r="D1249" s="151"/>
      <c r="E1249" s="142"/>
      <c r="F1249" s="176"/>
      <c r="G1249" s="176"/>
      <c r="H1249" s="176"/>
      <c r="I1249" s="172"/>
      <c r="J1249" s="173"/>
    </row>
    <row r="1250" spans="1:10" x14ac:dyDescent="0.25">
      <c r="A1250" s="106"/>
      <c r="B1250" s="107"/>
      <c r="D1250" s="151"/>
      <c r="E1250" s="142"/>
      <c r="F1250" s="176"/>
      <c r="G1250" s="176"/>
      <c r="H1250" s="176"/>
      <c r="I1250" s="172"/>
      <c r="J1250" s="173"/>
    </row>
    <row r="1251" spans="1:10" x14ac:dyDescent="0.25">
      <c r="A1251" s="106"/>
      <c r="B1251" s="107"/>
      <c r="D1251" s="151"/>
      <c r="E1251" s="142"/>
      <c r="F1251" s="176"/>
      <c r="G1251" s="176"/>
      <c r="H1251" s="176"/>
      <c r="I1251" s="172"/>
      <c r="J1251" s="173"/>
    </row>
    <row r="1252" spans="1:10" x14ac:dyDescent="0.25">
      <c r="A1252" s="106"/>
      <c r="B1252" s="107"/>
      <c r="D1252" s="151"/>
      <c r="E1252" s="142"/>
      <c r="F1252" s="176"/>
      <c r="G1252" s="176"/>
      <c r="H1252" s="176"/>
      <c r="I1252" s="172"/>
      <c r="J1252" s="173"/>
    </row>
    <row r="1253" spans="1:10" x14ac:dyDescent="0.25">
      <c r="A1253" s="106"/>
      <c r="B1253" s="107"/>
      <c r="D1253" s="151"/>
      <c r="E1253" s="142"/>
      <c r="F1253" s="176"/>
      <c r="G1253" s="176"/>
      <c r="H1253" s="176"/>
      <c r="I1253" s="172"/>
      <c r="J1253" s="173"/>
    </row>
    <row r="1254" spans="1:10" x14ac:dyDescent="0.25">
      <c r="A1254" s="106"/>
      <c r="B1254" s="107"/>
      <c r="D1254" s="151"/>
      <c r="E1254" s="142"/>
      <c r="F1254" s="176"/>
      <c r="G1254" s="179"/>
      <c r="H1254" s="180"/>
      <c r="I1254" s="172"/>
      <c r="J1254" s="173"/>
    </row>
    <row r="1255" spans="1:10" x14ac:dyDescent="0.25">
      <c r="A1255" s="106"/>
      <c r="B1255" s="107"/>
      <c r="D1255" s="151"/>
      <c r="E1255" s="142"/>
      <c r="F1255" s="176"/>
      <c r="G1255" s="176"/>
      <c r="H1255" s="176"/>
      <c r="I1255" s="172"/>
      <c r="J1255" s="173"/>
    </row>
    <row r="1256" spans="1:10" x14ac:dyDescent="0.25">
      <c r="A1256" s="106"/>
      <c r="B1256" s="107"/>
      <c r="D1256" s="151"/>
      <c r="E1256" s="142"/>
      <c r="F1256" s="176"/>
      <c r="G1256" s="131"/>
      <c r="H1256" s="176"/>
      <c r="I1256" s="172"/>
      <c r="J1256" s="173"/>
    </row>
    <row r="1257" spans="1:10" x14ac:dyDescent="0.25">
      <c r="A1257" s="106"/>
      <c r="B1257" s="107"/>
      <c r="D1257" s="151"/>
      <c r="E1257" s="142"/>
      <c r="F1257" s="176"/>
      <c r="G1257" s="176"/>
      <c r="H1257" s="176"/>
      <c r="I1257" s="172"/>
      <c r="J1257" s="173"/>
    </row>
    <row r="1258" spans="1:10" x14ac:dyDescent="0.25">
      <c r="A1258" s="106"/>
      <c r="B1258" s="107"/>
      <c r="D1258" s="151"/>
      <c r="E1258" s="142"/>
      <c r="F1258" s="176"/>
      <c r="G1258" s="176"/>
      <c r="H1258" s="176"/>
      <c r="I1258" s="172"/>
      <c r="J1258" s="173"/>
    </row>
    <row r="1259" spans="1:10" x14ac:dyDescent="0.25">
      <c r="A1259" s="106"/>
      <c r="B1259" s="107"/>
      <c r="D1259" s="151"/>
      <c r="E1259" s="142"/>
      <c r="F1259" s="176"/>
      <c r="G1259" s="176"/>
      <c r="H1259" s="176"/>
      <c r="I1259" s="172"/>
      <c r="J1259" s="173"/>
    </row>
    <row r="1260" spans="1:10" x14ac:dyDescent="0.25">
      <c r="A1260" s="106"/>
      <c r="B1260" s="107"/>
      <c r="D1260" s="151"/>
      <c r="E1260" s="142"/>
      <c r="F1260" s="176"/>
      <c r="G1260" s="131"/>
      <c r="H1260" s="176"/>
      <c r="I1260" s="172"/>
      <c r="J1260" s="173"/>
    </row>
    <row r="1261" spans="1:10" x14ac:dyDescent="0.25">
      <c r="A1261" s="106"/>
      <c r="B1261" s="107"/>
      <c r="D1261" s="151"/>
      <c r="E1261" s="142"/>
      <c r="F1261" s="176"/>
      <c r="G1261" s="176"/>
      <c r="H1261" s="176"/>
      <c r="I1261" s="172"/>
      <c r="J1261" s="173"/>
    </row>
    <row r="1262" spans="1:10" x14ac:dyDescent="0.25">
      <c r="A1262" s="106"/>
      <c r="B1262" s="107"/>
      <c r="D1262" s="151"/>
      <c r="E1262" s="142"/>
      <c r="F1262" s="176"/>
      <c r="G1262" s="176"/>
      <c r="H1262" s="176"/>
      <c r="I1262" s="172"/>
      <c r="J1262" s="173"/>
    </row>
    <row r="1263" spans="1:10" x14ac:dyDescent="0.25">
      <c r="A1263" s="106"/>
      <c r="B1263" s="107"/>
      <c r="D1263" s="151"/>
      <c r="E1263" s="142"/>
      <c r="F1263" s="176"/>
      <c r="G1263" s="176"/>
      <c r="H1263" s="176"/>
      <c r="I1263" s="172"/>
      <c r="J1263" s="173"/>
    </row>
    <row r="1264" spans="1:10" x14ac:dyDescent="0.25">
      <c r="A1264" s="106"/>
      <c r="B1264" s="107"/>
      <c r="D1264" s="151"/>
      <c r="E1264" s="142"/>
      <c r="F1264" s="176"/>
      <c r="G1264" s="132"/>
      <c r="H1264" s="176"/>
      <c r="I1264" s="133"/>
      <c r="J1264" s="173"/>
    </row>
    <row r="1265" spans="1:10" x14ac:dyDescent="0.25">
      <c r="A1265" s="106"/>
      <c r="B1265" s="107"/>
      <c r="D1265" s="151"/>
      <c r="E1265" s="142"/>
      <c r="F1265" s="176"/>
      <c r="G1265" s="134"/>
      <c r="H1265" s="135"/>
      <c r="I1265" s="136"/>
      <c r="J1265" s="173"/>
    </row>
    <row r="1266" spans="1:10" x14ac:dyDescent="0.25">
      <c r="A1266" s="106"/>
      <c r="B1266" s="107"/>
      <c r="D1266" s="151"/>
      <c r="E1266" s="142"/>
      <c r="F1266" s="176"/>
      <c r="G1266" s="134"/>
      <c r="H1266" s="135"/>
      <c r="I1266" s="136"/>
      <c r="J1266" s="173"/>
    </row>
    <row r="1267" spans="1:10" x14ac:dyDescent="0.25">
      <c r="A1267" s="106"/>
      <c r="B1267" s="107"/>
      <c r="D1267" s="151"/>
      <c r="E1267" s="142"/>
      <c r="F1267" s="176"/>
      <c r="G1267" s="176"/>
      <c r="H1267" s="176"/>
      <c r="I1267" s="172"/>
      <c r="J1267" s="173"/>
    </row>
    <row r="1268" spans="1:10" x14ac:dyDescent="0.25">
      <c r="A1268" s="106"/>
      <c r="B1268" s="107"/>
      <c r="D1268" s="151"/>
      <c r="E1268" s="142"/>
      <c r="F1268" s="176"/>
      <c r="G1268" s="134"/>
      <c r="H1268" s="135"/>
      <c r="I1268" s="136"/>
      <c r="J1268" s="173"/>
    </row>
    <row r="1269" spans="1:10" x14ac:dyDescent="0.25">
      <c r="A1269" s="106"/>
      <c r="B1269" s="107"/>
      <c r="D1269" s="151"/>
      <c r="E1269" s="142"/>
      <c r="F1269" s="176"/>
      <c r="G1269" s="134"/>
      <c r="H1269" s="135"/>
      <c r="I1269" s="136"/>
      <c r="J1269" s="173"/>
    </row>
    <row r="1270" spans="1:10" x14ac:dyDescent="0.25">
      <c r="A1270" s="106"/>
      <c r="B1270" s="107"/>
      <c r="D1270" s="151"/>
      <c r="E1270" s="142"/>
      <c r="F1270" s="176"/>
      <c r="G1270" s="176"/>
      <c r="H1270" s="176"/>
      <c r="I1270" s="172"/>
      <c r="J1270" s="173"/>
    </row>
    <row r="1271" spans="1:10" x14ac:dyDescent="0.25">
      <c r="A1271" s="106"/>
      <c r="B1271" s="107"/>
      <c r="D1271" s="151"/>
      <c r="E1271" s="142"/>
      <c r="F1271" s="176"/>
      <c r="G1271" s="134"/>
      <c r="H1271" s="135"/>
      <c r="I1271" s="136"/>
      <c r="J1271" s="173"/>
    </row>
    <row r="1272" spans="1:10" x14ac:dyDescent="0.25">
      <c r="A1272" s="106"/>
      <c r="B1272" s="107"/>
      <c r="D1272" s="151"/>
      <c r="E1272" s="142"/>
      <c r="F1272" s="176"/>
      <c r="G1272" s="134"/>
      <c r="H1272" s="135"/>
      <c r="I1272" s="136"/>
      <c r="J1272" s="173"/>
    </row>
    <row r="1273" spans="1:10" x14ac:dyDescent="0.25">
      <c r="A1273" s="106"/>
      <c r="B1273" s="107"/>
      <c r="D1273" s="151"/>
      <c r="E1273" s="142"/>
      <c r="F1273" s="176"/>
      <c r="G1273" s="134"/>
      <c r="H1273" s="135"/>
      <c r="I1273" s="136"/>
      <c r="J1273" s="173"/>
    </row>
    <row r="1274" spans="1:10" x14ac:dyDescent="0.25">
      <c r="A1274" s="106"/>
      <c r="B1274" s="107"/>
      <c r="D1274" s="151"/>
      <c r="E1274" s="142"/>
      <c r="F1274" s="176"/>
      <c r="G1274" s="134"/>
      <c r="H1274" s="135"/>
      <c r="I1274" s="136"/>
      <c r="J1274" s="173"/>
    </row>
    <row r="1275" spans="1:10" x14ac:dyDescent="0.25">
      <c r="A1275" s="106"/>
      <c r="B1275" s="107"/>
      <c r="D1275" s="151"/>
      <c r="E1275" s="142"/>
      <c r="F1275" s="176"/>
      <c r="G1275" s="176"/>
      <c r="H1275" s="176"/>
      <c r="I1275" s="172"/>
      <c r="J1275" s="173"/>
    </row>
    <row r="1276" spans="1:10" x14ac:dyDescent="0.25">
      <c r="A1276" s="106"/>
      <c r="B1276" s="107"/>
      <c r="D1276" s="151"/>
      <c r="E1276" s="142"/>
      <c r="F1276" s="176"/>
      <c r="G1276" s="132"/>
      <c r="H1276" s="176"/>
      <c r="I1276" s="133"/>
      <c r="J1276" s="173"/>
    </row>
    <row r="1277" spans="1:10" x14ac:dyDescent="0.25">
      <c r="A1277" s="106"/>
      <c r="B1277" s="107"/>
      <c r="D1277" s="151"/>
      <c r="E1277" s="142"/>
      <c r="F1277" s="176"/>
      <c r="G1277" s="134"/>
      <c r="H1277" s="135"/>
      <c r="I1277" s="136"/>
      <c r="J1277" s="173"/>
    </row>
    <row r="1278" spans="1:10" x14ac:dyDescent="0.25">
      <c r="A1278" s="106"/>
      <c r="B1278" s="107"/>
      <c r="D1278" s="151"/>
      <c r="E1278" s="142"/>
      <c r="F1278" s="176"/>
      <c r="G1278" s="134"/>
      <c r="H1278" s="135"/>
      <c r="I1278" s="136"/>
      <c r="J1278" s="173"/>
    </row>
    <row r="1279" spans="1:10" x14ac:dyDescent="0.25">
      <c r="A1279" s="106"/>
      <c r="B1279" s="107"/>
      <c r="D1279" s="151"/>
      <c r="E1279" s="142"/>
      <c r="F1279" s="176"/>
      <c r="G1279" s="134"/>
      <c r="H1279" s="135"/>
      <c r="I1279" s="136"/>
      <c r="J1279" s="173"/>
    </row>
    <row r="1280" spans="1:10" x14ac:dyDescent="0.25">
      <c r="A1280" s="106"/>
      <c r="B1280" s="107"/>
      <c r="D1280" s="151"/>
      <c r="E1280" s="142"/>
      <c r="F1280" s="176"/>
      <c r="G1280" s="176"/>
      <c r="H1280" s="176"/>
      <c r="I1280" s="172"/>
      <c r="J1280" s="173"/>
    </row>
    <row r="1281" spans="1:10" x14ac:dyDescent="0.25">
      <c r="A1281" s="106"/>
      <c r="B1281" s="107"/>
      <c r="D1281" s="151"/>
      <c r="E1281" s="142"/>
      <c r="F1281" s="176"/>
      <c r="G1281" s="134"/>
      <c r="H1281" s="135"/>
      <c r="I1281" s="136"/>
      <c r="J1281" s="173"/>
    </row>
    <row r="1282" spans="1:10" x14ac:dyDescent="0.25">
      <c r="A1282" s="106"/>
      <c r="B1282" s="107"/>
      <c r="D1282" s="151"/>
      <c r="E1282" s="142"/>
      <c r="F1282" s="176"/>
      <c r="G1282" s="134"/>
      <c r="H1282" s="135"/>
      <c r="I1282" s="136"/>
      <c r="J1282" s="173"/>
    </row>
    <row r="1283" spans="1:10" x14ac:dyDescent="0.25">
      <c r="A1283" s="106"/>
      <c r="B1283" s="107"/>
      <c r="D1283" s="151"/>
      <c r="E1283" s="142"/>
      <c r="F1283" s="176"/>
      <c r="G1283" s="176"/>
      <c r="H1283" s="176"/>
      <c r="I1283" s="172"/>
      <c r="J1283" s="173"/>
    </row>
    <row r="1284" spans="1:10" x14ac:dyDescent="0.25">
      <c r="A1284" s="106"/>
      <c r="B1284" s="107"/>
      <c r="D1284" s="151"/>
      <c r="E1284" s="142"/>
      <c r="F1284" s="176"/>
      <c r="G1284" s="179"/>
      <c r="H1284" s="180"/>
      <c r="I1284" s="143"/>
      <c r="J1284" s="173"/>
    </row>
    <row r="1285" spans="1:10" x14ac:dyDescent="0.25">
      <c r="A1285" s="106"/>
      <c r="B1285" s="107"/>
      <c r="D1285" s="151"/>
      <c r="E1285" s="142"/>
      <c r="F1285" s="176"/>
      <c r="G1285" s="176"/>
      <c r="H1285" s="176"/>
      <c r="I1285" s="172"/>
      <c r="J1285" s="173"/>
    </row>
    <row r="1286" spans="1:10" x14ac:dyDescent="0.25">
      <c r="A1286" s="106"/>
      <c r="B1286" s="107"/>
      <c r="D1286" s="151"/>
      <c r="E1286" s="142"/>
      <c r="F1286" s="176"/>
      <c r="G1286" s="176"/>
      <c r="H1286" s="176"/>
      <c r="I1286" s="172"/>
      <c r="J1286" s="173"/>
    </row>
    <row r="1287" spans="1:10" x14ac:dyDescent="0.25">
      <c r="A1287" s="106"/>
      <c r="B1287" s="107"/>
      <c r="D1287" s="151"/>
      <c r="E1287" s="142"/>
      <c r="F1287" s="176"/>
      <c r="G1287" s="176"/>
      <c r="H1287" s="176"/>
      <c r="I1287" s="172"/>
      <c r="J1287" s="173"/>
    </row>
    <row r="1288" spans="1:10" x14ac:dyDescent="0.25">
      <c r="A1288" s="106"/>
      <c r="B1288" s="107"/>
      <c r="D1288" s="151"/>
      <c r="E1288" s="142"/>
      <c r="F1288" s="176"/>
      <c r="G1288" s="176"/>
      <c r="H1288" s="176"/>
      <c r="I1288" s="172"/>
      <c r="J1288" s="173"/>
    </row>
    <row r="1289" spans="1:10" x14ac:dyDescent="0.25">
      <c r="A1289" s="106"/>
      <c r="B1289" s="107"/>
      <c r="D1289" s="151"/>
      <c r="E1289" s="142"/>
      <c r="F1289" s="176"/>
      <c r="G1289" s="176"/>
      <c r="H1289" s="176"/>
      <c r="I1289" s="172"/>
      <c r="J1289" s="173"/>
    </row>
    <row r="1290" spans="1:10" x14ac:dyDescent="0.25">
      <c r="A1290" s="106"/>
      <c r="B1290" s="107"/>
      <c r="D1290" s="151"/>
      <c r="E1290" s="142"/>
      <c r="F1290" s="176"/>
      <c r="G1290" s="176"/>
      <c r="H1290" s="176"/>
      <c r="I1290" s="172"/>
      <c r="J1290" s="173"/>
    </row>
    <row r="1291" spans="1:10" x14ac:dyDescent="0.25">
      <c r="A1291" s="106"/>
      <c r="B1291" s="107"/>
      <c r="D1291" s="151"/>
      <c r="E1291" s="142"/>
      <c r="F1291" s="176"/>
      <c r="G1291" s="176"/>
      <c r="H1291" s="176"/>
      <c r="I1291" s="172"/>
      <c r="J1291" s="173"/>
    </row>
    <row r="1292" spans="1:10" x14ac:dyDescent="0.25">
      <c r="A1292" s="106"/>
      <c r="B1292" s="107"/>
      <c r="D1292" s="151"/>
      <c r="E1292" s="142"/>
      <c r="F1292" s="176"/>
      <c r="G1292" s="176"/>
      <c r="H1292" s="176"/>
      <c r="I1292" s="172"/>
      <c r="J1292" s="173"/>
    </row>
    <row r="1293" spans="1:10" x14ac:dyDescent="0.25">
      <c r="A1293" s="106"/>
      <c r="B1293" s="107"/>
      <c r="D1293" s="151"/>
      <c r="E1293" s="142"/>
      <c r="F1293" s="176"/>
      <c r="G1293" s="176"/>
      <c r="H1293" s="176"/>
      <c r="I1293" s="172"/>
      <c r="J1293" s="173"/>
    </row>
    <row r="1294" spans="1:10" x14ac:dyDescent="0.25">
      <c r="A1294" s="106"/>
      <c r="B1294" s="107"/>
      <c r="D1294" s="151"/>
      <c r="E1294" s="142"/>
      <c r="F1294" s="176"/>
      <c r="G1294" s="176"/>
      <c r="H1294" s="176"/>
      <c r="I1294" s="172"/>
      <c r="J1294" s="173"/>
    </row>
    <row r="1295" spans="1:10" x14ac:dyDescent="0.25">
      <c r="A1295" s="106"/>
      <c r="B1295" s="107"/>
      <c r="D1295" s="151"/>
      <c r="E1295" s="142"/>
      <c r="F1295" s="176"/>
      <c r="G1295" s="176"/>
      <c r="H1295" s="176"/>
      <c r="I1295" s="172"/>
      <c r="J1295" s="173"/>
    </row>
    <row r="1296" spans="1:10" x14ac:dyDescent="0.25">
      <c r="A1296" s="106"/>
      <c r="B1296" s="107"/>
      <c r="D1296" s="151"/>
      <c r="E1296" s="142"/>
      <c r="F1296" s="176"/>
      <c r="G1296" s="176"/>
      <c r="H1296" s="176"/>
      <c r="I1296" s="172"/>
      <c r="J1296" s="173"/>
    </row>
    <row r="1297" spans="1:10" x14ac:dyDescent="0.25">
      <c r="A1297" s="106"/>
      <c r="B1297" s="107"/>
      <c r="D1297" s="151"/>
      <c r="E1297" s="142"/>
      <c r="F1297" s="176"/>
      <c r="G1297" s="176"/>
      <c r="H1297" s="176"/>
      <c r="I1297" s="172"/>
      <c r="J1297" s="173"/>
    </row>
    <row r="1298" spans="1:10" x14ac:dyDescent="0.25">
      <c r="A1298" s="106"/>
      <c r="B1298" s="107"/>
      <c r="D1298" s="151"/>
      <c r="E1298" s="142"/>
      <c r="F1298" s="176"/>
      <c r="G1298" s="176"/>
      <c r="H1298" s="176"/>
      <c r="I1298" s="172"/>
      <c r="J1298" s="173"/>
    </row>
    <row r="1299" spans="1:10" x14ac:dyDescent="0.25">
      <c r="A1299" s="106"/>
      <c r="B1299" s="107"/>
      <c r="D1299" s="151"/>
      <c r="E1299" s="142"/>
      <c r="F1299" s="176"/>
      <c r="G1299" s="176"/>
      <c r="H1299" s="176"/>
      <c r="I1299" s="172"/>
      <c r="J1299" s="173"/>
    </row>
    <row r="1300" spans="1:10" x14ac:dyDescent="0.25">
      <c r="A1300" s="106"/>
      <c r="B1300" s="107"/>
      <c r="D1300" s="151"/>
      <c r="E1300" s="142"/>
      <c r="F1300" s="176"/>
      <c r="G1300" s="176"/>
      <c r="H1300" s="176"/>
      <c r="I1300" s="172"/>
      <c r="J1300" s="173"/>
    </row>
    <row r="1301" spans="1:10" x14ac:dyDescent="0.25">
      <c r="A1301" s="106"/>
      <c r="B1301" s="107"/>
      <c r="D1301" s="151"/>
      <c r="E1301" s="142"/>
      <c r="F1301" s="176"/>
      <c r="G1301" s="176"/>
      <c r="H1301" s="176"/>
      <c r="I1301" s="172"/>
      <c r="J1301" s="173"/>
    </row>
    <row r="1302" spans="1:10" x14ac:dyDescent="0.25">
      <c r="A1302" s="106"/>
      <c r="B1302" s="107"/>
      <c r="D1302" s="151"/>
      <c r="E1302" s="142"/>
      <c r="F1302" s="176"/>
      <c r="G1302" s="176"/>
      <c r="H1302" s="176"/>
      <c r="I1302" s="172"/>
      <c r="J1302" s="173"/>
    </row>
    <row r="1303" spans="1:10" x14ac:dyDescent="0.25">
      <c r="A1303" s="106"/>
      <c r="B1303" s="107"/>
      <c r="D1303" s="151"/>
      <c r="E1303" s="142"/>
      <c r="F1303" s="176"/>
      <c r="G1303" s="176"/>
      <c r="H1303" s="176"/>
      <c r="I1303" s="172"/>
      <c r="J1303" s="173"/>
    </row>
    <row r="1304" spans="1:10" x14ac:dyDescent="0.25">
      <c r="A1304" s="106"/>
      <c r="B1304" s="107"/>
      <c r="D1304" s="151"/>
      <c r="E1304" s="142"/>
      <c r="F1304" s="176"/>
      <c r="G1304" s="179"/>
      <c r="H1304" s="180"/>
      <c r="I1304" s="172"/>
      <c r="J1304" s="173"/>
    </row>
    <row r="1305" spans="1:10" x14ac:dyDescent="0.25">
      <c r="A1305" s="106"/>
      <c r="B1305" s="107"/>
      <c r="D1305" s="151"/>
      <c r="E1305" s="142"/>
      <c r="F1305" s="176"/>
      <c r="G1305" s="176"/>
      <c r="H1305" s="176"/>
      <c r="I1305" s="172"/>
      <c r="J1305" s="173"/>
    </row>
    <row r="1306" spans="1:10" x14ac:dyDescent="0.25">
      <c r="A1306" s="106"/>
      <c r="B1306" s="107"/>
      <c r="D1306" s="151"/>
      <c r="E1306" s="142"/>
      <c r="F1306" s="176"/>
      <c r="G1306" s="131"/>
      <c r="H1306" s="176"/>
      <c r="I1306" s="172"/>
      <c r="J1306" s="173"/>
    </row>
    <row r="1307" spans="1:10" x14ac:dyDescent="0.25">
      <c r="A1307" s="106"/>
      <c r="B1307" s="107"/>
      <c r="D1307" s="151"/>
      <c r="E1307" s="142"/>
      <c r="F1307" s="176"/>
      <c r="G1307" s="176"/>
      <c r="H1307" s="176"/>
      <c r="I1307" s="172"/>
      <c r="J1307" s="173"/>
    </row>
    <row r="1308" spans="1:10" x14ac:dyDescent="0.25">
      <c r="A1308" s="106"/>
      <c r="B1308" s="107"/>
      <c r="D1308" s="151"/>
      <c r="E1308" s="142"/>
      <c r="F1308" s="176"/>
      <c r="G1308" s="176"/>
      <c r="H1308" s="176"/>
      <c r="I1308" s="172"/>
      <c r="J1308" s="173"/>
    </row>
    <row r="1309" spans="1:10" x14ac:dyDescent="0.25">
      <c r="A1309" s="106"/>
      <c r="B1309" s="107"/>
      <c r="D1309" s="151"/>
      <c r="E1309" s="142"/>
      <c r="F1309" s="176"/>
      <c r="G1309" s="176"/>
      <c r="H1309" s="176"/>
      <c r="I1309" s="172"/>
      <c r="J1309" s="173"/>
    </row>
    <row r="1310" spans="1:10" x14ac:dyDescent="0.25">
      <c r="A1310" s="106"/>
      <c r="B1310" s="107"/>
      <c r="D1310" s="151"/>
      <c r="E1310" s="142"/>
      <c r="F1310" s="176"/>
      <c r="G1310" s="131"/>
      <c r="H1310" s="176"/>
      <c r="I1310" s="172"/>
      <c r="J1310" s="173"/>
    </row>
    <row r="1311" spans="1:10" x14ac:dyDescent="0.25">
      <c r="A1311" s="106"/>
      <c r="B1311" s="107"/>
      <c r="D1311" s="151"/>
      <c r="E1311" s="142"/>
      <c r="F1311" s="176"/>
      <c r="G1311" s="131"/>
      <c r="H1311" s="176"/>
      <c r="I1311" s="172"/>
      <c r="J1311" s="173"/>
    </row>
    <row r="1312" spans="1:10" x14ac:dyDescent="0.25">
      <c r="A1312" s="106"/>
      <c r="B1312" s="107"/>
      <c r="D1312" s="151"/>
      <c r="E1312" s="142"/>
      <c r="F1312" s="176"/>
      <c r="G1312" s="176"/>
      <c r="H1312" s="176"/>
      <c r="I1312" s="172"/>
      <c r="J1312" s="173"/>
    </row>
    <row r="1313" spans="1:10" x14ac:dyDescent="0.25">
      <c r="A1313" s="106"/>
      <c r="B1313" s="107"/>
      <c r="D1313" s="151"/>
      <c r="E1313" s="142"/>
      <c r="F1313" s="176"/>
      <c r="G1313" s="176"/>
      <c r="H1313" s="176"/>
      <c r="I1313" s="172"/>
      <c r="J1313" s="173"/>
    </row>
    <row r="1314" spans="1:10" x14ac:dyDescent="0.25">
      <c r="A1314" s="106"/>
      <c r="B1314" s="107"/>
      <c r="D1314" s="151"/>
      <c r="E1314" s="142"/>
      <c r="F1314" s="176"/>
      <c r="G1314" s="176"/>
      <c r="H1314" s="176"/>
      <c r="I1314" s="172"/>
      <c r="J1314" s="173"/>
    </row>
    <row r="1315" spans="1:10" x14ac:dyDescent="0.25">
      <c r="A1315" s="106"/>
      <c r="B1315" s="107"/>
      <c r="D1315" s="151"/>
      <c r="E1315" s="142"/>
      <c r="F1315" s="176"/>
      <c r="G1315" s="132"/>
      <c r="H1315" s="176"/>
      <c r="I1315" s="133"/>
      <c r="J1315" s="173"/>
    </row>
    <row r="1316" spans="1:10" x14ac:dyDescent="0.25">
      <c r="A1316" s="106"/>
      <c r="B1316" s="107"/>
      <c r="D1316" s="151"/>
      <c r="E1316" s="142"/>
      <c r="F1316" s="176"/>
      <c r="G1316" s="134"/>
      <c r="H1316" s="135"/>
      <c r="I1316" s="136"/>
      <c r="J1316" s="173"/>
    </row>
    <row r="1317" spans="1:10" x14ac:dyDescent="0.25">
      <c r="A1317" s="106"/>
      <c r="B1317" s="107"/>
      <c r="D1317" s="151"/>
      <c r="E1317" s="142"/>
      <c r="F1317" s="176"/>
      <c r="G1317" s="134"/>
      <c r="H1317" s="135"/>
      <c r="I1317" s="136"/>
      <c r="J1317" s="173"/>
    </row>
    <row r="1318" spans="1:10" x14ac:dyDescent="0.25">
      <c r="A1318" s="106"/>
      <c r="B1318" s="107"/>
      <c r="D1318" s="151"/>
      <c r="E1318" s="142"/>
      <c r="F1318" s="176"/>
      <c r="G1318" s="134"/>
      <c r="H1318" s="135"/>
      <c r="I1318" s="136"/>
      <c r="J1318" s="173"/>
    </row>
    <row r="1319" spans="1:10" x14ac:dyDescent="0.25">
      <c r="A1319" s="106"/>
      <c r="B1319" s="107"/>
      <c r="D1319" s="151"/>
      <c r="E1319" s="142"/>
      <c r="F1319" s="176"/>
      <c r="G1319" s="176"/>
      <c r="H1319" s="176"/>
      <c r="I1319" s="172"/>
      <c r="J1319" s="173"/>
    </row>
    <row r="1320" spans="1:10" x14ac:dyDescent="0.25">
      <c r="A1320" s="106"/>
      <c r="B1320" s="107"/>
      <c r="D1320" s="151"/>
      <c r="E1320" s="142"/>
      <c r="F1320" s="176"/>
      <c r="G1320" s="134"/>
      <c r="H1320" s="135"/>
      <c r="I1320" s="136"/>
      <c r="J1320" s="173"/>
    </row>
    <row r="1321" spans="1:10" x14ac:dyDescent="0.25">
      <c r="A1321" s="106"/>
      <c r="B1321" s="107"/>
      <c r="D1321" s="151"/>
      <c r="E1321" s="142"/>
      <c r="F1321" s="176"/>
      <c r="G1321" s="134"/>
      <c r="H1321" s="135"/>
      <c r="I1321" s="136"/>
      <c r="J1321" s="173"/>
    </row>
    <row r="1322" spans="1:10" x14ac:dyDescent="0.25">
      <c r="A1322" s="106"/>
      <c r="B1322" s="107"/>
      <c r="D1322" s="151"/>
      <c r="E1322" s="142"/>
      <c r="F1322" s="176"/>
      <c r="G1322" s="176"/>
      <c r="H1322" s="176"/>
      <c r="I1322" s="172"/>
      <c r="J1322" s="173"/>
    </row>
    <row r="1323" spans="1:10" x14ac:dyDescent="0.25">
      <c r="A1323" s="106"/>
      <c r="B1323" s="107"/>
      <c r="D1323" s="151"/>
      <c r="E1323" s="142"/>
      <c r="F1323" s="176"/>
      <c r="G1323" s="134"/>
      <c r="H1323" s="135"/>
      <c r="I1323" s="136"/>
      <c r="J1323" s="173"/>
    </row>
    <row r="1324" spans="1:10" x14ac:dyDescent="0.25">
      <c r="A1324" s="106"/>
      <c r="B1324" s="107"/>
      <c r="D1324" s="151"/>
      <c r="E1324" s="142"/>
      <c r="F1324" s="176"/>
      <c r="G1324" s="134"/>
      <c r="H1324" s="135"/>
      <c r="I1324" s="136"/>
      <c r="J1324" s="173"/>
    </row>
    <row r="1325" spans="1:10" x14ac:dyDescent="0.25">
      <c r="A1325" s="106"/>
      <c r="B1325" s="107"/>
      <c r="D1325" s="151"/>
      <c r="E1325" s="142"/>
      <c r="F1325" s="176"/>
      <c r="G1325" s="176"/>
      <c r="H1325" s="176"/>
      <c r="I1325" s="172"/>
      <c r="J1325" s="173"/>
    </row>
    <row r="1326" spans="1:10" x14ac:dyDescent="0.25">
      <c r="A1326" s="106"/>
      <c r="B1326" s="107"/>
      <c r="D1326" s="151"/>
      <c r="E1326" s="142"/>
      <c r="F1326" s="176"/>
      <c r="G1326" s="132"/>
      <c r="H1326" s="176"/>
      <c r="I1326" s="133"/>
      <c r="J1326" s="173"/>
    </row>
    <row r="1327" spans="1:10" x14ac:dyDescent="0.25">
      <c r="A1327" s="106"/>
      <c r="B1327" s="107"/>
      <c r="D1327" s="151"/>
      <c r="E1327" s="142"/>
      <c r="F1327" s="176"/>
      <c r="G1327" s="134"/>
      <c r="H1327" s="135"/>
      <c r="I1327" s="136"/>
      <c r="J1327" s="173"/>
    </row>
    <row r="1328" spans="1:10" x14ac:dyDescent="0.25">
      <c r="A1328" s="106"/>
      <c r="B1328" s="107"/>
      <c r="D1328" s="151"/>
      <c r="E1328" s="142"/>
      <c r="F1328" s="176"/>
      <c r="G1328" s="134"/>
      <c r="H1328" s="135"/>
      <c r="I1328" s="136"/>
      <c r="J1328" s="173"/>
    </row>
    <row r="1329" spans="1:10" x14ac:dyDescent="0.25">
      <c r="A1329" s="106"/>
      <c r="B1329" s="107"/>
      <c r="D1329" s="151"/>
      <c r="E1329" s="142"/>
      <c r="F1329" s="176"/>
      <c r="G1329" s="134"/>
      <c r="H1329" s="135"/>
      <c r="I1329" s="136"/>
      <c r="J1329" s="173"/>
    </row>
    <row r="1330" spans="1:10" x14ac:dyDescent="0.25">
      <c r="A1330" s="106"/>
      <c r="B1330" s="107"/>
      <c r="D1330" s="151"/>
      <c r="E1330" s="142"/>
      <c r="F1330" s="176"/>
      <c r="G1330" s="134"/>
      <c r="H1330" s="135"/>
      <c r="I1330" s="136"/>
      <c r="J1330" s="173"/>
    </row>
    <row r="1331" spans="1:10" x14ac:dyDescent="0.25">
      <c r="A1331" s="106"/>
      <c r="B1331" s="107"/>
      <c r="D1331" s="151"/>
      <c r="E1331" s="142"/>
      <c r="F1331" s="176"/>
      <c r="G1331" s="134"/>
      <c r="H1331" s="135"/>
      <c r="I1331" s="136"/>
      <c r="J1331" s="173"/>
    </row>
    <row r="1332" spans="1:10" x14ac:dyDescent="0.25">
      <c r="A1332" s="106"/>
      <c r="B1332" s="107"/>
      <c r="D1332" s="151"/>
      <c r="E1332" s="142"/>
      <c r="F1332" s="176"/>
      <c r="G1332" s="179"/>
      <c r="H1332" s="180"/>
      <c r="I1332" s="143"/>
      <c r="J1332" s="173"/>
    </row>
    <row r="1333" spans="1:10" x14ac:dyDescent="0.25">
      <c r="A1333" s="106"/>
      <c r="B1333" s="107"/>
      <c r="D1333" s="151"/>
      <c r="E1333" s="142"/>
      <c r="F1333" s="176"/>
      <c r="G1333" s="176"/>
      <c r="H1333" s="176"/>
      <c r="I1333" s="172"/>
      <c r="J1333" s="173"/>
    </row>
    <row r="1334" spans="1:10" x14ac:dyDescent="0.25">
      <c r="A1334" s="106"/>
      <c r="B1334" s="107"/>
      <c r="D1334" s="151"/>
      <c r="E1334" s="142"/>
      <c r="F1334" s="176"/>
      <c r="G1334" s="176"/>
      <c r="H1334" s="176"/>
      <c r="I1334" s="172"/>
      <c r="J1334" s="173"/>
    </row>
    <row r="1335" spans="1:10" x14ac:dyDescent="0.25">
      <c r="A1335" s="106"/>
      <c r="B1335" s="107"/>
      <c r="D1335" s="151"/>
      <c r="E1335" s="142"/>
      <c r="F1335" s="176"/>
      <c r="G1335" s="176"/>
      <c r="H1335" s="176"/>
      <c r="I1335" s="172"/>
      <c r="J1335" s="173"/>
    </row>
    <row r="1336" spans="1:10" x14ac:dyDescent="0.25">
      <c r="A1336" s="106"/>
      <c r="B1336" s="107"/>
      <c r="D1336" s="151"/>
      <c r="E1336" s="142"/>
      <c r="F1336" s="176"/>
      <c r="G1336" s="176"/>
      <c r="H1336" s="176"/>
      <c r="I1336" s="172"/>
      <c r="J1336" s="173"/>
    </row>
    <row r="1337" spans="1:10" x14ac:dyDescent="0.25">
      <c r="A1337" s="106"/>
      <c r="B1337" s="107"/>
      <c r="D1337" s="151"/>
      <c r="E1337" s="142"/>
      <c r="F1337" s="176"/>
      <c r="G1337" s="176"/>
      <c r="H1337" s="176"/>
      <c r="I1337" s="172"/>
      <c r="J1337" s="173"/>
    </row>
    <row r="1338" spans="1:10" x14ac:dyDescent="0.25">
      <c r="A1338" s="106"/>
      <c r="B1338" s="107"/>
      <c r="D1338" s="151"/>
      <c r="E1338" s="142"/>
      <c r="F1338" s="176"/>
      <c r="G1338" s="132"/>
      <c r="H1338" s="178"/>
      <c r="I1338" s="172"/>
      <c r="J1338" s="173"/>
    </row>
    <row r="1339" spans="1:10" x14ac:dyDescent="0.25">
      <c r="A1339" s="106"/>
      <c r="B1339" s="107"/>
      <c r="D1339" s="151"/>
      <c r="E1339" s="142"/>
      <c r="F1339" s="176"/>
      <c r="G1339" s="176"/>
      <c r="H1339" s="176"/>
      <c r="I1339" s="172"/>
      <c r="J1339" s="173"/>
    </row>
    <row r="1340" spans="1:10" x14ac:dyDescent="0.25">
      <c r="A1340" s="106"/>
      <c r="B1340" s="107"/>
      <c r="D1340" s="151"/>
      <c r="E1340" s="142"/>
      <c r="F1340" s="176"/>
      <c r="G1340" s="176"/>
      <c r="H1340" s="176"/>
      <c r="I1340" s="172"/>
      <c r="J1340" s="173"/>
    </row>
    <row r="1341" spans="1:10" x14ac:dyDescent="0.25">
      <c r="A1341" s="106"/>
      <c r="B1341" s="107"/>
      <c r="D1341" s="151"/>
      <c r="E1341" s="142"/>
      <c r="F1341" s="176"/>
      <c r="G1341" s="176"/>
      <c r="H1341" s="176"/>
      <c r="I1341" s="172"/>
      <c r="J1341" s="173"/>
    </row>
    <row r="1342" spans="1:10" x14ac:dyDescent="0.25">
      <c r="A1342" s="106"/>
      <c r="B1342" s="107"/>
      <c r="D1342" s="151"/>
      <c r="E1342" s="142"/>
      <c r="F1342" s="176"/>
      <c r="G1342" s="176"/>
      <c r="H1342" s="176"/>
      <c r="I1342" s="172"/>
      <c r="J1342" s="173"/>
    </row>
    <row r="1343" spans="1:10" x14ac:dyDescent="0.25">
      <c r="A1343" s="106"/>
      <c r="B1343" s="107"/>
      <c r="D1343" s="151"/>
      <c r="E1343" s="142"/>
      <c r="F1343" s="176"/>
      <c r="G1343" s="176"/>
      <c r="H1343" s="176"/>
      <c r="I1343" s="172"/>
      <c r="J1343" s="173"/>
    </row>
    <row r="1344" spans="1:10" x14ac:dyDescent="0.25">
      <c r="A1344" s="106"/>
      <c r="B1344" s="107"/>
      <c r="D1344" s="151"/>
      <c r="E1344" s="142"/>
      <c r="F1344" s="176"/>
      <c r="G1344" s="176"/>
      <c r="H1344" s="176"/>
      <c r="I1344" s="172"/>
      <c r="J1344" s="173"/>
    </row>
    <row r="1345" spans="1:10" x14ac:dyDescent="0.25">
      <c r="A1345" s="106"/>
      <c r="B1345" s="107"/>
      <c r="D1345" s="151"/>
      <c r="E1345" s="142"/>
      <c r="F1345" s="176"/>
      <c r="G1345" s="176"/>
      <c r="H1345" s="176"/>
      <c r="I1345" s="172"/>
      <c r="J1345" s="173"/>
    </row>
    <row r="1346" spans="1:10" x14ac:dyDescent="0.25">
      <c r="A1346" s="106"/>
      <c r="B1346" s="107"/>
      <c r="D1346" s="151"/>
      <c r="E1346" s="142"/>
      <c r="F1346" s="176"/>
      <c r="G1346" s="176"/>
      <c r="H1346" s="176"/>
      <c r="I1346" s="172"/>
      <c r="J1346" s="173"/>
    </row>
    <row r="1347" spans="1:10" x14ac:dyDescent="0.25">
      <c r="A1347" s="106"/>
      <c r="B1347" s="107"/>
      <c r="D1347" s="151"/>
      <c r="E1347" s="142"/>
      <c r="F1347" s="176"/>
      <c r="G1347" s="176"/>
      <c r="H1347" s="176"/>
      <c r="I1347" s="172"/>
      <c r="J1347" s="173"/>
    </row>
    <row r="1348" spans="1:10" x14ac:dyDescent="0.25">
      <c r="A1348" s="106"/>
      <c r="B1348" s="107"/>
      <c r="D1348" s="151"/>
      <c r="E1348" s="142"/>
      <c r="F1348" s="176"/>
      <c r="G1348" s="176"/>
      <c r="H1348" s="176"/>
      <c r="I1348" s="172"/>
      <c r="J1348" s="173"/>
    </row>
    <row r="1349" spans="1:10" x14ac:dyDescent="0.25">
      <c r="A1349" s="106"/>
      <c r="B1349" s="107"/>
      <c r="D1349" s="151"/>
      <c r="E1349" s="142"/>
      <c r="F1349" s="176"/>
      <c r="G1349" s="176"/>
      <c r="H1349" s="176"/>
      <c r="I1349" s="172"/>
      <c r="J1349" s="173"/>
    </row>
    <row r="1350" spans="1:10" x14ac:dyDescent="0.25">
      <c r="A1350" s="106"/>
      <c r="B1350" s="107"/>
      <c r="D1350" s="151"/>
      <c r="E1350" s="142"/>
      <c r="F1350" s="176"/>
      <c r="G1350" s="176"/>
      <c r="H1350" s="176"/>
      <c r="I1350" s="172"/>
      <c r="J1350" s="173"/>
    </row>
    <row r="1351" spans="1:10" x14ac:dyDescent="0.25">
      <c r="A1351" s="106"/>
      <c r="B1351" s="107"/>
      <c r="D1351" s="151"/>
      <c r="E1351" s="142"/>
      <c r="F1351" s="176"/>
      <c r="G1351" s="176"/>
      <c r="H1351" s="176"/>
      <c r="I1351" s="172"/>
      <c r="J1351" s="173"/>
    </row>
    <row r="1352" spans="1:10" x14ac:dyDescent="0.25">
      <c r="A1352" s="106"/>
      <c r="B1352" s="107"/>
      <c r="D1352" s="151"/>
      <c r="E1352" s="142"/>
      <c r="F1352" s="176"/>
      <c r="G1352" s="176"/>
      <c r="H1352" s="176"/>
      <c r="I1352" s="172"/>
      <c r="J1352" s="173"/>
    </row>
    <row r="1353" spans="1:10" x14ac:dyDescent="0.25">
      <c r="A1353" s="106"/>
      <c r="B1353" s="107"/>
      <c r="D1353" s="151"/>
      <c r="E1353" s="142"/>
      <c r="F1353" s="176"/>
      <c r="G1353" s="176"/>
      <c r="H1353" s="176"/>
      <c r="I1353" s="172"/>
      <c r="J1353" s="173"/>
    </row>
    <row r="1354" spans="1:10" x14ac:dyDescent="0.25">
      <c r="A1354" s="106"/>
      <c r="B1354" s="107"/>
      <c r="D1354" s="151"/>
      <c r="E1354" s="142"/>
      <c r="F1354" s="176"/>
      <c r="G1354" s="176"/>
      <c r="H1354" s="176"/>
      <c r="I1354" s="172"/>
      <c r="J1354" s="173"/>
    </row>
    <row r="1355" spans="1:10" x14ac:dyDescent="0.25">
      <c r="A1355" s="106"/>
      <c r="B1355" s="107"/>
      <c r="D1355" s="151"/>
      <c r="E1355" s="142"/>
      <c r="F1355" s="176"/>
      <c r="G1355" s="176"/>
      <c r="H1355" s="176"/>
      <c r="I1355" s="172"/>
      <c r="J1355" s="173"/>
    </row>
    <row r="1356" spans="1:10" x14ac:dyDescent="0.25">
      <c r="A1356" s="106"/>
      <c r="B1356" s="107"/>
      <c r="D1356" s="151"/>
      <c r="E1356" s="142"/>
      <c r="F1356" s="176"/>
      <c r="G1356" s="176"/>
      <c r="H1356" s="176"/>
      <c r="I1356" s="172"/>
      <c r="J1356" s="173"/>
    </row>
    <row r="1357" spans="1:10" x14ac:dyDescent="0.25">
      <c r="A1357" s="106"/>
      <c r="B1357" s="107"/>
      <c r="D1357" s="151"/>
      <c r="E1357" s="142"/>
      <c r="F1357" s="176"/>
      <c r="G1357" s="176"/>
      <c r="H1357" s="176"/>
      <c r="I1357" s="172"/>
      <c r="J1357" s="173"/>
    </row>
    <row r="1358" spans="1:10" x14ac:dyDescent="0.25">
      <c r="A1358" s="106"/>
      <c r="B1358" s="107"/>
      <c r="D1358" s="151"/>
      <c r="E1358" s="142"/>
      <c r="F1358" s="176"/>
      <c r="G1358" s="176"/>
      <c r="H1358" s="176"/>
      <c r="I1358" s="172"/>
      <c r="J1358" s="173"/>
    </row>
    <row r="1359" spans="1:10" x14ac:dyDescent="0.25">
      <c r="A1359" s="106"/>
      <c r="B1359" s="107"/>
      <c r="D1359" s="151"/>
      <c r="E1359" s="142"/>
      <c r="F1359" s="176"/>
      <c r="G1359" s="176"/>
      <c r="H1359" s="176"/>
      <c r="I1359" s="172"/>
      <c r="J1359" s="173"/>
    </row>
    <row r="1360" spans="1:10" x14ac:dyDescent="0.25">
      <c r="A1360" s="106"/>
      <c r="B1360" s="107"/>
      <c r="D1360" s="151"/>
      <c r="E1360" s="142"/>
      <c r="F1360" s="176"/>
      <c r="G1360" s="176"/>
      <c r="H1360" s="176"/>
      <c r="I1360" s="172"/>
      <c r="J1360" s="173"/>
    </row>
    <row r="1361" spans="1:10" x14ac:dyDescent="0.25">
      <c r="A1361" s="106"/>
      <c r="B1361" s="107"/>
      <c r="D1361" s="151"/>
      <c r="E1361" s="142"/>
      <c r="F1361" s="176"/>
      <c r="G1361" s="176"/>
      <c r="H1361" s="176"/>
      <c r="I1361" s="172"/>
      <c r="J1361" s="173"/>
    </row>
    <row r="1362" spans="1:10" x14ac:dyDescent="0.25">
      <c r="A1362" s="106"/>
      <c r="B1362" s="107"/>
      <c r="D1362" s="151"/>
      <c r="E1362" s="142"/>
      <c r="F1362" s="176"/>
      <c r="G1362" s="176"/>
      <c r="H1362" s="176"/>
      <c r="I1362" s="172"/>
      <c r="J1362" s="173"/>
    </row>
    <row r="1363" spans="1:10" x14ac:dyDescent="0.25">
      <c r="A1363" s="106"/>
      <c r="B1363" s="107"/>
      <c r="D1363" s="151"/>
      <c r="E1363" s="142"/>
      <c r="F1363" s="176"/>
      <c r="G1363" s="176"/>
      <c r="H1363" s="176"/>
      <c r="I1363" s="172"/>
      <c r="J1363" s="173"/>
    </row>
    <row r="1364" spans="1:10" x14ac:dyDescent="0.25">
      <c r="A1364" s="106"/>
      <c r="B1364" s="107"/>
      <c r="D1364" s="151"/>
      <c r="E1364" s="142"/>
      <c r="F1364" s="176"/>
      <c r="G1364" s="176"/>
      <c r="H1364" s="176"/>
      <c r="I1364" s="172"/>
      <c r="J1364" s="173"/>
    </row>
    <row r="1365" spans="1:10" x14ac:dyDescent="0.25">
      <c r="A1365" s="106"/>
      <c r="B1365" s="107"/>
      <c r="D1365" s="151"/>
      <c r="E1365" s="142"/>
      <c r="F1365" s="176"/>
      <c r="G1365" s="179"/>
      <c r="H1365" s="180"/>
      <c r="I1365" s="172"/>
      <c r="J1365" s="173"/>
    </row>
    <row r="1366" spans="1:10" x14ac:dyDescent="0.25">
      <c r="A1366" s="106"/>
      <c r="B1366" s="107"/>
      <c r="D1366" s="151"/>
      <c r="E1366" s="142"/>
      <c r="F1366" s="176"/>
      <c r="G1366" s="176"/>
      <c r="H1366" s="176"/>
      <c r="I1366" s="172"/>
      <c r="J1366" s="173"/>
    </row>
    <row r="1367" spans="1:10" x14ac:dyDescent="0.25">
      <c r="A1367" s="106"/>
      <c r="B1367" s="107"/>
      <c r="D1367" s="151"/>
      <c r="E1367" s="142"/>
      <c r="F1367" s="176"/>
      <c r="G1367" s="131"/>
      <c r="H1367" s="176"/>
      <c r="I1367" s="172"/>
      <c r="J1367" s="173"/>
    </row>
    <row r="1368" spans="1:10" x14ac:dyDescent="0.25">
      <c r="A1368" s="106"/>
      <c r="B1368" s="107"/>
      <c r="D1368" s="151"/>
      <c r="E1368" s="142"/>
      <c r="F1368" s="176"/>
      <c r="G1368" s="176"/>
      <c r="H1368" s="176"/>
      <c r="I1368" s="172"/>
      <c r="J1368" s="173"/>
    </row>
    <row r="1369" spans="1:10" x14ac:dyDescent="0.25">
      <c r="A1369" s="106"/>
      <c r="B1369" s="107"/>
      <c r="D1369" s="151"/>
      <c r="E1369" s="142"/>
      <c r="F1369" s="176"/>
      <c r="G1369" s="176"/>
      <c r="H1369" s="176"/>
      <c r="I1369" s="172"/>
      <c r="J1369" s="173"/>
    </row>
    <row r="1370" spans="1:10" x14ac:dyDescent="0.25">
      <c r="A1370" s="106"/>
      <c r="B1370" s="107"/>
      <c r="D1370" s="151"/>
      <c r="E1370" s="142"/>
      <c r="F1370" s="176"/>
      <c r="G1370" s="176"/>
      <c r="H1370" s="176"/>
      <c r="I1370" s="172"/>
      <c r="J1370" s="173"/>
    </row>
    <row r="1371" spans="1:10" x14ac:dyDescent="0.25">
      <c r="A1371" s="106"/>
      <c r="B1371" s="107"/>
      <c r="D1371" s="151"/>
      <c r="E1371" s="142"/>
      <c r="F1371" s="176"/>
      <c r="G1371" s="131"/>
      <c r="H1371" s="176"/>
      <c r="I1371" s="172"/>
      <c r="J1371" s="173"/>
    </row>
    <row r="1372" spans="1:10" x14ac:dyDescent="0.25">
      <c r="A1372" s="106"/>
      <c r="B1372" s="107"/>
      <c r="D1372" s="151"/>
      <c r="E1372" s="142"/>
      <c r="F1372" s="176"/>
      <c r="G1372" s="176"/>
      <c r="H1372" s="176"/>
      <c r="I1372" s="172"/>
      <c r="J1372" s="173"/>
    </row>
    <row r="1373" spans="1:10" x14ac:dyDescent="0.25">
      <c r="A1373" s="106"/>
      <c r="B1373" s="107"/>
      <c r="D1373" s="151"/>
      <c r="E1373" s="142"/>
      <c r="F1373" s="176"/>
      <c r="G1373" s="176"/>
      <c r="H1373" s="176"/>
      <c r="I1373" s="172"/>
      <c r="J1373" s="173"/>
    </row>
    <row r="1374" spans="1:10" x14ac:dyDescent="0.25">
      <c r="A1374" s="106"/>
      <c r="B1374" s="107"/>
      <c r="D1374" s="151"/>
      <c r="E1374" s="142"/>
      <c r="F1374" s="176"/>
      <c r="G1374" s="176"/>
      <c r="H1374" s="176"/>
      <c r="I1374" s="172"/>
      <c r="J1374" s="173"/>
    </row>
    <row r="1375" spans="1:10" x14ac:dyDescent="0.25">
      <c r="A1375" s="106"/>
      <c r="B1375" s="107"/>
      <c r="D1375" s="151"/>
      <c r="E1375" s="142"/>
      <c r="F1375" s="176"/>
      <c r="G1375" s="132"/>
      <c r="H1375" s="176"/>
      <c r="I1375" s="133"/>
      <c r="J1375" s="173"/>
    </row>
    <row r="1376" spans="1:10" x14ac:dyDescent="0.25">
      <c r="A1376" s="106"/>
      <c r="B1376" s="107"/>
      <c r="D1376" s="151"/>
      <c r="E1376" s="142"/>
      <c r="F1376" s="176"/>
      <c r="G1376" s="134"/>
      <c r="H1376" s="135"/>
      <c r="I1376" s="136"/>
      <c r="J1376" s="173"/>
    </row>
    <row r="1377" spans="1:10" x14ac:dyDescent="0.25">
      <c r="A1377" s="106"/>
      <c r="B1377" s="107"/>
      <c r="D1377" s="151"/>
      <c r="E1377" s="142"/>
      <c r="F1377" s="176"/>
      <c r="G1377" s="176"/>
      <c r="H1377" s="176"/>
      <c r="I1377" s="172"/>
      <c r="J1377" s="173"/>
    </row>
    <row r="1378" spans="1:10" x14ac:dyDescent="0.25">
      <c r="A1378" s="106"/>
      <c r="B1378" s="107"/>
      <c r="D1378" s="151"/>
      <c r="E1378" s="142"/>
      <c r="F1378" s="176"/>
      <c r="G1378" s="132"/>
      <c r="H1378" s="176"/>
      <c r="I1378" s="133"/>
      <c r="J1378" s="173"/>
    </row>
    <row r="1379" spans="1:10" x14ac:dyDescent="0.25">
      <c r="A1379" s="106"/>
      <c r="B1379" s="107"/>
      <c r="D1379" s="151"/>
      <c r="E1379" s="142"/>
      <c r="F1379" s="176"/>
      <c r="G1379" s="134"/>
      <c r="H1379" s="135"/>
      <c r="I1379" s="136"/>
      <c r="J1379" s="173"/>
    </row>
    <row r="1380" spans="1:10" x14ac:dyDescent="0.25">
      <c r="A1380" s="106"/>
      <c r="B1380" s="107"/>
      <c r="D1380" s="151"/>
      <c r="E1380" s="142"/>
      <c r="F1380" s="176"/>
      <c r="G1380" s="134"/>
      <c r="H1380" s="135"/>
      <c r="I1380" s="136"/>
      <c r="J1380" s="173"/>
    </row>
    <row r="1381" spans="1:10" x14ac:dyDescent="0.25">
      <c r="A1381" s="106"/>
      <c r="B1381" s="107"/>
      <c r="D1381" s="151"/>
      <c r="E1381" s="142"/>
      <c r="F1381" s="176"/>
      <c r="G1381" s="176"/>
      <c r="H1381" s="176"/>
      <c r="I1381" s="172"/>
      <c r="J1381" s="173"/>
    </row>
    <row r="1382" spans="1:10" x14ac:dyDescent="0.25">
      <c r="A1382" s="106"/>
      <c r="B1382" s="107"/>
      <c r="D1382" s="151"/>
      <c r="E1382" s="142"/>
      <c r="F1382" s="176"/>
      <c r="G1382" s="132"/>
      <c r="H1382" s="176"/>
      <c r="I1382" s="133"/>
      <c r="J1382" s="173"/>
    </row>
    <row r="1383" spans="1:10" x14ac:dyDescent="0.25">
      <c r="A1383" s="106"/>
      <c r="B1383" s="107"/>
      <c r="D1383" s="151"/>
      <c r="E1383" s="142"/>
      <c r="F1383" s="176"/>
      <c r="G1383" s="134"/>
      <c r="H1383" s="135"/>
      <c r="I1383" s="136"/>
      <c r="J1383" s="173"/>
    </row>
    <row r="1384" spans="1:10" x14ac:dyDescent="0.25">
      <c r="A1384" s="106"/>
      <c r="B1384" s="107"/>
      <c r="D1384" s="151"/>
      <c r="E1384" s="142"/>
      <c r="F1384" s="176"/>
      <c r="G1384" s="134"/>
      <c r="H1384" s="135"/>
      <c r="I1384" s="136"/>
      <c r="J1384" s="173"/>
    </row>
    <row r="1385" spans="1:10" x14ac:dyDescent="0.25">
      <c r="A1385" s="106"/>
      <c r="B1385" s="107"/>
      <c r="D1385" s="151"/>
      <c r="E1385" s="142"/>
      <c r="F1385" s="176"/>
      <c r="G1385" s="132"/>
      <c r="H1385" s="176"/>
      <c r="I1385" s="133"/>
      <c r="J1385" s="173"/>
    </row>
    <row r="1386" spans="1:10" x14ac:dyDescent="0.25">
      <c r="A1386" s="106"/>
      <c r="B1386" s="107"/>
      <c r="D1386" s="151"/>
      <c r="E1386" s="142"/>
      <c r="F1386" s="176"/>
      <c r="G1386" s="134"/>
      <c r="H1386" s="135"/>
      <c r="I1386" s="136"/>
      <c r="J1386" s="173"/>
    </row>
    <row r="1387" spans="1:10" x14ac:dyDescent="0.25">
      <c r="A1387" s="106"/>
      <c r="B1387" s="107"/>
      <c r="D1387" s="151"/>
      <c r="E1387" s="142"/>
      <c r="F1387" s="176"/>
      <c r="G1387" s="176"/>
      <c r="H1387" s="176"/>
      <c r="I1387" s="172"/>
      <c r="J1387" s="173"/>
    </row>
    <row r="1388" spans="1:10" x14ac:dyDescent="0.25">
      <c r="A1388" s="106"/>
      <c r="B1388" s="107"/>
      <c r="D1388" s="151"/>
      <c r="E1388" s="142"/>
      <c r="F1388" s="176"/>
      <c r="G1388" s="132"/>
      <c r="H1388" s="176"/>
      <c r="I1388" s="133"/>
      <c r="J1388" s="173"/>
    </row>
    <row r="1389" spans="1:10" x14ac:dyDescent="0.25">
      <c r="A1389" s="106"/>
      <c r="B1389" s="107"/>
      <c r="D1389" s="151"/>
      <c r="E1389" s="142"/>
      <c r="F1389" s="176"/>
      <c r="G1389" s="134"/>
      <c r="H1389" s="135"/>
      <c r="I1389" s="136"/>
      <c r="J1389" s="173"/>
    </row>
    <row r="1390" spans="1:10" x14ac:dyDescent="0.25">
      <c r="A1390" s="106"/>
      <c r="B1390" s="107"/>
      <c r="D1390" s="151"/>
      <c r="E1390" s="142"/>
      <c r="F1390" s="176"/>
      <c r="G1390" s="134"/>
      <c r="H1390" s="135"/>
      <c r="I1390" s="136"/>
      <c r="J1390" s="173"/>
    </row>
    <row r="1391" spans="1:10" x14ac:dyDescent="0.25">
      <c r="A1391" s="106"/>
      <c r="B1391" s="107"/>
      <c r="D1391" s="151"/>
      <c r="E1391" s="142"/>
      <c r="F1391" s="176"/>
      <c r="G1391" s="134"/>
      <c r="H1391" s="135"/>
      <c r="I1391" s="136"/>
      <c r="J1391" s="173"/>
    </row>
    <row r="1392" spans="1:10" x14ac:dyDescent="0.25">
      <c r="A1392" s="106"/>
      <c r="B1392" s="107"/>
      <c r="D1392" s="151"/>
      <c r="E1392" s="142"/>
      <c r="F1392" s="176"/>
      <c r="G1392" s="134"/>
      <c r="H1392" s="135"/>
      <c r="I1392" s="136"/>
      <c r="J1392" s="173"/>
    </row>
    <row r="1393" spans="1:10" x14ac:dyDescent="0.25">
      <c r="A1393" s="106"/>
      <c r="B1393" s="107"/>
      <c r="D1393" s="151"/>
      <c r="E1393" s="142"/>
      <c r="F1393" s="176"/>
      <c r="G1393" s="134"/>
      <c r="H1393" s="135"/>
      <c r="I1393" s="136"/>
      <c r="J1393" s="173"/>
    </row>
    <row r="1394" spans="1:10" x14ac:dyDescent="0.25">
      <c r="A1394" s="106"/>
      <c r="B1394" s="107"/>
      <c r="D1394" s="151"/>
      <c r="E1394" s="142"/>
      <c r="F1394" s="176"/>
      <c r="G1394" s="179"/>
      <c r="H1394" s="180"/>
      <c r="I1394" s="143"/>
      <c r="J1394" s="173"/>
    </row>
    <row r="1395" spans="1:10" x14ac:dyDescent="0.25">
      <c r="A1395" s="106"/>
      <c r="B1395" s="107"/>
      <c r="D1395" s="151"/>
      <c r="E1395" s="142"/>
      <c r="F1395" s="176"/>
      <c r="G1395" s="176"/>
      <c r="H1395" s="176"/>
      <c r="I1395" s="172"/>
      <c r="J1395" s="173"/>
    </row>
    <row r="1396" spans="1:10" x14ac:dyDescent="0.25">
      <c r="A1396" s="106"/>
      <c r="B1396" s="107"/>
      <c r="D1396" s="151"/>
      <c r="E1396" s="142"/>
      <c r="F1396" s="176"/>
      <c r="G1396" s="176"/>
      <c r="H1396" s="176"/>
      <c r="I1396" s="172"/>
      <c r="J1396" s="173"/>
    </row>
    <row r="1397" spans="1:10" x14ac:dyDescent="0.25">
      <c r="A1397" s="106"/>
      <c r="B1397" s="107"/>
      <c r="D1397" s="151"/>
      <c r="E1397" s="142"/>
      <c r="F1397" s="176"/>
      <c r="G1397" s="176"/>
      <c r="H1397" s="176"/>
      <c r="I1397" s="172"/>
      <c r="J1397" s="173"/>
    </row>
    <row r="1398" spans="1:10" x14ac:dyDescent="0.25">
      <c r="A1398" s="106"/>
      <c r="B1398" s="107"/>
      <c r="D1398" s="151"/>
      <c r="E1398" s="142"/>
      <c r="F1398" s="176"/>
      <c r="G1398" s="176"/>
      <c r="H1398" s="176"/>
      <c r="I1398" s="172"/>
      <c r="J1398" s="173"/>
    </row>
    <row r="1399" spans="1:10" x14ac:dyDescent="0.25">
      <c r="A1399" s="106"/>
      <c r="B1399" s="107"/>
      <c r="D1399" s="151"/>
      <c r="E1399" s="142"/>
      <c r="F1399" s="176"/>
      <c r="G1399" s="176"/>
      <c r="H1399" s="176"/>
      <c r="I1399" s="172"/>
      <c r="J1399" s="173"/>
    </row>
    <row r="1400" spans="1:10" x14ac:dyDescent="0.25">
      <c r="A1400" s="106"/>
      <c r="B1400" s="107"/>
      <c r="D1400" s="151"/>
      <c r="E1400" s="142"/>
      <c r="F1400" s="176"/>
      <c r="G1400" s="132"/>
      <c r="H1400" s="178"/>
      <c r="I1400" s="172"/>
      <c r="J1400" s="173"/>
    </row>
    <row r="1401" spans="1:10" x14ac:dyDescent="0.25">
      <c r="A1401" s="106"/>
      <c r="B1401" s="107"/>
      <c r="D1401" s="151"/>
      <c r="E1401" s="142"/>
      <c r="F1401" s="176"/>
      <c r="G1401" s="176"/>
      <c r="H1401" s="176"/>
      <c r="I1401" s="172"/>
      <c r="J1401" s="173"/>
    </row>
    <row r="1402" spans="1:10" x14ac:dyDescent="0.25">
      <c r="A1402" s="106"/>
      <c r="B1402" s="107"/>
      <c r="D1402" s="151"/>
      <c r="E1402" s="142"/>
      <c r="F1402" s="176"/>
      <c r="G1402" s="176"/>
      <c r="H1402" s="176"/>
      <c r="I1402" s="172"/>
      <c r="J1402" s="173"/>
    </row>
    <row r="1403" spans="1:10" x14ac:dyDescent="0.25">
      <c r="A1403" s="106"/>
      <c r="B1403" s="107"/>
      <c r="D1403" s="151"/>
      <c r="E1403" s="142"/>
      <c r="F1403" s="176"/>
      <c r="G1403" s="176"/>
      <c r="H1403" s="176"/>
      <c r="I1403" s="172"/>
      <c r="J1403" s="173"/>
    </row>
    <row r="1404" spans="1:10" x14ac:dyDescent="0.25">
      <c r="A1404" s="106"/>
      <c r="B1404" s="107"/>
      <c r="D1404" s="151"/>
      <c r="E1404" s="142"/>
      <c r="F1404" s="176"/>
      <c r="G1404" s="176"/>
      <c r="H1404" s="176"/>
      <c r="I1404" s="172"/>
      <c r="J1404" s="173"/>
    </row>
    <row r="1405" spans="1:10" x14ac:dyDescent="0.25">
      <c r="A1405" s="106"/>
      <c r="B1405" s="107"/>
      <c r="D1405" s="151"/>
      <c r="E1405" s="142"/>
      <c r="F1405" s="176"/>
      <c r="G1405" s="176"/>
      <c r="H1405" s="176"/>
      <c r="I1405" s="172"/>
      <c r="J1405" s="173"/>
    </row>
    <row r="1406" spans="1:10" x14ac:dyDescent="0.25">
      <c r="A1406" s="106"/>
      <c r="B1406" s="107"/>
      <c r="D1406" s="151"/>
      <c r="E1406" s="142"/>
      <c r="F1406" s="176"/>
      <c r="G1406" s="176"/>
      <c r="H1406" s="176"/>
      <c r="I1406" s="172"/>
      <c r="J1406" s="173"/>
    </row>
    <row r="1407" spans="1:10" x14ac:dyDescent="0.25">
      <c r="A1407" s="106"/>
      <c r="B1407" s="107"/>
      <c r="D1407" s="151"/>
      <c r="E1407" s="142"/>
      <c r="F1407" s="176"/>
      <c r="G1407" s="176"/>
      <c r="H1407" s="176"/>
      <c r="I1407" s="172"/>
      <c r="J1407" s="173"/>
    </row>
    <row r="1408" spans="1:10" x14ac:dyDescent="0.25">
      <c r="A1408" s="106"/>
      <c r="B1408" s="107"/>
      <c r="D1408" s="151"/>
      <c r="E1408" s="142"/>
      <c r="F1408" s="176"/>
      <c r="G1408" s="176"/>
      <c r="H1408" s="176"/>
      <c r="I1408" s="172"/>
      <c r="J1408" s="173"/>
    </row>
    <row r="1409" spans="1:10" x14ac:dyDescent="0.25">
      <c r="A1409" s="106"/>
      <c r="B1409" s="107"/>
      <c r="D1409" s="151"/>
      <c r="E1409" s="142"/>
      <c r="F1409" s="176"/>
      <c r="G1409" s="176"/>
      <c r="H1409" s="176"/>
      <c r="I1409" s="172"/>
      <c r="J1409" s="173"/>
    </row>
    <row r="1410" spans="1:10" x14ac:dyDescent="0.25">
      <c r="A1410" s="106"/>
      <c r="B1410" s="107"/>
      <c r="D1410" s="151"/>
      <c r="E1410" s="142"/>
      <c r="F1410" s="176"/>
      <c r="G1410" s="176"/>
      <c r="H1410" s="176"/>
      <c r="I1410" s="172"/>
      <c r="J1410" s="173"/>
    </row>
    <row r="1411" spans="1:10" x14ac:dyDescent="0.25">
      <c r="A1411" s="106"/>
      <c r="B1411" s="107"/>
      <c r="D1411" s="151"/>
      <c r="E1411" s="142"/>
      <c r="F1411" s="176"/>
      <c r="G1411" s="176"/>
      <c r="H1411" s="176"/>
      <c r="I1411" s="172"/>
      <c r="J1411" s="173"/>
    </row>
    <row r="1412" spans="1:10" x14ac:dyDescent="0.25">
      <c r="A1412" s="106"/>
      <c r="B1412" s="107"/>
      <c r="D1412" s="151"/>
      <c r="E1412" s="142"/>
      <c r="F1412" s="176"/>
      <c r="G1412" s="176"/>
      <c r="H1412" s="176"/>
      <c r="I1412" s="172"/>
      <c r="J1412" s="173"/>
    </row>
    <row r="1413" spans="1:10" x14ac:dyDescent="0.25">
      <c r="A1413" s="106"/>
      <c r="B1413" s="107"/>
      <c r="D1413" s="151"/>
      <c r="E1413" s="142"/>
      <c r="F1413" s="176"/>
      <c r="G1413" s="176"/>
      <c r="H1413" s="176"/>
      <c r="I1413" s="172"/>
      <c r="J1413" s="173"/>
    </row>
    <row r="1414" spans="1:10" x14ac:dyDescent="0.25">
      <c r="A1414" s="106"/>
      <c r="B1414" s="107"/>
      <c r="D1414" s="151"/>
      <c r="E1414" s="142"/>
      <c r="F1414" s="176"/>
      <c r="G1414" s="176"/>
      <c r="H1414" s="176"/>
      <c r="I1414" s="172"/>
      <c r="J1414" s="173"/>
    </row>
    <row r="1415" spans="1:10" x14ac:dyDescent="0.25">
      <c r="A1415" s="106"/>
      <c r="B1415" s="107"/>
      <c r="D1415" s="151"/>
      <c r="E1415" s="142"/>
      <c r="F1415" s="176"/>
      <c r="G1415" s="176"/>
      <c r="H1415" s="176"/>
      <c r="I1415" s="172"/>
      <c r="J1415" s="173"/>
    </row>
    <row r="1416" spans="1:10" x14ac:dyDescent="0.25">
      <c r="A1416" s="106"/>
      <c r="B1416" s="107"/>
      <c r="D1416" s="151"/>
      <c r="E1416" s="142"/>
      <c r="F1416" s="176"/>
      <c r="G1416" s="176"/>
      <c r="H1416" s="176"/>
      <c r="I1416" s="172"/>
      <c r="J1416" s="173"/>
    </row>
    <row r="1417" spans="1:10" x14ac:dyDescent="0.25">
      <c r="A1417" s="106"/>
      <c r="B1417" s="107"/>
      <c r="D1417" s="151"/>
      <c r="E1417" s="142"/>
      <c r="F1417" s="176"/>
      <c r="G1417" s="176"/>
      <c r="H1417" s="176"/>
      <c r="I1417" s="172"/>
      <c r="J1417" s="173"/>
    </row>
    <row r="1418" spans="1:10" x14ac:dyDescent="0.25">
      <c r="A1418" s="106"/>
      <c r="B1418" s="107"/>
      <c r="D1418" s="151"/>
      <c r="E1418" s="142"/>
      <c r="F1418" s="176"/>
      <c r="G1418" s="176"/>
      <c r="H1418" s="176"/>
      <c r="I1418" s="172"/>
      <c r="J1418" s="173"/>
    </row>
    <row r="1419" spans="1:10" x14ac:dyDescent="0.25">
      <c r="A1419" s="106"/>
      <c r="B1419" s="107"/>
      <c r="D1419" s="151"/>
      <c r="E1419" s="142"/>
      <c r="F1419" s="176"/>
      <c r="G1419" s="176"/>
      <c r="H1419" s="176"/>
      <c r="I1419" s="172"/>
      <c r="J1419" s="173"/>
    </row>
    <row r="1420" spans="1:10" x14ac:dyDescent="0.25">
      <c r="A1420" s="106"/>
      <c r="B1420" s="107"/>
      <c r="D1420" s="151"/>
      <c r="E1420" s="142"/>
      <c r="F1420" s="176"/>
      <c r="G1420" s="176"/>
      <c r="H1420" s="176"/>
      <c r="I1420" s="172"/>
      <c r="J1420" s="173"/>
    </row>
    <row r="1421" spans="1:10" x14ac:dyDescent="0.25">
      <c r="A1421" s="106"/>
      <c r="B1421" s="107"/>
      <c r="D1421" s="151"/>
      <c r="E1421" s="142"/>
      <c r="F1421" s="176"/>
      <c r="G1421" s="176"/>
      <c r="H1421" s="176"/>
      <c r="I1421" s="172"/>
      <c r="J1421" s="173"/>
    </row>
    <row r="1422" spans="1:10" x14ac:dyDescent="0.25">
      <c r="A1422" s="106"/>
      <c r="B1422" s="107"/>
      <c r="D1422" s="151"/>
      <c r="E1422" s="142"/>
      <c r="F1422" s="176"/>
      <c r="G1422" s="176"/>
      <c r="H1422" s="176"/>
      <c r="I1422" s="172"/>
      <c r="J1422" s="173"/>
    </row>
    <row r="1423" spans="1:10" x14ac:dyDescent="0.25">
      <c r="A1423" s="106"/>
      <c r="B1423" s="107"/>
      <c r="D1423" s="151"/>
      <c r="E1423" s="142"/>
      <c r="F1423" s="176"/>
      <c r="G1423" s="176"/>
      <c r="H1423" s="176"/>
      <c r="I1423" s="172"/>
      <c r="J1423" s="173"/>
    </row>
    <row r="1424" spans="1:10" x14ac:dyDescent="0.25">
      <c r="A1424" s="106"/>
      <c r="B1424" s="107"/>
      <c r="D1424" s="151"/>
      <c r="E1424" s="142"/>
      <c r="F1424" s="176"/>
      <c r="G1424" s="176"/>
      <c r="H1424" s="176"/>
      <c r="I1424" s="172"/>
      <c r="J1424" s="173"/>
    </row>
    <row r="1425" spans="1:10" x14ac:dyDescent="0.25">
      <c r="A1425" s="106"/>
      <c r="B1425" s="107"/>
      <c r="D1425" s="151"/>
      <c r="E1425" s="142"/>
      <c r="F1425" s="176"/>
      <c r="G1425" s="179"/>
      <c r="H1425" s="180"/>
      <c r="I1425" s="172"/>
      <c r="J1425" s="173"/>
    </row>
    <row r="1426" spans="1:10" x14ac:dyDescent="0.25">
      <c r="A1426" s="106"/>
      <c r="B1426" s="107"/>
      <c r="D1426" s="151"/>
      <c r="E1426" s="142"/>
      <c r="F1426" s="176"/>
      <c r="G1426" s="176"/>
      <c r="H1426" s="176"/>
      <c r="I1426" s="172"/>
      <c r="J1426" s="173"/>
    </row>
    <row r="1427" spans="1:10" x14ac:dyDescent="0.25">
      <c r="A1427" s="106"/>
      <c r="B1427" s="107"/>
      <c r="D1427" s="151"/>
      <c r="E1427" s="142"/>
      <c r="F1427" s="176"/>
      <c r="G1427" s="176"/>
      <c r="H1427" s="176"/>
      <c r="I1427" s="172"/>
      <c r="J1427" s="173"/>
    </row>
    <row r="1428" spans="1:10" x14ac:dyDescent="0.25">
      <c r="A1428" s="106"/>
      <c r="B1428" s="107"/>
      <c r="D1428" s="151"/>
      <c r="E1428" s="142"/>
      <c r="F1428" s="176"/>
      <c r="G1428" s="131"/>
      <c r="H1428" s="176"/>
      <c r="I1428" s="172"/>
      <c r="J1428" s="173"/>
    </row>
    <row r="1429" spans="1:10" x14ac:dyDescent="0.25">
      <c r="A1429" s="106"/>
      <c r="B1429" s="107"/>
      <c r="D1429" s="151"/>
      <c r="E1429" s="142"/>
      <c r="F1429" s="176"/>
      <c r="G1429" s="131"/>
      <c r="H1429" s="176"/>
      <c r="I1429" s="172"/>
      <c r="J1429" s="173"/>
    </row>
    <row r="1430" spans="1:10" x14ac:dyDescent="0.25">
      <c r="A1430" s="106"/>
      <c r="B1430" s="107"/>
      <c r="D1430" s="151"/>
      <c r="E1430" s="142"/>
      <c r="F1430" s="176"/>
      <c r="G1430" s="176"/>
      <c r="H1430" s="176"/>
      <c r="I1430" s="172"/>
      <c r="J1430" s="173"/>
    </row>
    <row r="1431" spans="1:10" x14ac:dyDescent="0.25">
      <c r="A1431" s="106"/>
      <c r="B1431" s="107"/>
      <c r="D1431" s="151"/>
      <c r="E1431" s="142"/>
      <c r="F1431" s="176"/>
      <c r="G1431" s="176"/>
      <c r="H1431" s="176"/>
      <c r="I1431" s="172"/>
      <c r="J1431" s="173"/>
    </row>
    <row r="1432" spans="1:10" x14ac:dyDescent="0.25">
      <c r="A1432" s="106"/>
      <c r="B1432" s="107"/>
      <c r="D1432" s="151"/>
      <c r="E1432" s="142"/>
      <c r="F1432" s="176"/>
      <c r="G1432" s="176"/>
      <c r="H1432" s="176"/>
      <c r="I1432" s="172"/>
      <c r="J1432" s="173"/>
    </row>
    <row r="1433" spans="1:10" x14ac:dyDescent="0.25">
      <c r="A1433" s="106"/>
      <c r="B1433" s="107"/>
      <c r="D1433" s="151"/>
      <c r="E1433" s="142"/>
      <c r="F1433" s="176"/>
      <c r="G1433" s="176"/>
      <c r="H1433" s="176"/>
      <c r="I1433" s="172"/>
      <c r="J1433" s="173"/>
    </row>
    <row r="1434" spans="1:10" x14ac:dyDescent="0.25">
      <c r="A1434" s="106"/>
      <c r="B1434" s="107"/>
      <c r="D1434" s="151"/>
      <c r="E1434" s="142"/>
      <c r="F1434" s="176"/>
      <c r="G1434" s="131"/>
      <c r="H1434" s="176"/>
      <c r="I1434" s="172"/>
      <c r="J1434" s="173"/>
    </row>
    <row r="1435" spans="1:10" x14ac:dyDescent="0.25">
      <c r="A1435" s="106"/>
      <c r="B1435" s="107"/>
      <c r="D1435" s="151"/>
      <c r="E1435" s="142"/>
      <c r="F1435" s="176"/>
      <c r="G1435" s="131"/>
      <c r="H1435" s="176"/>
      <c r="I1435" s="172"/>
      <c r="J1435" s="173"/>
    </row>
    <row r="1436" spans="1:10" x14ac:dyDescent="0.25">
      <c r="A1436" s="106"/>
      <c r="B1436" s="107"/>
      <c r="D1436" s="151"/>
      <c r="E1436" s="142"/>
      <c r="F1436" s="176"/>
      <c r="G1436" s="176"/>
      <c r="H1436" s="176"/>
      <c r="I1436" s="172"/>
      <c r="J1436" s="173"/>
    </row>
    <row r="1437" spans="1:10" x14ac:dyDescent="0.25">
      <c r="A1437" s="106"/>
      <c r="B1437" s="107"/>
      <c r="D1437" s="151"/>
      <c r="E1437" s="142"/>
      <c r="F1437" s="176"/>
      <c r="G1437" s="176"/>
      <c r="H1437" s="176"/>
      <c r="I1437" s="172"/>
      <c r="J1437" s="173"/>
    </row>
    <row r="1438" spans="1:10" x14ac:dyDescent="0.25">
      <c r="A1438" s="106"/>
      <c r="B1438" s="107"/>
      <c r="D1438" s="151"/>
      <c r="E1438" s="142"/>
      <c r="F1438" s="176"/>
      <c r="G1438" s="176"/>
      <c r="H1438" s="176"/>
      <c r="I1438" s="172"/>
      <c r="J1438" s="173"/>
    </row>
    <row r="1439" spans="1:10" x14ac:dyDescent="0.25">
      <c r="A1439" s="106"/>
      <c r="B1439" s="107"/>
      <c r="D1439" s="151"/>
      <c r="E1439" s="142"/>
      <c r="F1439" s="176"/>
      <c r="G1439" s="176"/>
      <c r="H1439" s="176"/>
      <c r="I1439" s="172"/>
      <c r="J1439" s="173"/>
    </row>
    <row r="1440" spans="1:10" x14ac:dyDescent="0.25">
      <c r="A1440" s="106"/>
      <c r="B1440" s="107"/>
      <c r="D1440" s="151"/>
      <c r="E1440" s="142"/>
      <c r="F1440" s="176"/>
      <c r="G1440" s="132"/>
      <c r="H1440" s="176"/>
      <c r="I1440" s="133"/>
      <c r="J1440" s="173"/>
    </row>
    <row r="1441" spans="1:10" x14ac:dyDescent="0.25">
      <c r="A1441" s="106"/>
      <c r="B1441" s="107"/>
      <c r="D1441" s="151"/>
      <c r="E1441" s="142"/>
      <c r="F1441" s="176"/>
      <c r="G1441" s="134"/>
      <c r="H1441" s="135"/>
      <c r="I1441" s="136"/>
      <c r="J1441" s="173"/>
    </row>
    <row r="1442" spans="1:10" x14ac:dyDescent="0.25">
      <c r="A1442" s="106"/>
      <c r="B1442" s="107"/>
      <c r="D1442" s="151"/>
      <c r="E1442" s="142"/>
      <c r="F1442" s="176"/>
      <c r="G1442" s="176"/>
      <c r="H1442" s="176"/>
      <c r="I1442" s="172"/>
      <c r="J1442" s="173"/>
    </row>
    <row r="1443" spans="1:10" x14ac:dyDescent="0.25">
      <c r="A1443" s="106"/>
      <c r="B1443" s="107"/>
      <c r="D1443" s="151"/>
      <c r="E1443" s="142"/>
      <c r="F1443" s="176"/>
      <c r="G1443" s="132"/>
      <c r="H1443" s="176"/>
      <c r="I1443" s="133"/>
      <c r="J1443" s="173"/>
    </row>
    <row r="1444" spans="1:10" x14ac:dyDescent="0.25">
      <c r="A1444" s="106"/>
      <c r="B1444" s="107"/>
      <c r="D1444" s="151"/>
      <c r="E1444" s="142"/>
      <c r="F1444" s="176"/>
      <c r="G1444" s="134"/>
      <c r="H1444" s="135"/>
      <c r="I1444" s="136"/>
      <c r="J1444" s="173"/>
    </row>
    <row r="1445" spans="1:10" x14ac:dyDescent="0.25">
      <c r="A1445" s="106"/>
      <c r="B1445" s="107"/>
      <c r="D1445" s="151"/>
      <c r="E1445" s="142"/>
      <c r="F1445" s="176"/>
      <c r="G1445" s="134"/>
      <c r="H1445" s="135"/>
      <c r="I1445" s="136"/>
      <c r="J1445" s="173"/>
    </row>
    <row r="1446" spans="1:10" x14ac:dyDescent="0.25">
      <c r="A1446" s="106"/>
      <c r="B1446" s="107"/>
      <c r="D1446" s="151"/>
      <c r="E1446" s="142"/>
      <c r="F1446" s="176"/>
      <c r="G1446" s="132"/>
      <c r="H1446" s="176"/>
      <c r="I1446" s="133"/>
      <c r="J1446" s="173"/>
    </row>
    <row r="1447" spans="1:10" x14ac:dyDescent="0.25">
      <c r="A1447" s="106"/>
      <c r="B1447" s="107"/>
      <c r="D1447" s="151"/>
      <c r="E1447" s="142"/>
      <c r="F1447" s="176"/>
      <c r="G1447" s="134"/>
      <c r="H1447" s="135"/>
      <c r="I1447" s="136"/>
      <c r="J1447" s="173"/>
    </row>
    <row r="1448" spans="1:10" x14ac:dyDescent="0.25">
      <c r="A1448" s="106"/>
      <c r="B1448" s="107"/>
      <c r="D1448" s="151"/>
      <c r="E1448" s="142"/>
      <c r="F1448" s="176"/>
      <c r="G1448" s="176"/>
      <c r="H1448" s="176"/>
      <c r="I1448" s="172"/>
      <c r="J1448" s="173"/>
    </row>
    <row r="1449" spans="1:10" x14ac:dyDescent="0.25">
      <c r="A1449" s="106"/>
      <c r="B1449" s="107"/>
      <c r="D1449" s="151"/>
      <c r="E1449" s="142"/>
      <c r="F1449" s="176"/>
      <c r="G1449" s="132"/>
      <c r="H1449" s="176"/>
      <c r="I1449" s="133"/>
      <c r="J1449" s="173"/>
    </row>
    <row r="1450" spans="1:10" x14ac:dyDescent="0.25">
      <c r="A1450" s="106"/>
      <c r="B1450" s="107"/>
      <c r="D1450" s="151"/>
      <c r="E1450" s="142"/>
      <c r="F1450" s="176"/>
      <c r="G1450" s="134"/>
      <c r="H1450" s="135"/>
      <c r="I1450" s="136"/>
      <c r="J1450" s="173"/>
    </row>
    <row r="1451" spans="1:10" x14ac:dyDescent="0.25">
      <c r="A1451" s="106"/>
      <c r="B1451" s="107"/>
      <c r="D1451" s="151"/>
      <c r="E1451" s="142"/>
      <c r="F1451" s="176"/>
      <c r="G1451" s="134"/>
      <c r="H1451" s="135"/>
      <c r="I1451" s="136"/>
      <c r="J1451" s="173"/>
    </row>
    <row r="1452" spans="1:10" x14ac:dyDescent="0.25">
      <c r="A1452" s="106"/>
      <c r="B1452" s="107"/>
      <c r="D1452" s="151"/>
      <c r="E1452" s="142"/>
      <c r="F1452" s="176"/>
      <c r="G1452" s="134"/>
      <c r="H1452" s="135"/>
      <c r="I1452" s="136"/>
      <c r="J1452" s="173"/>
    </row>
    <row r="1453" spans="1:10" x14ac:dyDescent="0.25">
      <c r="A1453" s="106"/>
      <c r="B1453" s="107"/>
      <c r="D1453" s="151"/>
      <c r="E1453" s="142"/>
      <c r="F1453" s="176"/>
      <c r="G1453" s="134"/>
      <c r="H1453" s="135"/>
      <c r="I1453" s="136"/>
      <c r="J1453" s="173"/>
    </row>
    <row r="1454" spans="1:10" x14ac:dyDescent="0.25">
      <c r="A1454" s="106"/>
      <c r="B1454" s="107"/>
      <c r="D1454" s="151"/>
      <c r="E1454" s="142"/>
      <c r="F1454" s="176"/>
      <c r="G1454" s="134"/>
      <c r="H1454" s="135"/>
      <c r="I1454" s="136"/>
      <c r="J1454" s="173"/>
    </row>
    <row r="1455" spans="1:10" x14ac:dyDescent="0.25">
      <c r="A1455" s="106"/>
      <c r="B1455" s="107"/>
      <c r="D1455" s="151"/>
      <c r="E1455" s="142"/>
      <c r="F1455" s="176"/>
      <c r="G1455" s="176"/>
      <c r="H1455" s="176"/>
      <c r="I1455" s="172"/>
      <c r="J1455" s="173"/>
    </row>
    <row r="1456" spans="1:10" x14ac:dyDescent="0.25">
      <c r="A1456" s="106"/>
      <c r="B1456" s="107"/>
      <c r="D1456" s="151"/>
      <c r="E1456" s="142"/>
      <c r="F1456" s="176"/>
      <c r="G1456" s="132"/>
      <c r="H1456" s="176"/>
      <c r="I1456" s="133"/>
      <c r="J1456" s="173"/>
    </row>
    <row r="1457" spans="1:10" x14ac:dyDescent="0.25">
      <c r="A1457" s="106"/>
      <c r="B1457" s="107"/>
      <c r="D1457" s="151"/>
      <c r="E1457" s="142"/>
      <c r="F1457" s="176"/>
      <c r="G1457" s="134"/>
      <c r="H1457" s="135"/>
      <c r="I1457" s="136"/>
      <c r="J1457" s="173"/>
    </row>
    <row r="1458" spans="1:10" x14ac:dyDescent="0.25">
      <c r="A1458" s="106"/>
      <c r="B1458" s="107"/>
      <c r="D1458" s="151"/>
      <c r="E1458" s="142"/>
      <c r="F1458" s="176"/>
      <c r="G1458" s="134"/>
      <c r="H1458" s="135"/>
      <c r="I1458" s="136"/>
      <c r="J1458" s="173"/>
    </row>
    <row r="1459" spans="1:10" x14ac:dyDescent="0.25">
      <c r="A1459" s="106"/>
      <c r="B1459" s="107"/>
      <c r="D1459" s="151"/>
      <c r="E1459" s="142"/>
      <c r="F1459" s="176"/>
      <c r="G1459" s="134"/>
      <c r="H1459" s="135"/>
      <c r="I1459" s="136"/>
      <c r="J1459" s="173"/>
    </row>
    <row r="1460" spans="1:10" x14ac:dyDescent="0.25">
      <c r="A1460" s="106"/>
      <c r="B1460" s="107"/>
      <c r="D1460" s="151"/>
      <c r="E1460" s="142"/>
      <c r="F1460" s="176"/>
      <c r="G1460" s="134"/>
      <c r="H1460" s="135"/>
      <c r="I1460" s="136"/>
      <c r="J1460" s="173"/>
    </row>
    <row r="1461" spans="1:10" x14ac:dyDescent="0.25">
      <c r="A1461" s="106"/>
      <c r="B1461" s="107"/>
      <c r="D1461" s="151"/>
      <c r="E1461" s="142"/>
      <c r="F1461" s="176"/>
      <c r="G1461" s="134"/>
      <c r="H1461" s="135"/>
      <c r="I1461" s="136"/>
      <c r="J1461" s="173"/>
    </row>
    <row r="1462" spans="1:10" x14ac:dyDescent="0.25">
      <c r="A1462" s="106"/>
      <c r="B1462" s="107"/>
      <c r="D1462" s="151"/>
      <c r="E1462" s="142"/>
      <c r="F1462" s="176"/>
      <c r="G1462" s="179"/>
      <c r="H1462" s="180"/>
      <c r="I1462" s="143"/>
      <c r="J1462" s="173"/>
    </row>
    <row r="1463" spans="1:10" x14ac:dyDescent="0.25">
      <c r="A1463" s="106"/>
      <c r="B1463" s="107"/>
      <c r="D1463" s="151"/>
      <c r="E1463" s="142"/>
      <c r="F1463" s="176"/>
      <c r="G1463" s="176"/>
      <c r="H1463" s="176"/>
      <c r="I1463" s="172"/>
      <c r="J1463" s="173"/>
    </row>
    <row r="1464" spans="1:10" x14ac:dyDescent="0.25">
      <c r="A1464" s="106"/>
      <c r="B1464" s="107"/>
      <c r="D1464" s="151"/>
      <c r="E1464" s="142"/>
      <c r="F1464" s="176"/>
      <c r="G1464" s="176"/>
      <c r="H1464" s="176"/>
      <c r="I1464" s="172"/>
      <c r="J1464" s="173"/>
    </row>
    <row r="1465" spans="1:10" x14ac:dyDescent="0.25">
      <c r="A1465" s="106"/>
      <c r="B1465" s="107"/>
      <c r="D1465" s="151"/>
      <c r="E1465" s="142"/>
      <c r="F1465" s="176"/>
      <c r="G1465" s="176"/>
      <c r="H1465" s="176"/>
      <c r="I1465" s="172"/>
      <c r="J1465" s="173"/>
    </row>
    <row r="1466" spans="1:10" x14ac:dyDescent="0.25">
      <c r="A1466" s="106"/>
      <c r="B1466" s="107"/>
      <c r="D1466" s="151"/>
      <c r="E1466" s="142"/>
      <c r="F1466" s="176"/>
      <c r="G1466" s="176"/>
      <c r="H1466" s="176"/>
      <c r="I1466" s="172"/>
      <c r="J1466" s="173"/>
    </row>
    <row r="1467" spans="1:10" x14ac:dyDescent="0.25">
      <c r="A1467" s="106"/>
      <c r="B1467" s="107"/>
      <c r="D1467" s="151"/>
      <c r="E1467" s="142"/>
      <c r="F1467" s="176"/>
      <c r="G1467" s="176"/>
      <c r="H1467" s="176"/>
      <c r="I1467" s="172"/>
      <c r="J1467" s="173"/>
    </row>
    <row r="1468" spans="1:10" x14ac:dyDescent="0.25">
      <c r="A1468" s="106"/>
      <c r="B1468" s="107"/>
      <c r="D1468" s="151"/>
      <c r="E1468" s="142"/>
      <c r="F1468" s="176"/>
      <c r="G1468" s="132"/>
      <c r="H1468" s="178"/>
      <c r="I1468" s="172"/>
      <c r="J1468" s="173"/>
    </row>
    <row r="1469" spans="1:10" x14ac:dyDescent="0.25">
      <c r="A1469" s="106"/>
      <c r="B1469" s="107"/>
      <c r="D1469" s="151"/>
      <c r="E1469" s="142"/>
      <c r="F1469" s="176"/>
      <c r="G1469" s="176"/>
      <c r="H1469" s="176"/>
      <c r="I1469" s="172"/>
      <c r="J1469" s="173"/>
    </row>
    <row r="1470" spans="1:10" x14ac:dyDescent="0.25">
      <c r="A1470" s="106"/>
      <c r="B1470" s="107"/>
      <c r="D1470" s="151"/>
      <c r="E1470" s="142"/>
      <c r="F1470" s="176"/>
      <c r="G1470" s="176"/>
      <c r="H1470" s="176"/>
      <c r="I1470" s="172"/>
      <c r="J1470" s="173"/>
    </row>
    <row r="1471" spans="1:10" x14ac:dyDescent="0.25">
      <c r="A1471" s="106"/>
      <c r="B1471" s="107"/>
      <c r="D1471" s="151"/>
      <c r="E1471" s="142"/>
      <c r="F1471" s="176"/>
      <c r="G1471" s="176"/>
      <c r="H1471" s="176"/>
      <c r="I1471" s="172"/>
      <c r="J1471" s="173"/>
    </row>
    <row r="1472" spans="1:10" x14ac:dyDescent="0.25">
      <c r="A1472" s="106"/>
      <c r="B1472" s="107"/>
      <c r="D1472" s="151"/>
      <c r="E1472" s="142"/>
      <c r="F1472" s="176"/>
      <c r="G1472" s="176"/>
      <c r="H1472" s="176"/>
      <c r="I1472" s="172"/>
      <c r="J1472" s="173"/>
    </row>
    <row r="1473" spans="1:10" x14ac:dyDescent="0.25">
      <c r="A1473" s="106"/>
      <c r="B1473" s="107"/>
      <c r="D1473" s="151"/>
      <c r="E1473" s="142"/>
      <c r="F1473" s="176"/>
      <c r="G1473" s="176"/>
      <c r="H1473" s="176"/>
      <c r="I1473" s="172"/>
      <c r="J1473" s="173"/>
    </row>
    <row r="1474" spans="1:10" x14ac:dyDescent="0.25">
      <c r="A1474" s="106"/>
      <c r="B1474" s="107"/>
      <c r="D1474" s="151"/>
      <c r="E1474" s="142"/>
      <c r="F1474" s="176"/>
      <c r="G1474" s="176"/>
      <c r="H1474" s="176"/>
      <c r="I1474" s="172"/>
      <c r="J1474" s="173"/>
    </row>
    <row r="1475" spans="1:10" x14ac:dyDescent="0.25">
      <c r="A1475" s="106"/>
      <c r="B1475" s="107"/>
      <c r="D1475" s="151"/>
      <c r="E1475" s="142"/>
      <c r="F1475" s="176"/>
      <c r="G1475" s="176"/>
      <c r="H1475" s="176"/>
      <c r="I1475" s="172"/>
      <c r="J1475" s="173"/>
    </row>
    <row r="1476" spans="1:10" x14ac:dyDescent="0.25">
      <c r="A1476" s="106"/>
      <c r="B1476" s="107"/>
      <c r="D1476" s="151"/>
      <c r="E1476" s="142"/>
      <c r="F1476" s="176"/>
      <c r="G1476" s="176"/>
      <c r="H1476" s="176"/>
      <c r="I1476" s="172"/>
      <c r="J1476" s="173"/>
    </row>
    <row r="1477" spans="1:10" x14ac:dyDescent="0.25">
      <c r="A1477" s="106"/>
      <c r="B1477" s="107"/>
      <c r="D1477" s="151"/>
      <c r="E1477" s="142"/>
      <c r="F1477" s="176"/>
      <c r="G1477" s="176"/>
      <c r="H1477" s="176"/>
      <c r="I1477" s="172"/>
      <c r="J1477" s="173"/>
    </row>
    <row r="1478" spans="1:10" x14ac:dyDescent="0.25">
      <c r="A1478" s="106"/>
      <c r="B1478" s="107"/>
      <c r="D1478" s="151"/>
      <c r="E1478" s="142"/>
      <c r="F1478" s="176"/>
      <c r="G1478" s="176"/>
      <c r="H1478" s="176"/>
      <c r="I1478" s="172"/>
      <c r="J1478" s="173"/>
    </row>
    <row r="1479" spans="1:10" x14ac:dyDescent="0.25">
      <c r="A1479" s="106"/>
      <c r="B1479" s="107"/>
      <c r="D1479" s="151"/>
      <c r="E1479" s="142"/>
      <c r="F1479" s="176"/>
      <c r="G1479" s="176"/>
      <c r="H1479" s="176"/>
      <c r="I1479" s="172"/>
      <c r="J1479" s="173"/>
    </row>
    <row r="1480" spans="1:10" x14ac:dyDescent="0.25">
      <c r="A1480" s="106"/>
      <c r="B1480" s="107"/>
      <c r="D1480" s="151"/>
      <c r="E1480" s="142"/>
      <c r="F1480" s="176"/>
      <c r="G1480" s="176"/>
      <c r="H1480" s="176"/>
      <c r="I1480" s="172"/>
      <c r="J1480" s="173"/>
    </row>
    <row r="1481" spans="1:10" x14ac:dyDescent="0.25">
      <c r="A1481" s="106"/>
      <c r="B1481" s="107"/>
      <c r="D1481" s="151"/>
      <c r="E1481" s="142"/>
      <c r="F1481" s="176"/>
      <c r="G1481" s="176"/>
      <c r="H1481" s="176"/>
      <c r="I1481" s="172"/>
      <c r="J1481" s="173"/>
    </row>
    <row r="1482" spans="1:10" x14ac:dyDescent="0.25">
      <c r="A1482" s="106"/>
      <c r="B1482" s="107"/>
      <c r="D1482" s="151"/>
      <c r="E1482" s="142"/>
      <c r="F1482" s="176"/>
      <c r="G1482" s="176"/>
      <c r="H1482" s="176"/>
      <c r="I1482" s="172"/>
      <c r="J1482" s="173"/>
    </row>
    <row r="1483" spans="1:10" x14ac:dyDescent="0.25">
      <c r="A1483" s="106"/>
      <c r="B1483" s="107"/>
      <c r="D1483" s="151"/>
      <c r="E1483" s="142"/>
      <c r="F1483" s="176"/>
      <c r="G1483" s="176"/>
      <c r="H1483" s="176"/>
      <c r="I1483" s="172"/>
      <c r="J1483" s="173"/>
    </row>
    <row r="1484" spans="1:10" x14ac:dyDescent="0.25">
      <c r="A1484" s="106"/>
      <c r="B1484" s="107"/>
      <c r="D1484" s="151"/>
      <c r="E1484" s="142"/>
      <c r="F1484" s="176"/>
      <c r="G1484" s="176"/>
      <c r="H1484" s="176"/>
      <c r="I1484" s="172"/>
      <c r="J1484" s="173"/>
    </row>
    <row r="1485" spans="1:10" x14ac:dyDescent="0.25">
      <c r="A1485" s="106"/>
      <c r="B1485" s="107"/>
      <c r="D1485" s="151"/>
      <c r="E1485" s="142"/>
      <c r="F1485" s="176"/>
      <c r="G1485" s="176"/>
      <c r="H1485" s="176"/>
      <c r="I1485" s="172"/>
      <c r="J1485" s="173"/>
    </row>
    <row r="1486" spans="1:10" x14ac:dyDescent="0.25">
      <c r="A1486" s="106"/>
      <c r="B1486" s="107"/>
      <c r="D1486" s="151"/>
      <c r="E1486" s="142"/>
      <c r="F1486" s="176"/>
      <c r="G1486" s="176"/>
      <c r="H1486" s="176"/>
      <c r="I1486" s="172"/>
      <c r="J1486" s="173"/>
    </row>
    <row r="1487" spans="1:10" x14ac:dyDescent="0.25">
      <c r="A1487" s="106"/>
      <c r="B1487" s="107"/>
      <c r="D1487" s="151"/>
      <c r="E1487" s="142"/>
      <c r="F1487" s="176"/>
      <c r="G1487" s="176"/>
      <c r="H1487" s="176"/>
      <c r="I1487" s="172"/>
      <c r="J1487" s="173"/>
    </row>
    <row r="1488" spans="1:10" x14ac:dyDescent="0.25">
      <c r="A1488" s="106"/>
      <c r="B1488" s="107"/>
      <c r="D1488" s="151"/>
      <c r="E1488" s="142"/>
      <c r="F1488" s="176"/>
      <c r="G1488" s="176"/>
      <c r="H1488" s="176"/>
      <c r="I1488" s="172"/>
      <c r="J1488" s="173"/>
    </row>
    <row r="1489" spans="1:10" x14ac:dyDescent="0.25">
      <c r="A1489" s="106"/>
      <c r="B1489" s="107"/>
      <c r="D1489" s="151"/>
      <c r="E1489" s="142"/>
      <c r="F1489" s="176"/>
      <c r="G1489" s="176"/>
      <c r="H1489" s="176"/>
      <c r="I1489" s="172"/>
      <c r="J1489" s="173"/>
    </row>
    <row r="1490" spans="1:10" x14ac:dyDescent="0.25">
      <c r="A1490" s="106"/>
      <c r="B1490" s="107"/>
      <c r="D1490" s="151"/>
      <c r="E1490" s="142"/>
      <c r="F1490" s="176"/>
      <c r="G1490" s="179"/>
      <c r="H1490" s="180"/>
      <c r="I1490" s="172"/>
      <c r="J1490" s="173"/>
    </row>
    <row r="1491" spans="1:10" x14ac:dyDescent="0.25">
      <c r="A1491" s="106"/>
      <c r="B1491" s="107"/>
      <c r="D1491" s="151"/>
      <c r="E1491" s="142"/>
      <c r="F1491" s="176"/>
      <c r="G1491" s="176"/>
      <c r="H1491" s="176"/>
      <c r="I1491" s="172"/>
      <c r="J1491" s="173"/>
    </row>
    <row r="1492" spans="1:10" x14ac:dyDescent="0.25">
      <c r="A1492" s="106"/>
      <c r="B1492" s="107"/>
      <c r="D1492" s="151"/>
      <c r="E1492" s="142"/>
      <c r="F1492" s="176"/>
      <c r="G1492" s="176"/>
      <c r="H1492" s="176"/>
      <c r="I1492" s="172"/>
      <c r="J1492" s="173"/>
    </row>
    <row r="1493" spans="1:10" x14ac:dyDescent="0.25">
      <c r="A1493" s="106"/>
      <c r="B1493" s="107"/>
      <c r="D1493" s="151"/>
      <c r="E1493" s="142"/>
      <c r="F1493" s="176"/>
      <c r="G1493" s="131"/>
      <c r="H1493" s="176"/>
      <c r="I1493" s="172"/>
      <c r="J1493" s="173"/>
    </row>
    <row r="1494" spans="1:10" x14ac:dyDescent="0.25">
      <c r="A1494" s="106"/>
      <c r="B1494" s="107"/>
      <c r="D1494" s="151"/>
      <c r="E1494" s="142"/>
      <c r="F1494" s="176"/>
      <c r="G1494" s="131"/>
      <c r="H1494" s="176"/>
      <c r="I1494" s="172"/>
      <c r="J1494" s="173"/>
    </row>
    <row r="1495" spans="1:10" x14ac:dyDescent="0.25">
      <c r="A1495" s="106"/>
      <c r="B1495" s="107"/>
      <c r="D1495" s="151"/>
      <c r="E1495" s="142"/>
      <c r="F1495" s="176"/>
      <c r="G1495" s="176"/>
      <c r="H1495" s="176"/>
      <c r="I1495" s="172"/>
      <c r="J1495" s="173"/>
    </row>
    <row r="1496" spans="1:10" x14ac:dyDescent="0.25">
      <c r="A1496" s="106"/>
      <c r="B1496" s="107"/>
      <c r="D1496" s="151"/>
      <c r="E1496" s="142"/>
      <c r="F1496" s="176"/>
      <c r="G1496" s="176"/>
      <c r="H1496" s="176"/>
      <c r="I1496" s="172"/>
      <c r="J1496" s="173"/>
    </row>
    <row r="1497" spans="1:10" x14ac:dyDescent="0.25">
      <c r="A1497" s="106"/>
      <c r="B1497" s="107"/>
      <c r="D1497" s="151"/>
      <c r="E1497" s="142"/>
      <c r="F1497" s="176"/>
      <c r="G1497" s="176"/>
      <c r="H1497" s="176"/>
      <c r="I1497" s="172"/>
      <c r="J1497" s="173"/>
    </row>
    <row r="1498" spans="1:10" x14ac:dyDescent="0.25">
      <c r="A1498" s="106"/>
      <c r="B1498" s="107"/>
      <c r="D1498" s="151"/>
      <c r="E1498" s="142"/>
      <c r="F1498" s="176"/>
      <c r="G1498" s="176"/>
      <c r="H1498" s="176"/>
      <c r="I1498" s="172"/>
      <c r="J1498" s="173"/>
    </row>
    <row r="1499" spans="1:10" x14ac:dyDescent="0.25">
      <c r="A1499" s="106"/>
      <c r="B1499" s="107"/>
      <c r="D1499" s="151"/>
      <c r="E1499" s="142"/>
      <c r="F1499" s="176"/>
      <c r="G1499" s="176"/>
      <c r="H1499" s="176"/>
      <c r="I1499" s="172"/>
      <c r="J1499" s="173"/>
    </row>
    <row r="1500" spans="1:10" x14ac:dyDescent="0.25">
      <c r="A1500" s="106"/>
      <c r="B1500" s="107"/>
      <c r="D1500" s="151"/>
      <c r="E1500" s="142"/>
      <c r="F1500" s="176"/>
      <c r="G1500" s="131"/>
      <c r="H1500" s="176"/>
      <c r="I1500" s="172"/>
      <c r="J1500" s="173"/>
    </row>
    <row r="1501" spans="1:10" x14ac:dyDescent="0.25">
      <c r="A1501" s="106"/>
      <c r="B1501" s="107"/>
      <c r="D1501" s="151"/>
      <c r="E1501" s="142"/>
      <c r="F1501" s="176"/>
      <c r="G1501" s="131"/>
      <c r="H1501" s="176"/>
      <c r="I1501" s="172"/>
      <c r="J1501" s="173"/>
    </row>
    <row r="1502" spans="1:10" x14ac:dyDescent="0.25">
      <c r="A1502" s="106"/>
      <c r="B1502" s="107"/>
      <c r="D1502" s="151"/>
      <c r="E1502" s="142"/>
      <c r="F1502" s="176"/>
      <c r="G1502" s="176"/>
      <c r="H1502" s="176"/>
      <c r="I1502" s="172"/>
      <c r="J1502" s="173"/>
    </row>
    <row r="1503" spans="1:10" x14ac:dyDescent="0.25">
      <c r="A1503" s="106"/>
      <c r="B1503" s="107"/>
      <c r="D1503" s="151"/>
      <c r="E1503" s="142"/>
      <c r="F1503" s="176"/>
      <c r="G1503" s="176"/>
      <c r="H1503" s="176"/>
      <c r="I1503" s="172"/>
      <c r="J1503" s="173"/>
    </row>
    <row r="1504" spans="1:10" x14ac:dyDescent="0.25">
      <c r="A1504" s="106"/>
      <c r="B1504" s="107"/>
      <c r="D1504" s="151"/>
      <c r="E1504" s="142"/>
      <c r="F1504" s="176"/>
      <c r="G1504" s="176"/>
      <c r="H1504" s="176"/>
      <c r="I1504" s="172"/>
      <c r="J1504" s="173"/>
    </row>
    <row r="1505" spans="1:10" x14ac:dyDescent="0.25">
      <c r="A1505" s="106"/>
      <c r="B1505" s="107"/>
      <c r="D1505" s="151"/>
      <c r="E1505" s="142"/>
      <c r="F1505" s="176"/>
      <c r="G1505" s="176"/>
      <c r="H1505" s="176"/>
      <c r="I1505" s="172"/>
      <c r="J1505" s="173"/>
    </row>
    <row r="1506" spans="1:10" x14ac:dyDescent="0.25">
      <c r="A1506" s="106"/>
      <c r="B1506" s="107"/>
      <c r="D1506" s="151"/>
      <c r="E1506" s="142"/>
      <c r="F1506" s="176"/>
      <c r="G1506" s="132"/>
      <c r="H1506" s="176"/>
      <c r="I1506" s="133"/>
      <c r="J1506" s="173"/>
    </row>
    <row r="1507" spans="1:10" x14ac:dyDescent="0.25">
      <c r="A1507" s="106"/>
      <c r="B1507" s="107"/>
      <c r="D1507" s="151"/>
      <c r="E1507" s="142"/>
      <c r="F1507" s="176"/>
      <c r="G1507" s="134"/>
      <c r="H1507" s="135"/>
      <c r="I1507" s="136"/>
      <c r="J1507" s="173"/>
    </row>
    <row r="1508" spans="1:10" x14ac:dyDescent="0.25">
      <c r="A1508" s="106"/>
      <c r="B1508" s="107"/>
      <c r="D1508" s="151"/>
      <c r="E1508" s="142"/>
      <c r="F1508" s="176"/>
      <c r="G1508" s="134"/>
      <c r="H1508" s="135"/>
      <c r="I1508" s="136"/>
      <c r="J1508" s="173"/>
    </row>
    <row r="1509" spans="1:10" x14ac:dyDescent="0.25">
      <c r="A1509" s="106"/>
      <c r="B1509" s="107"/>
      <c r="D1509" s="151"/>
      <c r="E1509" s="142"/>
      <c r="F1509" s="176"/>
      <c r="G1509" s="134"/>
      <c r="H1509" s="135"/>
      <c r="I1509" s="136"/>
      <c r="J1509" s="173"/>
    </row>
    <row r="1510" spans="1:10" x14ac:dyDescent="0.25">
      <c r="A1510" s="106"/>
      <c r="B1510" s="107"/>
      <c r="D1510" s="151"/>
      <c r="E1510" s="142"/>
      <c r="F1510" s="176"/>
      <c r="G1510" s="176"/>
      <c r="H1510" s="176"/>
      <c r="I1510" s="172"/>
      <c r="J1510" s="173"/>
    </row>
    <row r="1511" spans="1:10" x14ac:dyDescent="0.25">
      <c r="A1511" s="106"/>
      <c r="B1511" s="107"/>
      <c r="D1511" s="151"/>
      <c r="E1511" s="142"/>
      <c r="F1511" s="176"/>
      <c r="G1511" s="132"/>
      <c r="H1511" s="176"/>
      <c r="I1511" s="133"/>
      <c r="J1511" s="173"/>
    </row>
    <row r="1512" spans="1:10" x14ac:dyDescent="0.25">
      <c r="A1512" s="106"/>
      <c r="B1512" s="107"/>
      <c r="D1512" s="151"/>
      <c r="E1512" s="142"/>
      <c r="F1512" s="176"/>
      <c r="G1512" s="134"/>
      <c r="H1512" s="135"/>
      <c r="I1512" s="136"/>
      <c r="J1512" s="173"/>
    </row>
    <row r="1513" spans="1:10" x14ac:dyDescent="0.25">
      <c r="A1513" s="106"/>
      <c r="B1513" s="107"/>
      <c r="D1513" s="151"/>
      <c r="E1513" s="142"/>
      <c r="F1513" s="176"/>
      <c r="G1513" s="176"/>
      <c r="H1513" s="176"/>
      <c r="I1513" s="172"/>
      <c r="J1513" s="173"/>
    </row>
    <row r="1514" spans="1:10" x14ac:dyDescent="0.25">
      <c r="A1514" s="106"/>
      <c r="B1514" s="107"/>
      <c r="D1514" s="151"/>
      <c r="E1514" s="142"/>
      <c r="F1514" s="176"/>
      <c r="G1514" s="132"/>
      <c r="H1514" s="176"/>
      <c r="I1514" s="133"/>
      <c r="J1514" s="173"/>
    </row>
    <row r="1515" spans="1:10" x14ac:dyDescent="0.25">
      <c r="A1515" s="106"/>
      <c r="B1515" s="107"/>
      <c r="D1515" s="151"/>
      <c r="E1515" s="142"/>
      <c r="F1515" s="176"/>
      <c r="G1515" s="134"/>
      <c r="H1515" s="135"/>
      <c r="I1515" s="136"/>
      <c r="J1515" s="173"/>
    </row>
    <row r="1516" spans="1:10" x14ac:dyDescent="0.25">
      <c r="A1516" s="106"/>
      <c r="B1516" s="107"/>
      <c r="D1516" s="151"/>
      <c r="E1516" s="142"/>
      <c r="F1516" s="176"/>
      <c r="G1516" s="176"/>
      <c r="H1516" s="176"/>
      <c r="I1516" s="172"/>
      <c r="J1516" s="173"/>
    </row>
    <row r="1517" spans="1:10" x14ac:dyDescent="0.25">
      <c r="A1517" s="106"/>
      <c r="B1517" s="107"/>
      <c r="D1517" s="151"/>
      <c r="E1517" s="142"/>
      <c r="F1517" s="176"/>
      <c r="G1517" s="132"/>
      <c r="H1517" s="176"/>
      <c r="I1517" s="133"/>
      <c r="J1517" s="173"/>
    </row>
    <row r="1518" spans="1:10" x14ac:dyDescent="0.25">
      <c r="A1518" s="106"/>
      <c r="B1518" s="107"/>
      <c r="D1518" s="151"/>
      <c r="E1518" s="142"/>
      <c r="F1518" s="176"/>
      <c r="G1518" s="134"/>
      <c r="H1518" s="135"/>
      <c r="I1518" s="136"/>
      <c r="J1518" s="173"/>
    </row>
    <row r="1519" spans="1:10" x14ac:dyDescent="0.25">
      <c r="A1519" s="106"/>
      <c r="B1519" s="107"/>
      <c r="D1519" s="151"/>
      <c r="E1519" s="142"/>
      <c r="F1519" s="176"/>
      <c r="G1519" s="134"/>
      <c r="H1519" s="135"/>
      <c r="I1519" s="136"/>
      <c r="J1519" s="173"/>
    </row>
    <row r="1520" spans="1:10" x14ac:dyDescent="0.25">
      <c r="A1520" s="106"/>
      <c r="B1520" s="107"/>
      <c r="D1520" s="151"/>
      <c r="E1520" s="142"/>
      <c r="F1520" s="176"/>
      <c r="G1520" s="134"/>
      <c r="H1520" s="135"/>
      <c r="I1520" s="136"/>
      <c r="J1520" s="173"/>
    </row>
    <row r="1521" spans="1:10" x14ac:dyDescent="0.25">
      <c r="A1521" s="106"/>
      <c r="B1521" s="107"/>
      <c r="D1521" s="151"/>
      <c r="E1521" s="142"/>
      <c r="F1521" s="176"/>
      <c r="G1521" s="134"/>
      <c r="H1521" s="135"/>
      <c r="I1521" s="136"/>
      <c r="J1521" s="173"/>
    </row>
    <row r="1522" spans="1:10" x14ac:dyDescent="0.25">
      <c r="A1522" s="106"/>
      <c r="B1522" s="107"/>
      <c r="D1522" s="151"/>
      <c r="E1522" s="142"/>
      <c r="F1522" s="176"/>
      <c r="G1522" s="134"/>
      <c r="H1522" s="135"/>
      <c r="I1522" s="136"/>
      <c r="J1522" s="173"/>
    </row>
    <row r="1523" spans="1:10" x14ac:dyDescent="0.25">
      <c r="A1523" s="106"/>
      <c r="B1523" s="107"/>
      <c r="D1523" s="151"/>
      <c r="E1523" s="142"/>
      <c r="F1523" s="176"/>
      <c r="G1523" s="134"/>
      <c r="H1523" s="135"/>
      <c r="I1523" s="136"/>
      <c r="J1523" s="173"/>
    </row>
    <row r="1524" spans="1:10" x14ac:dyDescent="0.25">
      <c r="A1524" s="106"/>
      <c r="B1524" s="107"/>
      <c r="D1524" s="151"/>
      <c r="E1524" s="142"/>
      <c r="F1524" s="176"/>
      <c r="G1524" s="176"/>
      <c r="H1524" s="176"/>
      <c r="I1524" s="172"/>
      <c r="J1524" s="173"/>
    </row>
    <row r="1525" spans="1:10" x14ac:dyDescent="0.25">
      <c r="A1525" s="106"/>
      <c r="B1525" s="107"/>
      <c r="D1525" s="151"/>
      <c r="E1525" s="142"/>
      <c r="F1525" s="176"/>
      <c r="G1525" s="132"/>
      <c r="H1525" s="176"/>
      <c r="I1525" s="133"/>
      <c r="J1525" s="173"/>
    </row>
    <row r="1526" spans="1:10" x14ac:dyDescent="0.25">
      <c r="A1526" s="106"/>
      <c r="B1526" s="107"/>
      <c r="D1526" s="151"/>
      <c r="E1526" s="142"/>
      <c r="F1526" s="176"/>
      <c r="G1526" s="134"/>
      <c r="H1526" s="135"/>
      <c r="I1526" s="136"/>
      <c r="J1526" s="173"/>
    </row>
    <row r="1527" spans="1:10" x14ac:dyDescent="0.25">
      <c r="A1527" s="106"/>
      <c r="B1527" s="107"/>
      <c r="D1527" s="151"/>
      <c r="E1527" s="142"/>
      <c r="F1527" s="176"/>
      <c r="G1527" s="134"/>
      <c r="H1527" s="135"/>
      <c r="I1527" s="136"/>
      <c r="J1527" s="173"/>
    </row>
    <row r="1528" spans="1:10" x14ac:dyDescent="0.25">
      <c r="A1528" s="106"/>
      <c r="B1528" s="107"/>
      <c r="D1528" s="151"/>
      <c r="E1528" s="142"/>
      <c r="F1528" s="176"/>
      <c r="G1528" s="134"/>
      <c r="H1528" s="135"/>
      <c r="I1528" s="136"/>
      <c r="J1528" s="173"/>
    </row>
    <row r="1529" spans="1:10" x14ac:dyDescent="0.25">
      <c r="A1529" s="106"/>
      <c r="B1529" s="107"/>
      <c r="D1529" s="151"/>
      <c r="E1529" s="142"/>
      <c r="F1529" s="176"/>
      <c r="G1529" s="179"/>
      <c r="H1529" s="180"/>
      <c r="I1529" s="143"/>
      <c r="J1529" s="173"/>
    </row>
    <row r="1530" spans="1:10" x14ac:dyDescent="0.25">
      <c r="A1530" s="106"/>
      <c r="B1530" s="107"/>
      <c r="D1530" s="151"/>
      <c r="E1530" s="142"/>
      <c r="F1530" s="176"/>
      <c r="G1530" s="176"/>
      <c r="H1530" s="176"/>
      <c r="I1530" s="172"/>
      <c r="J1530" s="173"/>
    </row>
    <row r="1531" spans="1:10" x14ac:dyDescent="0.25">
      <c r="A1531" s="106"/>
      <c r="B1531" s="107"/>
      <c r="D1531" s="151"/>
      <c r="E1531" s="142"/>
      <c r="F1531" s="176"/>
      <c r="G1531" s="176"/>
      <c r="H1531" s="176"/>
      <c r="I1531" s="172"/>
      <c r="J1531" s="173"/>
    </row>
    <row r="1532" spans="1:10" x14ac:dyDescent="0.25">
      <c r="A1532" s="106"/>
      <c r="B1532" s="107"/>
      <c r="D1532" s="151"/>
      <c r="E1532" s="142"/>
      <c r="F1532" s="176"/>
      <c r="G1532" s="176"/>
      <c r="H1532" s="176"/>
      <c r="I1532" s="172"/>
      <c r="J1532" s="173"/>
    </row>
    <row r="1533" spans="1:10" x14ac:dyDescent="0.25">
      <c r="A1533" s="106"/>
      <c r="B1533" s="107"/>
      <c r="D1533" s="151"/>
      <c r="E1533" s="142"/>
      <c r="F1533" s="176"/>
      <c r="G1533" s="176"/>
      <c r="H1533" s="176"/>
      <c r="I1533" s="172"/>
      <c r="J1533" s="173"/>
    </row>
    <row r="1534" spans="1:10" x14ac:dyDescent="0.25">
      <c r="A1534" s="106"/>
      <c r="B1534" s="107"/>
      <c r="D1534" s="151"/>
      <c r="E1534" s="142"/>
      <c r="F1534" s="176"/>
      <c r="G1534" s="176"/>
      <c r="H1534" s="176"/>
      <c r="I1534" s="172"/>
      <c r="J1534" s="173"/>
    </row>
    <row r="1535" spans="1:10" x14ac:dyDescent="0.25">
      <c r="A1535" s="106"/>
      <c r="B1535" s="107"/>
      <c r="D1535" s="151"/>
      <c r="E1535" s="142"/>
      <c r="F1535" s="176"/>
      <c r="G1535" s="176"/>
      <c r="H1535" s="178"/>
      <c r="I1535" s="172"/>
      <c r="J1535" s="173"/>
    </row>
    <row r="1536" spans="1:10" x14ac:dyDescent="0.25">
      <c r="A1536" s="106"/>
      <c r="B1536" s="107"/>
      <c r="D1536" s="151"/>
      <c r="E1536" s="142"/>
      <c r="F1536" s="176"/>
      <c r="G1536" s="176"/>
      <c r="H1536" s="176"/>
      <c r="I1536" s="172"/>
      <c r="J1536" s="173"/>
    </row>
    <row r="1537" spans="1:10" x14ac:dyDescent="0.25">
      <c r="A1537" s="106"/>
      <c r="B1537" s="107"/>
      <c r="D1537" s="151"/>
      <c r="E1537" s="142"/>
      <c r="F1537" s="176"/>
      <c r="G1537" s="176"/>
      <c r="H1537" s="176"/>
      <c r="I1537" s="172"/>
      <c r="J1537" s="173"/>
    </row>
    <row r="1538" spans="1:10" x14ac:dyDescent="0.25">
      <c r="A1538" s="106"/>
      <c r="B1538" s="107"/>
      <c r="D1538" s="151"/>
      <c r="E1538" s="142"/>
      <c r="F1538" s="176"/>
      <c r="G1538" s="176"/>
      <c r="H1538" s="176"/>
      <c r="I1538" s="172"/>
      <c r="J1538" s="173"/>
    </row>
    <row r="1539" spans="1:10" x14ac:dyDescent="0.25">
      <c r="A1539" s="106"/>
      <c r="B1539" s="107"/>
      <c r="D1539" s="151"/>
      <c r="E1539" s="142"/>
      <c r="F1539" s="176"/>
      <c r="G1539" s="176"/>
      <c r="H1539" s="176"/>
      <c r="I1539" s="172"/>
      <c r="J1539" s="173"/>
    </row>
    <row r="1540" spans="1:10" x14ac:dyDescent="0.25">
      <c r="A1540" s="106"/>
      <c r="B1540" s="107"/>
      <c r="D1540" s="151"/>
      <c r="E1540" s="142"/>
      <c r="F1540" s="176"/>
      <c r="G1540" s="176"/>
      <c r="H1540" s="176"/>
      <c r="I1540" s="172"/>
      <c r="J1540" s="173"/>
    </row>
    <row r="1541" spans="1:10" x14ac:dyDescent="0.25">
      <c r="A1541" s="106"/>
      <c r="B1541" s="107"/>
      <c r="D1541" s="151"/>
      <c r="E1541" s="142"/>
      <c r="F1541" s="176"/>
      <c r="G1541" s="176"/>
      <c r="H1541" s="176"/>
      <c r="I1541" s="172"/>
      <c r="J1541" s="173"/>
    </row>
    <row r="1542" spans="1:10" x14ac:dyDescent="0.25">
      <c r="A1542" s="106"/>
      <c r="B1542" s="107"/>
      <c r="D1542" s="151"/>
      <c r="E1542" s="142"/>
      <c r="F1542" s="176"/>
      <c r="G1542" s="176"/>
      <c r="H1542" s="176"/>
      <c r="I1542" s="172"/>
      <c r="J1542" s="173"/>
    </row>
    <row r="1543" spans="1:10" x14ac:dyDescent="0.25">
      <c r="A1543" s="106"/>
      <c r="B1543" s="107"/>
      <c r="D1543" s="151"/>
      <c r="E1543" s="142"/>
      <c r="F1543" s="176"/>
      <c r="G1543" s="132"/>
      <c r="H1543" s="176"/>
      <c r="I1543" s="144"/>
      <c r="J1543" s="145"/>
    </row>
    <row r="1544" spans="1:10" x14ac:dyDescent="0.25">
      <c r="A1544" s="106"/>
      <c r="B1544" s="107"/>
      <c r="D1544" s="151"/>
      <c r="E1544" s="142"/>
      <c r="F1544" s="176"/>
      <c r="G1544" s="146"/>
      <c r="H1544" s="176"/>
      <c r="I1544" s="172"/>
      <c r="J1544" s="173"/>
    </row>
    <row r="1545" spans="1:10" x14ac:dyDescent="0.25">
      <c r="A1545" s="106"/>
      <c r="B1545" s="107"/>
      <c r="D1545" s="151"/>
      <c r="E1545" s="142"/>
      <c r="F1545" s="176"/>
      <c r="G1545" s="146"/>
      <c r="H1545" s="176"/>
      <c r="I1545" s="172"/>
      <c r="J1545" s="173"/>
    </row>
    <row r="1546" spans="1:10" x14ac:dyDescent="0.25">
      <c r="A1546" s="106"/>
      <c r="B1546" s="107"/>
      <c r="D1546" s="151"/>
      <c r="E1546" s="142"/>
      <c r="F1546" s="176"/>
      <c r="G1546" s="176"/>
      <c r="H1546" s="176"/>
      <c r="I1546" s="172"/>
      <c r="J1546" s="173"/>
    </row>
    <row r="1547" spans="1:10" x14ac:dyDescent="0.25">
      <c r="A1547" s="106"/>
      <c r="B1547" s="107"/>
      <c r="D1547" s="151"/>
      <c r="E1547" s="142"/>
      <c r="F1547" s="176"/>
      <c r="G1547" s="176"/>
      <c r="H1547" s="176"/>
      <c r="I1547" s="172"/>
      <c r="J1547" s="173"/>
    </row>
    <row r="1548" spans="1:10" x14ac:dyDescent="0.25">
      <c r="A1548" s="106"/>
      <c r="B1548" s="107"/>
      <c r="D1548" s="151"/>
      <c r="E1548" s="142"/>
      <c r="F1548" s="176"/>
      <c r="G1548" s="132"/>
      <c r="H1548" s="176"/>
      <c r="I1548" s="133"/>
      <c r="J1548" s="173"/>
    </row>
    <row r="1549" spans="1:10" x14ac:dyDescent="0.25">
      <c r="A1549" s="106"/>
      <c r="B1549" s="107"/>
      <c r="D1549" s="151"/>
      <c r="E1549" s="142"/>
      <c r="F1549" s="176"/>
      <c r="G1549" s="176"/>
      <c r="H1549" s="146"/>
      <c r="I1549" s="147"/>
      <c r="J1549" s="173"/>
    </row>
    <row r="1550" spans="1:10" x14ac:dyDescent="0.25">
      <c r="A1550" s="106"/>
      <c r="B1550" s="107"/>
      <c r="D1550" s="151"/>
      <c r="E1550" s="142"/>
      <c r="F1550" s="176"/>
      <c r="G1550" s="176"/>
      <c r="H1550" s="176"/>
      <c r="I1550" s="172"/>
      <c r="J1550" s="173"/>
    </row>
    <row r="1551" spans="1:10" x14ac:dyDescent="0.25">
      <c r="A1551" s="106"/>
      <c r="B1551" s="107"/>
      <c r="D1551" s="151"/>
      <c r="E1551" s="142"/>
      <c r="F1551" s="176"/>
      <c r="G1551" s="176"/>
      <c r="H1551" s="176"/>
      <c r="I1551" s="172"/>
      <c r="J1551" s="173"/>
    </row>
    <row r="1552" spans="1:10" x14ac:dyDescent="0.25">
      <c r="A1552" s="106"/>
      <c r="B1552" s="107"/>
      <c r="D1552" s="151"/>
      <c r="E1552" s="142"/>
      <c r="F1552" s="176"/>
      <c r="G1552" s="176"/>
      <c r="H1552" s="176"/>
      <c r="I1552" s="172"/>
      <c r="J1552" s="173"/>
    </row>
    <row r="1553" spans="1:10" x14ac:dyDescent="0.25">
      <c r="A1553" s="106"/>
      <c r="B1553" s="107"/>
      <c r="D1553" s="151"/>
      <c r="E1553" s="142"/>
      <c r="F1553" s="176"/>
      <c r="G1553" s="176"/>
      <c r="H1553" s="176"/>
      <c r="I1553" s="172"/>
      <c r="J1553" s="173"/>
    </row>
    <row r="1554" spans="1:10" x14ac:dyDescent="0.25">
      <c r="A1554" s="106"/>
      <c r="B1554" s="107"/>
      <c r="D1554" s="151"/>
      <c r="E1554" s="142"/>
      <c r="F1554" s="176"/>
      <c r="G1554" s="176"/>
      <c r="H1554" s="176"/>
      <c r="I1554" s="172"/>
      <c r="J1554" s="173"/>
    </row>
    <row r="1555" spans="1:10" x14ac:dyDescent="0.25">
      <c r="A1555" s="106"/>
      <c r="B1555" s="107"/>
      <c r="D1555" s="151"/>
      <c r="E1555" s="142"/>
      <c r="F1555" s="176"/>
      <c r="G1555" s="176"/>
      <c r="H1555" s="176"/>
      <c r="I1555" s="172"/>
      <c r="J1555" s="173"/>
    </row>
    <row r="1556" spans="1:10" x14ac:dyDescent="0.25">
      <c r="A1556" s="106"/>
      <c r="B1556" s="107"/>
      <c r="D1556" s="151"/>
      <c r="E1556" s="142"/>
      <c r="F1556" s="176"/>
      <c r="G1556" s="176"/>
      <c r="H1556" s="176"/>
      <c r="I1556" s="172"/>
      <c r="J1556" s="173"/>
    </row>
    <row r="1557" spans="1:10" x14ac:dyDescent="0.25">
      <c r="A1557" s="106"/>
      <c r="B1557" s="107"/>
      <c r="D1557" s="151"/>
      <c r="E1557" s="142"/>
      <c r="F1557" s="176"/>
      <c r="G1557" s="176"/>
      <c r="H1557" s="176"/>
      <c r="I1557" s="172"/>
      <c r="J1557" s="173"/>
    </row>
    <row r="1558" spans="1:10" x14ac:dyDescent="0.25">
      <c r="A1558" s="106"/>
      <c r="B1558" s="107"/>
      <c r="D1558" s="151"/>
      <c r="E1558" s="142"/>
      <c r="F1558" s="176"/>
      <c r="G1558" s="176"/>
      <c r="H1558" s="176"/>
      <c r="I1558" s="172"/>
      <c r="J1558" s="173"/>
    </row>
    <row r="1559" spans="1:10" x14ac:dyDescent="0.25">
      <c r="A1559" s="106"/>
      <c r="B1559" s="107"/>
      <c r="D1559" s="151"/>
      <c r="E1559" s="142"/>
      <c r="F1559" s="176"/>
      <c r="G1559" s="179"/>
      <c r="H1559" s="180"/>
      <c r="I1559" s="172"/>
      <c r="J1559" s="173"/>
    </row>
    <row r="1560" spans="1:10" x14ac:dyDescent="0.25">
      <c r="A1560" s="106"/>
      <c r="B1560" s="107"/>
      <c r="D1560" s="151"/>
      <c r="E1560" s="142"/>
      <c r="F1560" s="176"/>
      <c r="G1560" s="176"/>
      <c r="H1560" s="176"/>
      <c r="I1560" s="172"/>
      <c r="J1560" s="173"/>
    </row>
    <row r="1561" spans="1:10" x14ac:dyDescent="0.25">
      <c r="A1561" s="106"/>
      <c r="B1561" s="107"/>
      <c r="D1561" s="151"/>
      <c r="E1561" s="142"/>
      <c r="F1561" s="176"/>
      <c r="G1561" s="176"/>
      <c r="H1561" s="176"/>
      <c r="I1561" s="172"/>
      <c r="J1561" s="173"/>
    </row>
    <row r="1562" spans="1:10" x14ac:dyDescent="0.25">
      <c r="A1562" s="106"/>
      <c r="B1562" s="107"/>
      <c r="D1562" s="151"/>
      <c r="E1562" s="142"/>
      <c r="F1562" s="176"/>
      <c r="G1562" s="176"/>
      <c r="H1562" s="176"/>
      <c r="I1562" s="172"/>
      <c r="J1562" s="173"/>
    </row>
    <row r="1563" spans="1:10" x14ac:dyDescent="0.25">
      <c r="A1563" s="106"/>
      <c r="B1563" s="107"/>
      <c r="D1563" s="151"/>
      <c r="E1563" s="142"/>
      <c r="F1563" s="176"/>
      <c r="G1563" s="176"/>
      <c r="H1563" s="176"/>
      <c r="I1563" s="172"/>
      <c r="J1563" s="173"/>
    </row>
    <row r="1564" spans="1:10" x14ac:dyDescent="0.25">
      <c r="A1564" s="106"/>
      <c r="B1564" s="107"/>
      <c r="D1564" s="151"/>
      <c r="E1564" s="142"/>
      <c r="F1564" s="176"/>
      <c r="G1564" s="176"/>
      <c r="H1564" s="176"/>
      <c r="I1564" s="172"/>
      <c r="J1564" s="173"/>
    </row>
    <row r="1565" spans="1:10" x14ac:dyDescent="0.25">
      <c r="A1565" s="106"/>
      <c r="B1565" s="107"/>
      <c r="D1565" s="151"/>
      <c r="E1565" s="142"/>
      <c r="F1565" s="176"/>
      <c r="G1565" s="176"/>
      <c r="H1565" s="176"/>
      <c r="I1565" s="172"/>
      <c r="J1565" s="173"/>
    </row>
    <row r="1566" spans="1:10" x14ac:dyDescent="0.25">
      <c r="A1566" s="106"/>
      <c r="B1566" s="107"/>
      <c r="D1566" s="151"/>
      <c r="E1566" s="142"/>
      <c r="F1566" s="176"/>
      <c r="G1566" s="132"/>
      <c r="H1566" s="176"/>
      <c r="I1566" s="133"/>
      <c r="J1566" s="173"/>
    </row>
    <row r="1567" spans="1:10" x14ac:dyDescent="0.25">
      <c r="A1567" s="106"/>
      <c r="B1567" s="107"/>
      <c r="D1567" s="151"/>
      <c r="E1567" s="142"/>
      <c r="F1567" s="176"/>
      <c r="G1567" s="134"/>
      <c r="H1567" s="135"/>
      <c r="I1567" s="136"/>
      <c r="J1567" s="173"/>
    </row>
    <row r="1568" spans="1:10" x14ac:dyDescent="0.25">
      <c r="A1568" s="106"/>
      <c r="B1568" s="107"/>
      <c r="D1568" s="151"/>
      <c r="E1568" s="142"/>
      <c r="F1568" s="176"/>
      <c r="G1568" s="176"/>
      <c r="H1568" s="176"/>
      <c r="I1568" s="172"/>
      <c r="J1568" s="173"/>
    </row>
    <row r="1569" spans="1:10" x14ac:dyDescent="0.25">
      <c r="A1569" s="106"/>
      <c r="B1569" s="107"/>
      <c r="D1569" s="151"/>
      <c r="E1569" s="142"/>
      <c r="F1569" s="176"/>
      <c r="G1569" s="176"/>
      <c r="H1569" s="176"/>
      <c r="I1569" s="172"/>
      <c r="J1569" s="173"/>
    </row>
    <row r="1570" spans="1:10" x14ac:dyDescent="0.25">
      <c r="A1570" s="106"/>
      <c r="B1570" s="107"/>
      <c r="D1570" s="151"/>
      <c r="E1570" s="142"/>
      <c r="F1570" s="176"/>
      <c r="G1570" s="132"/>
      <c r="H1570" s="176"/>
      <c r="I1570" s="133"/>
      <c r="J1570" s="173"/>
    </row>
    <row r="1571" spans="1:10" x14ac:dyDescent="0.25">
      <c r="A1571" s="106"/>
      <c r="B1571" s="107"/>
      <c r="D1571" s="151"/>
      <c r="E1571" s="142"/>
      <c r="F1571" s="176"/>
      <c r="G1571" s="134"/>
      <c r="H1571" s="135"/>
      <c r="I1571" s="136"/>
      <c r="J1571" s="173"/>
    </row>
    <row r="1572" spans="1:10" x14ac:dyDescent="0.25">
      <c r="A1572" s="106"/>
      <c r="B1572" s="107"/>
      <c r="D1572" s="151"/>
      <c r="E1572" s="142"/>
      <c r="F1572" s="176"/>
      <c r="G1572" s="176"/>
      <c r="H1572" s="176"/>
      <c r="I1572" s="172"/>
      <c r="J1572" s="173"/>
    </row>
    <row r="1573" spans="1:10" x14ac:dyDescent="0.25">
      <c r="A1573" s="106"/>
      <c r="B1573" s="107"/>
      <c r="D1573" s="151"/>
      <c r="E1573" s="142"/>
      <c r="F1573" s="176"/>
      <c r="G1573" s="176"/>
      <c r="H1573" s="176"/>
      <c r="I1573" s="172"/>
      <c r="J1573" s="173"/>
    </row>
    <row r="1574" spans="1:10" x14ac:dyDescent="0.25">
      <c r="A1574" s="106"/>
      <c r="B1574" s="107"/>
      <c r="D1574" s="151"/>
      <c r="E1574" s="142"/>
      <c r="F1574" s="176"/>
      <c r="G1574" s="132"/>
      <c r="H1574" s="176"/>
      <c r="I1574" s="133"/>
      <c r="J1574" s="173"/>
    </row>
    <row r="1575" spans="1:10" x14ac:dyDescent="0.25">
      <c r="A1575" s="106"/>
      <c r="B1575" s="107"/>
      <c r="D1575" s="151"/>
      <c r="E1575" s="142"/>
      <c r="F1575" s="176"/>
      <c r="G1575" s="134"/>
      <c r="H1575" s="135"/>
      <c r="I1575" s="136"/>
      <c r="J1575" s="173"/>
    </row>
    <row r="1576" spans="1:10" x14ac:dyDescent="0.25">
      <c r="A1576" s="106"/>
      <c r="B1576" s="107"/>
      <c r="D1576" s="151"/>
      <c r="E1576" s="142"/>
      <c r="F1576" s="176"/>
      <c r="G1576" s="134"/>
      <c r="H1576" s="176"/>
      <c r="I1576" s="172"/>
      <c r="J1576" s="173"/>
    </row>
    <row r="1577" spans="1:10" x14ac:dyDescent="0.25">
      <c r="A1577" s="106"/>
      <c r="B1577" s="107"/>
      <c r="D1577" s="151"/>
      <c r="E1577" s="142"/>
      <c r="F1577" s="176"/>
      <c r="G1577" s="134"/>
      <c r="H1577" s="180"/>
      <c r="I1577" s="172"/>
      <c r="J1577" s="173"/>
    </row>
    <row r="1578" spans="1:10" x14ac:dyDescent="0.25">
      <c r="A1578" s="106"/>
      <c r="B1578" s="107"/>
      <c r="D1578" s="151"/>
      <c r="E1578" s="142"/>
      <c r="F1578" s="176"/>
      <c r="G1578" s="134"/>
      <c r="H1578" s="176"/>
      <c r="I1578" s="172"/>
      <c r="J1578" s="173"/>
    </row>
    <row r="1579" spans="1:10" x14ac:dyDescent="0.25">
      <c r="A1579" s="106"/>
      <c r="B1579" s="107"/>
      <c r="D1579" s="151"/>
      <c r="E1579" s="142"/>
      <c r="F1579" s="176"/>
      <c r="G1579" s="134"/>
      <c r="H1579" s="176"/>
      <c r="I1579" s="172"/>
      <c r="J1579" s="173"/>
    </row>
    <row r="1580" spans="1:10" x14ac:dyDescent="0.25">
      <c r="A1580" s="106"/>
      <c r="B1580" s="107"/>
      <c r="D1580" s="151"/>
      <c r="E1580" s="142"/>
      <c r="F1580" s="176"/>
      <c r="G1580" s="134"/>
      <c r="H1580" s="176"/>
      <c r="I1580" s="172"/>
      <c r="J1580" s="173"/>
    </row>
    <row r="1581" spans="1:10" x14ac:dyDescent="0.25">
      <c r="A1581" s="106"/>
      <c r="B1581" s="107"/>
      <c r="D1581" s="151"/>
      <c r="E1581" s="142"/>
      <c r="F1581" s="176"/>
      <c r="G1581" s="134"/>
      <c r="H1581" s="176"/>
      <c r="I1581" s="172"/>
      <c r="J1581" s="173"/>
    </row>
    <row r="1582" spans="1:10" x14ac:dyDescent="0.25">
      <c r="A1582" s="106"/>
      <c r="B1582" s="107"/>
      <c r="D1582" s="151"/>
      <c r="E1582" s="142"/>
      <c r="F1582" s="176"/>
      <c r="G1582" s="134"/>
      <c r="H1582" s="176"/>
      <c r="I1582" s="172"/>
      <c r="J1582" s="173"/>
    </row>
    <row r="1583" spans="1:10" x14ac:dyDescent="0.25">
      <c r="A1583" s="106"/>
      <c r="B1583" s="107"/>
      <c r="D1583" s="151"/>
      <c r="E1583" s="142"/>
      <c r="F1583" s="176"/>
      <c r="G1583" s="134"/>
      <c r="H1583" s="176"/>
      <c r="I1583" s="172"/>
      <c r="J1583" s="173"/>
    </row>
    <row r="1584" spans="1:10" x14ac:dyDescent="0.25">
      <c r="A1584" s="106"/>
      <c r="B1584" s="107"/>
      <c r="D1584" s="151"/>
      <c r="E1584" s="142"/>
      <c r="F1584" s="176"/>
      <c r="G1584" s="134"/>
      <c r="H1584" s="176"/>
      <c r="I1584" s="133"/>
      <c r="J1584" s="173"/>
    </row>
    <row r="1585" spans="1:10" x14ac:dyDescent="0.25">
      <c r="A1585" s="106"/>
      <c r="B1585" s="107"/>
      <c r="D1585" s="151"/>
      <c r="E1585" s="142"/>
      <c r="F1585" s="176"/>
      <c r="G1585" s="134"/>
      <c r="H1585" s="135"/>
      <c r="I1585" s="136"/>
      <c r="J1585" s="173"/>
    </row>
    <row r="1586" spans="1:10" x14ac:dyDescent="0.25">
      <c r="A1586" s="106"/>
      <c r="B1586" s="107"/>
      <c r="D1586" s="151"/>
      <c r="E1586" s="142"/>
      <c r="F1586" s="176"/>
      <c r="G1586" s="134"/>
      <c r="H1586" s="176"/>
      <c r="I1586" s="172"/>
      <c r="J1586" s="173"/>
    </row>
    <row r="1587" spans="1:10" x14ac:dyDescent="0.25">
      <c r="A1587" s="106"/>
      <c r="B1587" s="107"/>
      <c r="D1587" s="151"/>
      <c r="E1587" s="142"/>
      <c r="F1587" s="176"/>
      <c r="G1587" s="134"/>
      <c r="H1587" s="180"/>
      <c r="I1587" s="172"/>
      <c r="J1587" s="173"/>
    </row>
    <row r="1588" spans="1:10" x14ac:dyDescent="0.25">
      <c r="A1588" s="106"/>
      <c r="B1588" s="107"/>
      <c r="D1588" s="151"/>
      <c r="E1588" s="142"/>
      <c r="F1588" s="176"/>
      <c r="G1588" s="134"/>
      <c r="H1588" s="176"/>
      <c r="I1588" s="172"/>
      <c r="J1588" s="173"/>
    </row>
    <row r="1589" spans="1:10" x14ac:dyDescent="0.25">
      <c r="A1589" s="106"/>
      <c r="B1589" s="107"/>
      <c r="D1589" s="151"/>
      <c r="E1589" s="142"/>
      <c r="F1589" s="176"/>
      <c r="G1589" s="134"/>
      <c r="H1589" s="176"/>
      <c r="I1589" s="172"/>
      <c r="J1589" s="173"/>
    </row>
    <row r="1590" spans="1:10" x14ac:dyDescent="0.25">
      <c r="A1590" s="106"/>
      <c r="B1590" s="107"/>
      <c r="D1590" s="151"/>
      <c r="E1590" s="142"/>
      <c r="F1590" s="176"/>
      <c r="G1590" s="134"/>
      <c r="H1590" s="176"/>
      <c r="I1590" s="172"/>
      <c r="J1590" s="173"/>
    </row>
    <row r="1591" spans="1:10" x14ac:dyDescent="0.25">
      <c r="A1591" s="106"/>
      <c r="B1591" s="107"/>
      <c r="D1591" s="151"/>
      <c r="E1591" s="142"/>
      <c r="F1591" s="176"/>
      <c r="G1591" s="134"/>
      <c r="H1591" s="176"/>
      <c r="I1591" s="172"/>
      <c r="J1591" s="173"/>
    </row>
    <row r="1592" spans="1:10" x14ac:dyDescent="0.25">
      <c r="A1592" s="106"/>
      <c r="B1592" s="107"/>
      <c r="D1592" s="151"/>
      <c r="E1592" s="142"/>
      <c r="F1592" s="176"/>
      <c r="G1592" s="134"/>
      <c r="H1592" s="176"/>
      <c r="I1592" s="172"/>
      <c r="J1592" s="173"/>
    </row>
    <row r="1593" spans="1:10" x14ac:dyDescent="0.25">
      <c r="A1593" s="106"/>
      <c r="B1593" s="107"/>
      <c r="D1593" s="151"/>
      <c r="E1593" s="142"/>
      <c r="F1593" s="176"/>
      <c r="G1593" s="134"/>
      <c r="H1593" s="176"/>
      <c r="I1593" s="172"/>
      <c r="J1593" s="173"/>
    </row>
    <row r="1594" spans="1:10" x14ac:dyDescent="0.25">
      <c r="A1594" s="106"/>
      <c r="B1594" s="107"/>
      <c r="D1594" s="151"/>
      <c r="E1594" s="142"/>
      <c r="F1594" s="176"/>
      <c r="G1594" s="134"/>
      <c r="H1594" s="176"/>
      <c r="I1594" s="172"/>
      <c r="J1594" s="173"/>
    </row>
    <row r="1595" spans="1:10" x14ac:dyDescent="0.25">
      <c r="A1595" s="106"/>
      <c r="B1595" s="107"/>
      <c r="D1595" s="151"/>
      <c r="E1595" s="142"/>
      <c r="F1595" s="176"/>
      <c r="G1595" s="176"/>
      <c r="H1595" s="176"/>
      <c r="I1595" s="172"/>
      <c r="J1595" s="173"/>
    </row>
    <row r="1596" spans="1:10" x14ac:dyDescent="0.25">
      <c r="A1596" s="106"/>
      <c r="B1596" s="107"/>
      <c r="D1596" s="151"/>
      <c r="E1596" s="142"/>
      <c r="F1596" s="176"/>
      <c r="G1596" s="176"/>
      <c r="H1596" s="176"/>
      <c r="I1596" s="172"/>
      <c r="J1596" s="173"/>
    </row>
    <row r="1597" spans="1:10" x14ac:dyDescent="0.25">
      <c r="A1597" s="106"/>
      <c r="B1597" s="107"/>
      <c r="D1597" s="151"/>
      <c r="E1597" s="142"/>
      <c r="F1597" s="176"/>
      <c r="G1597" s="176"/>
      <c r="H1597" s="176"/>
      <c r="I1597" s="172"/>
      <c r="J1597" s="173"/>
    </row>
    <row r="1598" spans="1:10" x14ac:dyDescent="0.25">
      <c r="A1598" s="106"/>
      <c r="B1598" s="107"/>
      <c r="D1598" s="151"/>
      <c r="E1598" s="142"/>
      <c r="F1598" s="176"/>
      <c r="G1598" s="176"/>
      <c r="H1598" s="176"/>
      <c r="I1598" s="172"/>
      <c r="J1598" s="173"/>
    </row>
    <row r="1599" spans="1:10" x14ac:dyDescent="0.25">
      <c r="A1599" s="106"/>
      <c r="B1599" s="107"/>
      <c r="D1599" s="151"/>
      <c r="E1599" s="142"/>
      <c r="F1599" s="176"/>
      <c r="G1599" s="176"/>
      <c r="H1599" s="176"/>
      <c r="I1599" s="172"/>
      <c r="J1599" s="173"/>
    </row>
    <row r="1600" spans="1:10" x14ac:dyDescent="0.25">
      <c r="A1600" s="106"/>
      <c r="B1600" s="107"/>
      <c r="D1600" s="151"/>
      <c r="E1600" s="142"/>
      <c r="F1600" s="176"/>
      <c r="G1600" s="176"/>
      <c r="H1600" s="176"/>
      <c r="I1600" s="172"/>
      <c r="J1600" s="173"/>
    </row>
    <row r="1601" spans="1:10" x14ac:dyDescent="0.25">
      <c r="A1601" s="106"/>
      <c r="B1601" s="107"/>
      <c r="D1601" s="151"/>
      <c r="E1601" s="142"/>
      <c r="F1601" s="176"/>
      <c r="G1601" s="179"/>
      <c r="H1601" s="180"/>
      <c r="I1601" s="172"/>
      <c r="J1601" s="173"/>
    </row>
    <row r="1602" spans="1:10" x14ac:dyDescent="0.25">
      <c r="A1602" s="106"/>
      <c r="B1602" s="107"/>
      <c r="D1602" s="151"/>
      <c r="E1602" s="142"/>
      <c r="F1602" s="176"/>
      <c r="G1602" s="176"/>
      <c r="H1602" s="176"/>
      <c r="I1602" s="172"/>
      <c r="J1602" s="173"/>
    </row>
    <row r="1603" spans="1:10" x14ac:dyDescent="0.25">
      <c r="A1603" s="106"/>
      <c r="B1603" s="107"/>
      <c r="D1603" s="151"/>
      <c r="E1603" s="142"/>
      <c r="F1603" s="176"/>
      <c r="G1603" s="131"/>
      <c r="H1603" s="176"/>
      <c r="I1603" s="172"/>
      <c r="J1603" s="173"/>
    </row>
    <row r="1604" spans="1:10" x14ac:dyDescent="0.25">
      <c r="A1604" s="106"/>
      <c r="B1604" s="107"/>
      <c r="D1604" s="151"/>
      <c r="E1604" s="142"/>
      <c r="F1604" s="176"/>
      <c r="G1604" s="179"/>
      <c r="H1604" s="180"/>
      <c r="I1604" s="172"/>
      <c r="J1604" s="173"/>
    </row>
    <row r="1605" spans="1:10" x14ac:dyDescent="0.25">
      <c r="A1605" s="106"/>
      <c r="B1605" s="107"/>
      <c r="D1605" s="151"/>
      <c r="E1605" s="142"/>
      <c r="F1605" s="176"/>
      <c r="G1605" s="176"/>
      <c r="H1605" s="176"/>
      <c r="I1605" s="172"/>
      <c r="J1605" s="173"/>
    </row>
    <row r="1606" spans="1:10" x14ac:dyDescent="0.25">
      <c r="A1606" s="106"/>
      <c r="B1606" s="107"/>
      <c r="D1606" s="151"/>
      <c r="E1606" s="142"/>
      <c r="F1606" s="176"/>
      <c r="G1606" s="131"/>
      <c r="H1606" s="176"/>
      <c r="I1606" s="172"/>
      <c r="J1606" s="173"/>
    </row>
    <row r="1607" spans="1:10" x14ac:dyDescent="0.25">
      <c r="A1607" s="106"/>
      <c r="B1607" s="107"/>
      <c r="D1607" s="151"/>
      <c r="E1607" s="142"/>
      <c r="F1607" s="176"/>
      <c r="G1607" s="176"/>
      <c r="H1607" s="176"/>
      <c r="I1607" s="172"/>
      <c r="J1607" s="173"/>
    </row>
    <row r="1608" spans="1:10" x14ac:dyDescent="0.25">
      <c r="A1608" s="106"/>
      <c r="B1608" s="107"/>
      <c r="D1608" s="151"/>
      <c r="E1608" s="142"/>
      <c r="F1608" s="176"/>
      <c r="G1608" s="176"/>
      <c r="H1608" s="176"/>
      <c r="I1608" s="172"/>
      <c r="J1608" s="173"/>
    </row>
    <row r="1609" spans="1:10" x14ac:dyDescent="0.25">
      <c r="A1609" s="106"/>
      <c r="B1609" s="107"/>
      <c r="D1609" s="151"/>
      <c r="E1609" s="142"/>
      <c r="F1609" s="176"/>
      <c r="G1609" s="176"/>
      <c r="H1609" s="176"/>
      <c r="I1609" s="172"/>
      <c r="J1609" s="173"/>
    </row>
    <row r="1610" spans="1:10" x14ac:dyDescent="0.25">
      <c r="A1610" s="106"/>
      <c r="B1610" s="107"/>
      <c r="D1610" s="151"/>
      <c r="E1610" s="142"/>
      <c r="F1610" s="176"/>
      <c r="G1610" s="179"/>
      <c r="H1610" s="180"/>
      <c r="I1610" s="172"/>
      <c r="J1610" s="173"/>
    </row>
    <row r="1611" spans="1:10" x14ac:dyDescent="0.25">
      <c r="A1611" s="106"/>
      <c r="B1611" s="107"/>
      <c r="D1611" s="151"/>
      <c r="E1611" s="142"/>
      <c r="F1611" s="176"/>
      <c r="G1611" s="176"/>
      <c r="H1611" s="176"/>
      <c r="I1611" s="172"/>
      <c r="J1611" s="173"/>
    </row>
    <row r="1612" spans="1:10" x14ac:dyDescent="0.25">
      <c r="A1612" s="106"/>
      <c r="B1612" s="107"/>
      <c r="D1612" s="151"/>
      <c r="E1612" s="142"/>
      <c r="F1612" s="176"/>
      <c r="G1612" s="131"/>
      <c r="H1612" s="176"/>
      <c r="I1612" s="172"/>
      <c r="J1612" s="173"/>
    </row>
    <row r="1613" spans="1:10" x14ac:dyDescent="0.25">
      <c r="A1613" s="106"/>
      <c r="B1613" s="107"/>
      <c r="D1613" s="151"/>
      <c r="E1613" s="142"/>
      <c r="F1613" s="176"/>
      <c r="G1613" s="176"/>
      <c r="H1613" s="176"/>
      <c r="I1613" s="172"/>
      <c r="J1613" s="173"/>
    </row>
    <row r="1614" spans="1:10" x14ac:dyDescent="0.25">
      <c r="A1614" s="106"/>
      <c r="B1614" s="107"/>
      <c r="D1614" s="151"/>
      <c r="E1614" s="142"/>
      <c r="F1614" s="176"/>
      <c r="G1614" s="176"/>
      <c r="H1614" s="176"/>
      <c r="I1614" s="172"/>
      <c r="J1614" s="173"/>
    </row>
    <row r="1615" spans="1:10" x14ac:dyDescent="0.25">
      <c r="A1615" s="106"/>
      <c r="B1615" s="107"/>
      <c r="D1615" s="151"/>
      <c r="E1615" s="142"/>
      <c r="F1615" s="176"/>
      <c r="G1615" s="176"/>
      <c r="H1615" s="176"/>
      <c r="I1615" s="172"/>
      <c r="J1615" s="173"/>
    </row>
    <row r="1616" spans="1:10" x14ac:dyDescent="0.25">
      <c r="A1616" s="106"/>
      <c r="B1616" s="107"/>
      <c r="D1616" s="151"/>
      <c r="E1616" s="142"/>
      <c r="F1616" s="176"/>
      <c r="G1616" s="176"/>
      <c r="H1616" s="176"/>
      <c r="I1616" s="172"/>
      <c r="J1616" s="173"/>
    </row>
    <row r="1617" spans="1:10" x14ac:dyDescent="0.25">
      <c r="A1617" s="106"/>
      <c r="B1617" s="107"/>
      <c r="D1617" s="151"/>
      <c r="E1617" s="142"/>
      <c r="F1617" s="176"/>
      <c r="G1617" s="176"/>
      <c r="H1617" s="176"/>
      <c r="I1617" s="172"/>
      <c r="J1617" s="173"/>
    </row>
    <row r="1618" spans="1:10" x14ac:dyDescent="0.25">
      <c r="A1618" s="106"/>
      <c r="B1618" s="107"/>
      <c r="D1618" s="151"/>
      <c r="E1618" s="142"/>
      <c r="F1618" s="176"/>
      <c r="G1618" s="176"/>
      <c r="H1618" s="176"/>
      <c r="I1618" s="172"/>
      <c r="J1618" s="173"/>
    </row>
    <row r="1619" spans="1:10" x14ac:dyDescent="0.25">
      <c r="A1619" s="106"/>
      <c r="B1619" s="107"/>
      <c r="D1619" s="151"/>
      <c r="E1619" s="142"/>
      <c r="F1619" s="176"/>
      <c r="G1619" s="176"/>
      <c r="H1619" s="176"/>
      <c r="I1619" s="172"/>
      <c r="J1619" s="173"/>
    </row>
    <row r="1620" spans="1:10" x14ac:dyDescent="0.25">
      <c r="A1620" s="106"/>
      <c r="B1620" s="107"/>
      <c r="D1620" s="151"/>
      <c r="E1620" s="142"/>
      <c r="F1620" s="176"/>
      <c r="G1620" s="176"/>
      <c r="H1620" s="176"/>
      <c r="I1620" s="172"/>
      <c r="J1620" s="173"/>
    </row>
    <row r="1621" spans="1:10" x14ac:dyDescent="0.25">
      <c r="A1621" s="106"/>
      <c r="B1621" s="107"/>
      <c r="D1621" s="151"/>
      <c r="E1621" s="142"/>
      <c r="F1621" s="176"/>
      <c r="G1621" s="131"/>
      <c r="H1621" s="176"/>
      <c r="I1621" s="172"/>
      <c r="J1621" s="173"/>
    </row>
    <row r="1622" spans="1:10" x14ac:dyDescent="0.25">
      <c r="A1622" s="106"/>
      <c r="B1622" s="107"/>
      <c r="D1622" s="151"/>
      <c r="E1622" s="142"/>
      <c r="F1622" s="176"/>
      <c r="G1622" s="176"/>
      <c r="H1622" s="176"/>
      <c r="I1622" s="172"/>
      <c r="J1622" s="173"/>
    </row>
    <row r="1623" spans="1:10" x14ac:dyDescent="0.25">
      <c r="A1623" s="106"/>
      <c r="B1623" s="107"/>
      <c r="D1623" s="151"/>
      <c r="E1623" s="142"/>
      <c r="F1623" s="176"/>
      <c r="G1623" s="176"/>
      <c r="H1623" s="176"/>
      <c r="I1623" s="172"/>
      <c r="J1623" s="173"/>
    </row>
    <row r="1624" spans="1:10" x14ac:dyDescent="0.25">
      <c r="A1624" s="106"/>
      <c r="B1624" s="107"/>
      <c r="D1624" s="151"/>
      <c r="E1624" s="142"/>
      <c r="F1624" s="176"/>
      <c r="G1624" s="176"/>
      <c r="H1624" s="176"/>
      <c r="I1624" s="172"/>
      <c r="J1624" s="173"/>
    </row>
    <row r="1625" spans="1:10" x14ac:dyDescent="0.25">
      <c r="A1625" s="106"/>
      <c r="B1625" s="107"/>
      <c r="D1625" s="151"/>
      <c r="E1625" s="142"/>
      <c r="F1625" s="176"/>
      <c r="G1625" s="176"/>
      <c r="H1625" s="176"/>
      <c r="I1625" s="172"/>
      <c r="J1625" s="173"/>
    </row>
    <row r="1626" spans="1:10" x14ac:dyDescent="0.25">
      <c r="A1626" s="106"/>
      <c r="B1626" s="107"/>
      <c r="D1626" s="151"/>
      <c r="E1626" s="142"/>
      <c r="F1626" s="176"/>
      <c r="G1626" s="131"/>
      <c r="H1626" s="176"/>
      <c r="I1626" s="172"/>
      <c r="J1626" s="173"/>
    </row>
    <row r="1627" spans="1:10" x14ac:dyDescent="0.25">
      <c r="A1627" s="106"/>
      <c r="B1627" s="107"/>
      <c r="D1627" s="151"/>
      <c r="E1627" s="142"/>
      <c r="F1627" s="176"/>
      <c r="G1627" s="176"/>
      <c r="H1627" s="176"/>
      <c r="I1627" s="172"/>
      <c r="J1627" s="173"/>
    </row>
    <row r="1628" spans="1:10" x14ac:dyDescent="0.25">
      <c r="A1628" s="106"/>
      <c r="B1628" s="107"/>
      <c r="D1628" s="151"/>
      <c r="E1628" s="142"/>
      <c r="F1628" s="176"/>
      <c r="G1628" s="176"/>
      <c r="H1628" s="176"/>
      <c r="I1628" s="172"/>
      <c r="J1628" s="173"/>
    </row>
    <row r="1629" spans="1:10" x14ac:dyDescent="0.25">
      <c r="A1629" s="106"/>
      <c r="B1629" s="107"/>
      <c r="D1629" s="151"/>
      <c r="E1629" s="142"/>
      <c r="F1629" s="176"/>
      <c r="G1629" s="176"/>
      <c r="H1629" s="176"/>
      <c r="I1629" s="172"/>
      <c r="J1629" s="173"/>
    </row>
    <row r="1630" spans="1:10" x14ac:dyDescent="0.25">
      <c r="A1630" s="106"/>
      <c r="B1630" s="107"/>
      <c r="D1630" s="151"/>
      <c r="E1630" s="142"/>
      <c r="F1630" s="176"/>
      <c r="G1630" s="176"/>
      <c r="H1630" s="176"/>
      <c r="I1630" s="172"/>
      <c r="J1630" s="173"/>
    </row>
    <row r="1631" spans="1:10" x14ac:dyDescent="0.25">
      <c r="A1631" s="106"/>
      <c r="B1631" s="107"/>
      <c r="D1631" s="151"/>
      <c r="E1631" s="142"/>
      <c r="F1631" s="176"/>
      <c r="G1631" s="176"/>
      <c r="H1631" s="176"/>
      <c r="I1631" s="172"/>
      <c r="J1631" s="173"/>
    </row>
    <row r="1632" spans="1:10" x14ac:dyDescent="0.25">
      <c r="A1632" s="106"/>
      <c r="B1632" s="107"/>
      <c r="D1632" s="151"/>
      <c r="E1632" s="142"/>
      <c r="F1632" s="176"/>
      <c r="G1632" s="176"/>
      <c r="H1632" s="176"/>
      <c r="I1632" s="172"/>
      <c r="J1632" s="173"/>
    </row>
    <row r="1633" spans="1:10" x14ac:dyDescent="0.25">
      <c r="A1633" s="106"/>
      <c r="B1633" s="107"/>
      <c r="D1633" s="151"/>
      <c r="E1633" s="142"/>
      <c r="F1633" s="176"/>
      <c r="G1633" s="176"/>
      <c r="H1633" s="176"/>
      <c r="I1633" s="172"/>
      <c r="J1633" s="173"/>
    </row>
    <row r="1634" spans="1:10" x14ac:dyDescent="0.25">
      <c r="A1634" s="106"/>
      <c r="B1634" s="107"/>
      <c r="D1634" s="151"/>
      <c r="E1634" s="142"/>
      <c r="F1634" s="176"/>
      <c r="G1634" s="176"/>
      <c r="H1634" s="176"/>
      <c r="I1634" s="172"/>
      <c r="J1634" s="173"/>
    </row>
    <row r="1635" spans="1:10" x14ac:dyDescent="0.25">
      <c r="A1635" s="106"/>
      <c r="B1635" s="107"/>
      <c r="D1635" s="151"/>
      <c r="E1635" s="142"/>
      <c r="F1635" s="176"/>
      <c r="G1635" s="131"/>
      <c r="H1635" s="176"/>
      <c r="I1635" s="172"/>
      <c r="J1635" s="173"/>
    </row>
    <row r="1636" spans="1:10" x14ac:dyDescent="0.25">
      <c r="A1636" s="106"/>
      <c r="B1636" s="107"/>
      <c r="D1636" s="151"/>
      <c r="E1636" s="142"/>
      <c r="F1636" s="176"/>
      <c r="G1636" s="176"/>
      <c r="H1636" s="176"/>
      <c r="I1636" s="172"/>
      <c r="J1636" s="173"/>
    </row>
    <row r="1637" spans="1:10" x14ac:dyDescent="0.25">
      <c r="A1637" s="106"/>
      <c r="B1637" s="107"/>
      <c r="D1637" s="151"/>
      <c r="E1637" s="142"/>
      <c r="F1637" s="176"/>
      <c r="G1637" s="132"/>
      <c r="H1637" s="178"/>
      <c r="I1637" s="172"/>
      <c r="J1637" s="173"/>
    </row>
    <row r="1638" spans="1:10" x14ac:dyDescent="0.25">
      <c r="A1638" s="106"/>
      <c r="B1638" s="107"/>
      <c r="D1638" s="151"/>
      <c r="E1638" s="142"/>
      <c r="F1638" s="176"/>
      <c r="G1638" s="132"/>
      <c r="H1638" s="178"/>
      <c r="I1638" s="172"/>
      <c r="J1638" s="173"/>
    </row>
    <row r="1639" spans="1:10" x14ac:dyDescent="0.25">
      <c r="A1639" s="106"/>
      <c r="B1639" s="107"/>
      <c r="D1639" s="151"/>
      <c r="E1639" s="142"/>
      <c r="F1639" s="176"/>
      <c r="G1639" s="176"/>
      <c r="H1639" s="176"/>
      <c r="I1639" s="172"/>
      <c r="J1639" s="173"/>
    </row>
    <row r="1640" spans="1:10" x14ac:dyDescent="0.25">
      <c r="A1640" s="106"/>
      <c r="B1640" s="107"/>
      <c r="D1640" s="151"/>
      <c r="E1640" s="142"/>
      <c r="F1640" s="176"/>
      <c r="G1640" s="131"/>
      <c r="H1640" s="176"/>
      <c r="I1640" s="172"/>
      <c r="J1640" s="173"/>
    </row>
    <row r="1641" spans="1:10" x14ac:dyDescent="0.25">
      <c r="A1641" s="106"/>
      <c r="B1641" s="107"/>
      <c r="D1641" s="151"/>
      <c r="E1641" s="142"/>
      <c r="F1641" s="176"/>
      <c r="G1641" s="176"/>
      <c r="H1641" s="176"/>
      <c r="I1641" s="172"/>
      <c r="J1641" s="173"/>
    </row>
    <row r="1642" spans="1:10" x14ac:dyDescent="0.25">
      <c r="A1642" s="106"/>
      <c r="B1642" s="107"/>
      <c r="D1642" s="151"/>
      <c r="E1642" s="142"/>
      <c r="F1642" s="176"/>
      <c r="G1642" s="176"/>
      <c r="H1642" s="176"/>
      <c r="I1642" s="172"/>
      <c r="J1642" s="173"/>
    </row>
    <row r="1643" spans="1:10" x14ac:dyDescent="0.25">
      <c r="A1643" s="106"/>
      <c r="B1643" s="107"/>
      <c r="D1643" s="151"/>
      <c r="E1643" s="142"/>
      <c r="F1643" s="176"/>
      <c r="G1643" s="176"/>
      <c r="H1643" s="176"/>
      <c r="I1643" s="172"/>
      <c r="J1643" s="173"/>
    </row>
    <row r="1644" spans="1:10" x14ac:dyDescent="0.25">
      <c r="A1644" s="106"/>
      <c r="B1644" s="107"/>
      <c r="D1644" s="151"/>
      <c r="E1644" s="142"/>
      <c r="F1644" s="176"/>
      <c r="G1644" s="176"/>
      <c r="H1644" s="176"/>
      <c r="I1644" s="172"/>
      <c r="J1644" s="173"/>
    </row>
    <row r="1645" spans="1:10" x14ac:dyDescent="0.25">
      <c r="A1645" s="106"/>
      <c r="B1645" s="107"/>
      <c r="D1645" s="151"/>
      <c r="E1645" s="142"/>
      <c r="F1645" s="176"/>
      <c r="G1645" s="131"/>
      <c r="H1645" s="176"/>
      <c r="I1645" s="172"/>
      <c r="J1645" s="173"/>
    </row>
    <row r="1646" spans="1:10" x14ac:dyDescent="0.25">
      <c r="A1646" s="106"/>
      <c r="B1646" s="107"/>
      <c r="D1646" s="151"/>
      <c r="E1646" s="142"/>
      <c r="F1646" s="176"/>
      <c r="G1646" s="176"/>
      <c r="H1646" s="176"/>
      <c r="I1646" s="172"/>
      <c r="J1646" s="173"/>
    </row>
    <row r="1647" spans="1:10" x14ac:dyDescent="0.25">
      <c r="A1647" s="106"/>
      <c r="B1647" s="107"/>
      <c r="D1647" s="151"/>
      <c r="E1647" s="142"/>
      <c r="F1647" s="176"/>
      <c r="G1647" s="132"/>
      <c r="H1647" s="178"/>
      <c r="I1647" s="172"/>
      <c r="J1647" s="173"/>
    </row>
    <row r="1648" spans="1:10" x14ac:dyDescent="0.25">
      <c r="A1648" s="106"/>
      <c r="B1648" s="107"/>
      <c r="D1648" s="151"/>
      <c r="E1648" s="142"/>
      <c r="F1648" s="176"/>
      <c r="G1648" s="132"/>
      <c r="H1648" s="178"/>
      <c r="I1648" s="172"/>
      <c r="J1648" s="173"/>
    </row>
    <row r="1649" spans="1:10" x14ac:dyDescent="0.25">
      <c r="A1649" s="106"/>
      <c r="B1649" s="107"/>
      <c r="D1649" s="151"/>
      <c r="E1649" s="142"/>
      <c r="F1649" s="176"/>
      <c r="G1649" s="176"/>
      <c r="H1649" s="176"/>
      <c r="I1649" s="172"/>
      <c r="J1649" s="173"/>
    </row>
    <row r="1650" spans="1:10" x14ac:dyDescent="0.25">
      <c r="A1650" s="106"/>
      <c r="B1650" s="107"/>
      <c r="D1650" s="151"/>
      <c r="E1650" s="142"/>
      <c r="F1650" s="176"/>
      <c r="G1650" s="131"/>
      <c r="H1650" s="176"/>
      <c r="I1650" s="172"/>
      <c r="J1650" s="173"/>
    </row>
    <row r="1651" spans="1:10" x14ac:dyDescent="0.25">
      <c r="A1651" s="106"/>
      <c r="B1651" s="107"/>
      <c r="D1651" s="151"/>
      <c r="E1651" s="142"/>
      <c r="F1651" s="176"/>
      <c r="G1651" s="176"/>
      <c r="H1651" s="176"/>
      <c r="I1651" s="172"/>
      <c r="J1651" s="173"/>
    </row>
    <row r="1652" spans="1:10" x14ac:dyDescent="0.25">
      <c r="A1652" s="106"/>
      <c r="B1652" s="107"/>
      <c r="D1652" s="151"/>
      <c r="E1652" s="142"/>
      <c r="F1652" s="176"/>
      <c r="G1652" s="176"/>
      <c r="H1652" s="176"/>
      <c r="I1652" s="172"/>
      <c r="J1652" s="173"/>
    </row>
    <row r="1653" spans="1:10" x14ac:dyDescent="0.25">
      <c r="A1653" s="106"/>
      <c r="B1653" s="107"/>
      <c r="D1653" s="151"/>
      <c r="E1653" s="142"/>
      <c r="F1653" s="176"/>
      <c r="G1653" s="176"/>
      <c r="H1653" s="176"/>
      <c r="I1653" s="172"/>
      <c r="J1653" s="173"/>
    </row>
    <row r="1654" spans="1:10" x14ac:dyDescent="0.25">
      <c r="A1654" s="106"/>
      <c r="B1654" s="107"/>
      <c r="D1654" s="151"/>
      <c r="E1654" s="142"/>
      <c r="F1654" s="176"/>
      <c r="G1654" s="176"/>
      <c r="H1654" s="176"/>
      <c r="I1654" s="172"/>
      <c r="J1654" s="173"/>
    </row>
    <row r="1655" spans="1:10" x14ac:dyDescent="0.25">
      <c r="A1655" s="106"/>
      <c r="B1655" s="107"/>
      <c r="D1655" s="151"/>
      <c r="E1655" s="142"/>
      <c r="F1655" s="176"/>
      <c r="G1655" s="131"/>
      <c r="H1655" s="176"/>
      <c r="I1655" s="172"/>
      <c r="J1655" s="173"/>
    </row>
    <row r="1656" spans="1:10" x14ac:dyDescent="0.25">
      <c r="A1656" s="106"/>
      <c r="B1656" s="107"/>
      <c r="D1656" s="151"/>
      <c r="E1656" s="142"/>
      <c r="F1656" s="176"/>
      <c r="G1656" s="176"/>
      <c r="H1656" s="176"/>
      <c r="I1656" s="172"/>
      <c r="J1656" s="173"/>
    </row>
    <row r="1657" spans="1:10" x14ac:dyDescent="0.25">
      <c r="A1657" s="106"/>
      <c r="B1657" s="107"/>
      <c r="D1657" s="151"/>
      <c r="E1657" s="142"/>
      <c r="F1657" s="176"/>
      <c r="G1657" s="132"/>
      <c r="H1657" s="178"/>
      <c r="I1657" s="172"/>
      <c r="J1657" s="173"/>
    </row>
    <row r="1658" spans="1:10" x14ac:dyDescent="0.25">
      <c r="A1658" s="106"/>
      <c r="B1658" s="107"/>
      <c r="D1658" s="151"/>
      <c r="E1658" s="142"/>
      <c r="F1658" s="176"/>
      <c r="G1658" s="132"/>
      <c r="H1658" s="178"/>
      <c r="I1658" s="172"/>
      <c r="J1658" s="173"/>
    </row>
    <row r="1659" spans="1:10" x14ac:dyDescent="0.25">
      <c r="A1659" s="106"/>
      <c r="B1659" s="107"/>
      <c r="D1659" s="151"/>
      <c r="E1659" s="142"/>
      <c r="F1659" s="176"/>
      <c r="G1659" s="176"/>
      <c r="H1659" s="176"/>
      <c r="I1659" s="172"/>
      <c r="J1659" s="173"/>
    </row>
    <row r="1660" spans="1:10" x14ac:dyDescent="0.25">
      <c r="A1660" s="106"/>
      <c r="B1660" s="107"/>
      <c r="D1660" s="151"/>
      <c r="E1660" s="142"/>
      <c r="F1660" s="176"/>
      <c r="G1660" s="131"/>
      <c r="H1660" s="176"/>
      <c r="I1660" s="172"/>
      <c r="J1660" s="173"/>
    </row>
    <row r="1661" spans="1:10" x14ac:dyDescent="0.25">
      <c r="A1661" s="106"/>
      <c r="B1661" s="107"/>
      <c r="D1661" s="151"/>
      <c r="E1661" s="142"/>
      <c r="F1661" s="176"/>
      <c r="G1661" s="176"/>
      <c r="H1661" s="176"/>
      <c r="I1661" s="172"/>
      <c r="J1661" s="173"/>
    </row>
    <row r="1662" spans="1:10" x14ac:dyDescent="0.25">
      <c r="A1662" s="106"/>
      <c r="B1662" s="107"/>
      <c r="D1662" s="151"/>
      <c r="E1662" s="142"/>
      <c r="F1662" s="176"/>
      <c r="G1662" s="176"/>
      <c r="H1662" s="176"/>
      <c r="I1662" s="172"/>
      <c r="J1662" s="173"/>
    </row>
    <row r="1663" spans="1:10" x14ac:dyDescent="0.25">
      <c r="A1663" s="106"/>
      <c r="B1663" s="107"/>
      <c r="D1663" s="151"/>
      <c r="E1663" s="142"/>
      <c r="F1663" s="176"/>
      <c r="G1663" s="176"/>
      <c r="H1663" s="176"/>
      <c r="I1663" s="172"/>
      <c r="J1663" s="173"/>
    </row>
    <row r="1664" spans="1:10" x14ac:dyDescent="0.25">
      <c r="A1664" s="106"/>
      <c r="B1664" s="107"/>
      <c r="D1664" s="151"/>
      <c r="E1664" s="142"/>
      <c r="F1664" s="176"/>
      <c r="G1664" s="176"/>
      <c r="H1664" s="176"/>
      <c r="I1664" s="172"/>
      <c r="J1664" s="173"/>
    </row>
    <row r="1665" spans="1:10" x14ac:dyDescent="0.25">
      <c r="A1665" s="106"/>
      <c r="B1665" s="107"/>
      <c r="D1665" s="151"/>
      <c r="E1665" s="142"/>
      <c r="F1665" s="176"/>
      <c r="G1665" s="176"/>
      <c r="H1665" s="176"/>
      <c r="I1665" s="172"/>
      <c r="J1665" s="173"/>
    </row>
    <row r="1666" spans="1:10" x14ac:dyDescent="0.25">
      <c r="A1666" s="106"/>
      <c r="B1666" s="107"/>
      <c r="D1666" s="151"/>
      <c r="E1666" s="142"/>
      <c r="F1666" s="176"/>
      <c r="G1666" s="176"/>
      <c r="H1666" s="176"/>
      <c r="I1666" s="172"/>
      <c r="J1666" s="173"/>
    </row>
    <row r="1667" spans="1:10" x14ac:dyDescent="0.25">
      <c r="A1667" s="106"/>
      <c r="B1667" s="107"/>
      <c r="D1667" s="151"/>
      <c r="E1667" s="142"/>
      <c r="F1667" s="176"/>
      <c r="G1667" s="176"/>
      <c r="H1667" s="176"/>
      <c r="I1667" s="172"/>
      <c r="J1667" s="173"/>
    </row>
    <row r="1668" spans="1:10" x14ac:dyDescent="0.25">
      <c r="A1668" s="106"/>
      <c r="B1668" s="107"/>
      <c r="D1668" s="151"/>
      <c r="E1668" s="142"/>
      <c r="F1668" s="176"/>
      <c r="G1668" s="176"/>
      <c r="H1668" s="176"/>
      <c r="I1668" s="172"/>
      <c r="J1668" s="173"/>
    </row>
    <row r="1669" spans="1:10" x14ac:dyDescent="0.25">
      <c r="A1669" s="106"/>
      <c r="B1669" s="107"/>
      <c r="D1669" s="151"/>
      <c r="E1669" s="142"/>
      <c r="F1669" s="176"/>
      <c r="G1669" s="176"/>
      <c r="H1669" s="176"/>
      <c r="I1669" s="172"/>
      <c r="J1669" s="173"/>
    </row>
    <row r="1670" spans="1:10" x14ac:dyDescent="0.25">
      <c r="A1670" s="106"/>
      <c r="B1670" s="107"/>
      <c r="D1670" s="151"/>
      <c r="E1670" s="142"/>
      <c r="F1670" s="176"/>
      <c r="G1670" s="176"/>
      <c r="H1670" s="176"/>
      <c r="I1670" s="172"/>
      <c r="J1670" s="173"/>
    </row>
    <row r="1671" spans="1:10" x14ac:dyDescent="0.25">
      <c r="A1671" s="106"/>
      <c r="B1671" s="107"/>
      <c r="D1671" s="151"/>
      <c r="E1671" s="142"/>
      <c r="F1671" s="176"/>
      <c r="G1671" s="176"/>
      <c r="H1671" s="176"/>
      <c r="I1671" s="172"/>
      <c r="J1671" s="173"/>
    </row>
    <row r="1672" spans="1:10" x14ac:dyDescent="0.25">
      <c r="A1672" s="106"/>
      <c r="B1672" s="107"/>
      <c r="D1672" s="151"/>
      <c r="E1672" s="142"/>
      <c r="F1672" s="176"/>
      <c r="G1672" s="176"/>
      <c r="H1672" s="176"/>
      <c r="I1672" s="172"/>
      <c r="J1672" s="173"/>
    </row>
    <row r="1673" spans="1:10" x14ac:dyDescent="0.25">
      <c r="A1673" s="106"/>
      <c r="B1673" s="107"/>
      <c r="D1673" s="151"/>
      <c r="E1673" s="142"/>
      <c r="F1673" s="176"/>
      <c r="G1673" s="179"/>
      <c r="H1673" s="180"/>
      <c r="I1673" s="172"/>
      <c r="J1673" s="173"/>
    </row>
    <row r="1674" spans="1:10" x14ac:dyDescent="0.25">
      <c r="A1674" s="106"/>
      <c r="B1674" s="107"/>
      <c r="D1674" s="151"/>
      <c r="E1674" s="142"/>
      <c r="F1674" s="176"/>
      <c r="G1674" s="176"/>
      <c r="H1674" s="176"/>
      <c r="I1674" s="172"/>
      <c r="J1674" s="173"/>
    </row>
    <row r="1675" spans="1:10" x14ac:dyDescent="0.25">
      <c r="A1675" s="106"/>
      <c r="B1675" s="107"/>
      <c r="D1675" s="151"/>
      <c r="E1675" s="142"/>
      <c r="F1675" s="176"/>
      <c r="G1675" s="176"/>
      <c r="H1675" s="176"/>
      <c r="I1675" s="172"/>
      <c r="J1675" s="173"/>
    </row>
    <row r="1676" spans="1:10" x14ac:dyDescent="0.25">
      <c r="A1676" s="106"/>
      <c r="B1676" s="107"/>
      <c r="D1676" s="151"/>
      <c r="E1676" s="142"/>
      <c r="F1676" s="176"/>
      <c r="G1676" s="176"/>
      <c r="H1676" s="176"/>
      <c r="I1676" s="172"/>
      <c r="J1676" s="173"/>
    </row>
    <row r="1677" spans="1:10" x14ac:dyDescent="0.25">
      <c r="A1677" s="106"/>
      <c r="B1677" s="107"/>
      <c r="D1677" s="151"/>
      <c r="E1677" s="142"/>
      <c r="F1677" s="176"/>
      <c r="G1677" s="176"/>
      <c r="H1677" s="176"/>
      <c r="I1677" s="172"/>
      <c r="J1677" s="173"/>
    </row>
    <row r="1678" spans="1:10" x14ac:dyDescent="0.25">
      <c r="A1678" s="106"/>
      <c r="B1678" s="107"/>
      <c r="D1678" s="151"/>
      <c r="E1678" s="142"/>
      <c r="F1678" s="176"/>
      <c r="G1678" s="131"/>
      <c r="H1678" s="176"/>
      <c r="I1678" s="172"/>
      <c r="J1678" s="173"/>
    </row>
    <row r="1679" spans="1:10" x14ac:dyDescent="0.25">
      <c r="A1679" s="106"/>
      <c r="B1679" s="107"/>
      <c r="D1679" s="151"/>
      <c r="E1679" s="142"/>
      <c r="F1679" s="176"/>
      <c r="G1679" s="179"/>
      <c r="H1679" s="180"/>
      <c r="I1679" s="172"/>
      <c r="J1679" s="173"/>
    </row>
    <row r="1680" spans="1:10" x14ac:dyDescent="0.25">
      <c r="A1680" s="106"/>
      <c r="B1680" s="107"/>
      <c r="D1680" s="151"/>
      <c r="E1680" s="142"/>
      <c r="F1680" s="176"/>
      <c r="G1680" s="179"/>
      <c r="H1680" s="180"/>
      <c r="I1680" s="172"/>
      <c r="J1680" s="173"/>
    </row>
    <row r="1681" spans="1:10" x14ac:dyDescent="0.25">
      <c r="A1681" s="106"/>
      <c r="B1681" s="107"/>
      <c r="D1681" s="151"/>
      <c r="E1681" s="142"/>
      <c r="F1681" s="176"/>
      <c r="G1681" s="179"/>
      <c r="H1681" s="180"/>
      <c r="I1681" s="172"/>
      <c r="J1681" s="173"/>
    </row>
    <row r="1682" spans="1:10" x14ac:dyDescent="0.25">
      <c r="A1682" s="106"/>
      <c r="B1682" s="107"/>
      <c r="D1682" s="151"/>
      <c r="E1682" s="142"/>
      <c r="F1682" s="176"/>
      <c r="G1682" s="179"/>
      <c r="H1682" s="180"/>
      <c r="I1682" s="172"/>
      <c r="J1682" s="173"/>
    </row>
    <row r="1683" spans="1:10" x14ac:dyDescent="0.25">
      <c r="A1683" s="106"/>
      <c r="B1683" s="107"/>
      <c r="D1683" s="151"/>
      <c r="E1683" s="142"/>
      <c r="F1683" s="176"/>
      <c r="G1683" s="179"/>
      <c r="H1683" s="180"/>
      <c r="I1683" s="172"/>
      <c r="J1683" s="173"/>
    </row>
    <row r="1684" spans="1:10" x14ac:dyDescent="0.25">
      <c r="A1684" s="106"/>
      <c r="B1684" s="107"/>
      <c r="D1684" s="151"/>
      <c r="E1684" s="142"/>
      <c r="F1684" s="176"/>
      <c r="G1684" s="179"/>
      <c r="H1684" s="180"/>
      <c r="I1684" s="172"/>
      <c r="J1684" s="173"/>
    </row>
    <row r="1685" spans="1:10" x14ac:dyDescent="0.25">
      <c r="A1685" s="106"/>
      <c r="B1685" s="107"/>
      <c r="D1685" s="151"/>
      <c r="E1685" s="142"/>
      <c r="F1685" s="176"/>
      <c r="G1685" s="179"/>
      <c r="H1685" s="180"/>
      <c r="I1685" s="172"/>
      <c r="J1685" s="173"/>
    </row>
    <row r="1686" spans="1:10" x14ac:dyDescent="0.25">
      <c r="A1686" s="106"/>
      <c r="B1686" s="107"/>
      <c r="D1686" s="151"/>
      <c r="E1686" s="142"/>
      <c r="F1686" s="176"/>
      <c r="G1686" s="179"/>
      <c r="H1686" s="180"/>
      <c r="I1686" s="172"/>
      <c r="J1686" s="173"/>
    </row>
    <row r="1687" spans="1:10" x14ac:dyDescent="0.25">
      <c r="A1687" s="106"/>
      <c r="B1687" s="107"/>
      <c r="D1687" s="151"/>
      <c r="E1687" s="142"/>
      <c r="F1687" s="176"/>
      <c r="G1687" s="176"/>
      <c r="H1687" s="176"/>
      <c r="I1687" s="172"/>
      <c r="J1687" s="173"/>
    </row>
    <row r="1688" spans="1:10" x14ac:dyDescent="0.25">
      <c r="A1688" s="106"/>
      <c r="B1688" s="107"/>
      <c r="D1688" s="151"/>
      <c r="E1688" s="142"/>
      <c r="F1688" s="176"/>
      <c r="G1688" s="131"/>
      <c r="H1688" s="176"/>
      <c r="I1688" s="172"/>
      <c r="J1688" s="173"/>
    </row>
    <row r="1689" spans="1:10" x14ac:dyDescent="0.25">
      <c r="A1689" s="106"/>
      <c r="B1689" s="107"/>
      <c r="D1689" s="151"/>
      <c r="E1689" s="142"/>
      <c r="F1689" s="176"/>
      <c r="G1689" s="176"/>
      <c r="H1689" s="176"/>
      <c r="I1689" s="172"/>
      <c r="J1689" s="173"/>
    </row>
    <row r="1690" spans="1:10" x14ac:dyDescent="0.25">
      <c r="A1690" s="106"/>
      <c r="B1690" s="107"/>
      <c r="D1690" s="151"/>
      <c r="E1690" s="142"/>
      <c r="F1690" s="176"/>
      <c r="G1690" s="176"/>
      <c r="H1690" s="176"/>
      <c r="I1690" s="172"/>
      <c r="J1690" s="173"/>
    </row>
    <row r="1691" spans="1:10" x14ac:dyDescent="0.25">
      <c r="A1691" s="106"/>
      <c r="B1691" s="107"/>
      <c r="D1691" s="151"/>
      <c r="E1691" s="142"/>
      <c r="F1691" s="176"/>
      <c r="G1691" s="131"/>
      <c r="H1691" s="176"/>
      <c r="I1691" s="172"/>
      <c r="J1691" s="173"/>
    </row>
    <row r="1692" spans="1:10" x14ac:dyDescent="0.25">
      <c r="A1692" s="106"/>
      <c r="B1692" s="107"/>
      <c r="D1692" s="151"/>
      <c r="E1692" s="142"/>
      <c r="F1692" s="176"/>
      <c r="G1692" s="176"/>
      <c r="H1692" s="176"/>
      <c r="I1692" s="172"/>
      <c r="J1692" s="173"/>
    </row>
    <row r="1693" spans="1:10" x14ac:dyDescent="0.25">
      <c r="A1693" s="106"/>
      <c r="B1693" s="107"/>
      <c r="D1693" s="151"/>
      <c r="E1693" s="142"/>
      <c r="F1693" s="176"/>
      <c r="G1693" s="131"/>
      <c r="H1693" s="176"/>
      <c r="I1693" s="172"/>
      <c r="J1693" s="173"/>
    </row>
    <row r="1694" spans="1:10" x14ac:dyDescent="0.25">
      <c r="A1694" s="106"/>
      <c r="B1694" s="107"/>
      <c r="D1694" s="151"/>
      <c r="E1694" s="142"/>
      <c r="F1694" s="176"/>
      <c r="G1694" s="176"/>
      <c r="H1694" s="176"/>
      <c r="I1694" s="172"/>
      <c r="J1694" s="173"/>
    </row>
    <row r="1695" spans="1:10" x14ac:dyDescent="0.25">
      <c r="A1695" s="106"/>
      <c r="B1695" s="107"/>
      <c r="D1695" s="151"/>
      <c r="E1695" s="142"/>
      <c r="F1695" s="176"/>
      <c r="G1695" s="176"/>
      <c r="H1695" s="176"/>
      <c r="I1695" s="172"/>
      <c r="J1695" s="173"/>
    </row>
    <row r="1696" spans="1:10" x14ac:dyDescent="0.25">
      <c r="A1696" s="106"/>
      <c r="B1696" s="107"/>
      <c r="D1696" s="151"/>
      <c r="E1696" s="142"/>
      <c r="F1696" s="176"/>
      <c r="G1696" s="176"/>
      <c r="H1696" s="176"/>
      <c r="I1696" s="172"/>
      <c r="J1696" s="173"/>
    </row>
    <row r="1697" spans="1:10" x14ac:dyDescent="0.25">
      <c r="A1697" s="106"/>
      <c r="B1697" s="107"/>
      <c r="D1697" s="151"/>
      <c r="E1697" s="142"/>
      <c r="F1697" s="176"/>
      <c r="G1697" s="176"/>
      <c r="H1697" s="176"/>
      <c r="I1697" s="172"/>
      <c r="J1697" s="173"/>
    </row>
    <row r="1698" spans="1:10" x14ac:dyDescent="0.25">
      <c r="A1698" s="106"/>
      <c r="B1698" s="107"/>
      <c r="D1698" s="151"/>
      <c r="E1698" s="142"/>
      <c r="F1698" s="176"/>
      <c r="G1698" s="176"/>
      <c r="H1698" s="176"/>
      <c r="I1698" s="172"/>
      <c r="J1698" s="173"/>
    </row>
    <row r="1699" spans="1:10" x14ac:dyDescent="0.25">
      <c r="A1699" s="106"/>
      <c r="B1699" s="107"/>
      <c r="D1699" s="151"/>
      <c r="E1699" s="142"/>
      <c r="F1699" s="176"/>
      <c r="G1699" s="132"/>
      <c r="H1699" s="176"/>
      <c r="I1699" s="133"/>
      <c r="J1699" s="173"/>
    </row>
    <row r="1700" spans="1:10" x14ac:dyDescent="0.25">
      <c r="A1700" s="106"/>
      <c r="B1700" s="107"/>
      <c r="D1700" s="151"/>
      <c r="E1700" s="142"/>
      <c r="F1700" s="176"/>
      <c r="G1700" s="134"/>
      <c r="H1700" s="135"/>
      <c r="I1700" s="136"/>
      <c r="J1700" s="173"/>
    </row>
    <row r="1701" spans="1:10" x14ac:dyDescent="0.25">
      <c r="A1701" s="106"/>
      <c r="B1701" s="107"/>
      <c r="D1701" s="151"/>
      <c r="E1701" s="142"/>
      <c r="F1701" s="176"/>
      <c r="G1701" s="134"/>
      <c r="H1701" s="135"/>
      <c r="I1701" s="136"/>
      <c r="J1701" s="173"/>
    </row>
    <row r="1702" spans="1:10" x14ac:dyDescent="0.25">
      <c r="A1702" s="106"/>
      <c r="B1702" s="107"/>
      <c r="D1702" s="151"/>
      <c r="E1702" s="142"/>
      <c r="F1702" s="176"/>
      <c r="G1702" s="134"/>
      <c r="H1702" s="135"/>
      <c r="I1702" s="136"/>
      <c r="J1702" s="173"/>
    </row>
    <row r="1703" spans="1:10" x14ac:dyDescent="0.25">
      <c r="A1703" s="106"/>
      <c r="B1703" s="107"/>
      <c r="D1703" s="151"/>
      <c r="E1703" s="142"/>
      <c r="F1703" s="176"/>
      <c r="G1703" s="134"/>
      <c r="H1703" s="135"/>
      <c r="I1703" s="136"/>
      <c r="J1703" s="173"/>
    </row>
    <row r="1704" spans="1:10" x14ac:dyDescent="0.25">
      <c r="A1704" s="106"/>
      <c r="B1704" s="107"/>
      <c r="D1704" s="151"/>
      <c r="E1704" s="142"/>
      <c r="F1704" s="176"/>
      <c r="G1704" s="134"/>
      <c r="H1704" s="135"/>
      <c r="I1704" s="136"/>
      <c r="J1704" s="173"/>
    </row>
    <row r="1705" spans="1:10" x14ac:dyDescent="0.25">
      <c r="A1705" s="106"/>
      <c r="B1705" s="107"/>
      <c r="D1705" s="151"/>
      <c r="E1705" s="142"/>
      <c r="F1705" s="176"/>
      <c r="G1705" s="176"/>
      <c r="H1705" s="176"/>
      <c r="I1705" s="172"/>
      <c r="J1705" s="173"/>
    </row>
    <row r="1706" spans="1:10" x14ac:dyDescent="0.25">
      <c r="A1706" s="106"/>
      <c r="B1706" s="107"/>
      <c r="D1706" s="151"/>
      <c r="E1706" s="142"/>
      <c r="F1706" s="176"/>
      <c r="G1706" s="132"/>
      <c r="H1706" s="176"/>
      <c r="I1706" s="133"/>
      <c r="J1706" s="173"/>
    </row>
    <row r="1707" spans="1:10" x14ac:dyDescent="0.25">
      <c r="A1707" s="106"/>
      <c r="B1707" s="107"/>
      <c r="D1707" s="151"/>
      <c r="E1707" s="142"/>
      <c r="F1707" s="176"/>
      <c r="G1707" s="134"/>
      <c r="H1707" s="135"/>
      <c r="I1707" s="136"/>
      <c r="J1707" s="173"/>
    </row>
    <row r="1708" spans="1:10" x14ac:dyDescent="0.25">
      <c r="A1708" s="106"/>
      <c r="B1708" s="107"/>
      <c r="D1708" s="151"/>
      <c r="E1708" s="142"/>
      <c r="F1708" s="176"/>
      <c r="G1708" s="134"/>
      <c r="H1708" s="135"/>
      <c r="I1708" s="136"/>
      <c r="J1708" s="173"/>
    </row>
    <row r="1709" spans="1:10" x14ac:dyDescent="0.25">
      <c r="A1709" s="106"/>
      <c r="B1709" s="107"/>
      <c r="D1709" s="151"/>
      <c r="E1709" s="142"/>
      <c r="F1709" s="176"/>
      <c r="G1709" s="176"/>
      <c r="H1709" s="176"/>
      <c r="I1709" s="172"/>
      <c r="J1709" s="173"/>
    </row>
    <row r="1710" spans="1:10" x14ac:dyDescent="0.25">
      <c r="A1710" s="106"/>
      <c r="B1710" s="107"/>
      <c r="D1710" s="151"/>
      <c r="E1710" s="142"/>
      <c r="F1710" s="176"/>
      <c r="G1710" s="134"/>
      <c r="H1710" s="135"/>
      <c r="I1710" s="136"/>
      <c r="J1710" s="173"/>
    </row>
    <row r="1711" spans="1:10" x14ac:dyDescent="0.25">
      <c r="A1711" s="106"/>
      <c r="B1711" s="107"/>
      <c r="D1711" s="151"/>
      <c r="E1711" s="142"/>
      <c r="F1711" s="176"/>
      <c r="G1711" s="134"/>
      <c r="H1711" s="135"/>
      <c r="I1711" s="136"/>
      <c r="J1711" s="173"/>
    </row>
    <row r="1712" spans="1:10" x14ac:dyDescent="0.25">
      <c r="A1712" s="106"/>
      <c r="B1712" s="107"/>
      <c r="D1712" s="151"/>
      <c r="E1712" s="142"/>
      <c r="F1712" s="176"/>
      <c r="G1712" s="176"/>
      <c r="H1712" s="176"/>
      <c r="I1712" s="172"/>
      <c r="J1712" s="173"/>
    </row>
    <row r="1713" spans="1:10" x14ac:dyDescent="0.25">
      <c r="A1713" s="106"/>
      <c r="B1713" s="107"/>
      <c r="D1713" s="151"/>
      <c r="E1713" s="142"/>
      <c r="F1713" s="176"/>
      <c r="G1713" s="134"/>
      <c r="H1713" s="135"/>
      <c r="I1713" s="136"/>
      <c r="J1713" s="173"/>
    </row>
    <row r="1714" spans="1:10" x14ac:dyDescent="0.25">
      <c r="A1714" s="106"/>
      <c r="B1714" s="107"/>
      <c r="D1714" s="151"/>
      <c r="E1714" s="142"/>
      <c r="F1714" s="176"/>
      <c r="G1714" s="134"/>
      <c r="H1714" s="135"/>
      <c r="I1714" s="136"/>
      <c r="J1714" s="173"/>
    </row>
    <row r="1715" spans="1:10" x14ac:dyDescent="0.25">
      <c r="A1715" s="106"/>
      <c r="B1715" s="107"/>
      <c r="D1715" s="151"/>
      <c r="E1715" s="142"/>
      <c r="F1715" s="176"/>
      <c r="G1715" s="176"/>
      <c r="H1715" s="176"/>
      <c r="I1715" s="172"/>
      <c r="J1715" s="173"/>
    </row>
    <row r="1716" spans="1:10" x14ac:dyDescent="0.25">
      <c r="A1716" s="106"/>
      <c r="B1716" s="107"/>
      <c r="D1716" s="151"/>
      <c r="E1716" s="142"/>
      <c r="F1716" s="176"/>
      <c r="G1716" s="176"/>
      <c r="H1716" s="176"/>
      <c r="I1716" s="172"/>
      <c r="J1716" s="173"/>
    </row>
    <row r="1717" spans="1:10" x14ac:dyDescent="0.25">
      <c r="A1717" s="106"/>
      <c r="B1717" s="107"/>
      <c r="D1717" s="151"/>
      <c r="E1717" s="142"/>
      <c r="F1717" s="176"/>
      <c r="G1717" s="176"/>
      <c r="H1717" s="176"/>
      <c r="I1717" s="172"/>
      <c r="J1717" s="173"/>
    </row>
    <row r="1718" spans="1:10" x14ac:dyDescent="0.25">
      <c r="A1718" s="106"/>
      <c r="B1718" s="107"/>
      <c r="D1718" s="151"/>
      <c r="E1718" s="142"/>
      <c r="F1718" s="176"/>
      <c r="G1718" s="176"/>
      <c r="H1718" s="176"/>
      <c r="I1718" s="172"/>
      <c r="J1718" s="173"/>
    </row>
    <row r="1719" spans="1:10" x14ac:dyDescent="0.25">
      <c r="A1719" s="106"/>
      <c r="B1719" s="107"/>
      <c r="D1719" s="151"/>
      <c r="E1719" s="142"/>
      <c r="F1719" s="176"/>
      <c r="G1719" s="176"/>
      <c r="H1719" s="176"/>
      <c r="I1719" s="172"/>
      <c r="J1719" s="173"/>
    </row>
    <row r="1720" spans="1:10" x14ac:dyDescent="0.25">
      <c r="A1720" s="106"/>
      <c r="B1720" s="107"/>
      <c r="D1720" s="151"/>
      <c r="E1720" s="142"/>
      <c r="F1720" s="176"/>
      <c r="G1720" s="176"/>
      <c r="H1720" s="176"/>
      <c r="I1720" s="172"/>
      <c r="J1720" s="173"/>
    </row>
    <row r="1721" spans="1:10" x14ac:dyDescent="0.25">
      <c r="A1721" s="106"/>
      <c r="B1721" s="107"/>
      <c r="D1721" s="151"/>
      <c r="E1721" s="142"/>
      <c r="F1721" s="176"/>
      <c r="G1721" s="176"/>
      <c r="H1721" s="176"/>
      <c r="I1721" s="172"/>
      <c r="J1721" s="173"/>
    </row>
    <row r="1722" spans="1:10" x14ac:dyDescent="0.25">
      <c r="A1722" s="106"/>
      <c r="B1722" s="107"/>
      <c r="D1722" s="151"/>
      <c r="E1722" s="142"/>
      <c r="F1722" s="176"/>
      <c r="G1722" s="132"/>
      <c r="H1722" s="178"/>
      <c r="I1722" s="172"/>
      <c r="J1722" s="173"/>
    </row>
    <row r="1723" spans="1:10" x14ac:dyDescent="0.25">
      <c r="A1723" s="106"/>
      <c r="B1723" s="107"/>
      <c r="D1723" s="151"/>
      <c r="E1723" s="142"/>
      <c r="F1723" s="176"/>
      <c r="G1723" s="176"/>
      <c r="H1723" s="176"/>
      <c r="I1723" s="172"/>
      <c r="J1723" s="173"/>
    </row>
    <row r="1724" spans="1:10" x14ac:dyDescent="0.25">
      <c r="A1724" s="106"/>
      <c r="B1724" s="107"/>
      <c r="D1724" s="151"/>
      <c r="E1724" s="142"/>
      <c r="F1724" s="176"/>
      <c r="G1724" s="176"/>
      <c r="H1724" s="176"/>
      <c r="I1724" s="172"/>
      <c r="J1724" s="173"/>
    </row>
    <row r="1725" spans="1:10" x14ac:dyDescent="0.25">
      <c r="A1725" s="106"/>
      <c r="B1725" s="107"/>
      <c r="D1725" s="151"/>
      <c r="E1725" s="142"/>
      <c r="F1725" s="176"/>
      <c r="G1725" s="176"/>
      <c r="H1725" s="176"/>
      <c r="I1725" s="172"/>
      <c r="J1725" s="173"/>
    </row>
    <row r="1726" spans="1:10" x14ac:dyDescent="0.25">
      <c r="A1726" s="106"/>
      <c r="B1726" s="107"/>
      <c r="D1726" s="151"/>
      <c r="E1726" s="142"/>
      <c r="F1726" s="176"/>
      <c r="G1726" s="176"/>
      <c r="H1726" s="176"/>
      <c r="I1726" s="172"/>
      <c r="J1726" s="173"/>
    </row>
    <row r="1727" spans="1:10" x14ac:dyDescent="0.25">
      <c r="A1727" s="106"/>
      <c r="B1727" s="107"/>
      <c r="D1727" s="151"/>
      <c r="E1727" s="142"/>
      <c r="F1727" s="176"/>
      <c r="G1727" s="176"/>
      <c r="H1727" s="176"/>
      <c r="I1727" s="172"/>
      <c r="J1727" s="173"/>
    </row>
    <row r="1728" spans="1:10" x14ac:dyDescent="0.25">
      <c r="A1728" s="106"/>
      <c r="B1728" s="107"/>
      <c r="D1728" s="151"/>
      <c r="E1728" s="142"/>
      <c r="F1728" s="176"/>
      <c r="G1728" s="176"/>
      <c r="H1728" s="176"/>
      <c r="I1728" s="172"/>
      <c r="J1728" s="173"/>
    </row>
    <row r="1729" spans="1:10" x14ac:dyDescent="0.25">
      <c r="A1729" s="106"/>
      <c r="B1729" s="107"/>
      <c r="D1729" s="151"/>
      <c r="E1729" s="142"/>
      <c r="F1729" s="176"/>
      <c r="G1729" s="176"/>
      <c r="H1729" s="176"/>
      <c r="I1729" s="172"/>
      <c r="J1729" s="173"/>
    </row>
    <row r="1730" spans="1:10" x14ac:dyDescent="0.25">
      <c r="A1730" s="106"/>
      <c r="B1730" s="107"/>
      <c r="D1730" s="151"/>
      <c r="E1730" s="142"/>
      <c r="F1730" s="176"/>
      <c r="G1730" s="176"/>
      <c r="H1730" s="176"/>
      <c r="I1730" s="172"/>
      <c r="J1730" s="173"/>
    </row>
    <row r="1731" spans="1:10" x14ac:dyDescent="0.25">
      <c r="A1731" s="106"/>
      <c r="B1731" s="107"/>
      <c r="D1731" s="151"/>
      <c r="E1731" s="142"/>
      <c r="F1731" s="176"/>
      <c r="G1731" s="176"/>
      <c r="H1731" s="176"/>
      <c r="I1731" s="172"/>
      <c r="J1731" s="173"/>
    </row>
    <row r="1732" spans="1:10" x14ac:dyDescent="0.25">
      <c r="A1732" s="106"/>
      <c r="B1732" s="107"/>
      <c r="D1732" s="151"/>
      <c r="E1732" s="142"/>
      <c r="F1732" s="176"/>
      <c r="G1732" s="176"/>
      <c r="H1732" s="176"/>
      <c r="I1732" s="172"/>
      <c r="J1732" s="173"/>
    </row>
    <row r="1733" spans="1:10" x14ac:dyDescent="0.25">
      <c r="A1733" s="106"/>
      <c r="B1733" s="107"/>
      <c r="D1733" s="151"/>
      <c r="E1733" s="142"/>
      <c r="F1733" s="176"/>
      <c r="G1733" s="176"/>
      <c r="H1733" s="176"/>
      <c r="I1733" s="172"/>
      <c r="J1733" s="173"/>
    </row>
    <row r="1734" spans="1:10" x14ac:dyDescent="0.25">
      <c r="A1734" s="106"/>
      <c r="B1734" s="107"/>
      <c r="D1734" s="151"/>
      <c r="E1734" s="142"/>
      <c r="F1734" s="176"/>
      <c r="G1734" s="176"/>
      <c r="H1734" s="176"/>
      <c r="I1734" s="172"/>
      <c r="J1734" s="173"/>
    </row>
    <row r="1735" spans="1:10" x14ac:dyDescent="0.25">
      <c r="A1735" s="106"/>
      <c r="B1735" s="107"/>
      <c r="D1735" s="151"/>
      <c r="E1735" s="142"/>
      <c r="F1735" s="176"/>
      <c r="G1735" s="176"/>
      <c r="H1735" s="176"/>
      <c r="I1735" s="172"/>
      <c r="J1735" s="173"/>
    </row>
    <row r="1736" spans="1:10" x14ac:dyDescent="0.25">
      <c r="A1736" s="106"/>
      <c r="B1736" s="107"/>
      <c r="D1736" s="151"/>
      <c r="E1736" s="142"/>
      <c r="F1736" s="176"/>
      <c r="G1736" s="176"/>
      <c r="H1736" s="176"/>
      <c r="I1736" s="172"/>
      <c r="J1736" s="173"/>
    </row>
    <row r="1737" spans="1:10" x14ac:dyDescent="0.25">
      <c r="A1737" s="106"/>
      <c r="B1737" s="107"/>
      <c r="D1737" s="151"/>
      <c r="E1737" s="142"/>
      <c r="F1737" s="176"/>
      <c r="G1737" s="176"/>
      <c r="H1737" s="176"/>
      <c r="I1737" s="172"/>
      <c r="J1737" s="173"/>
    </row>
    <row r="1738" spans="1:10" x14ac:dyDescent="0.25">
      <c r="A1738" s="106"/>
      <c r="B1738" s="107"/>
      <c r="D1738" s="151"/>
      <c r="E1738" s="142"/>
      <c r="F1738" s="176"/>
      <c r="G1738" s="176"/>
      <c r="H1738" s="176"/>
      <c r="I1738" s="172"/>
      <c r="J1738" s="173"/>
    </row>
    <row r="1739" spans="1:10" x14ac:dyDescent="0.25">
      <c r="A1739" s="106"/>
      <c r="B1739" s="107"/>
      <c r="D1739" s="151"/>
      <c r="E1739" s="142"/>
      <c r="F1739" s="176"/>
      <c r="G1739" s="176"/>
      <c r="H1739" s="176"/>
      <c r="I1739" s="172"/>
      <c r="J1739" s="173"/>
    </row>
    <row r="1740" spans="1:10" x14ac:dyDescent="0.25">
      <c r="A1740" s="106"/>
      <c r="B1740" s="107"/>
      <c r="D1740" s="151"/>
      <c r="E1740" s="142"/>
      <c r="F1740" s="176"/>
      <c r="G1740" s="176"/>
      <c r="H1740" s="176"/>
      <c r="I1740" s="172"/>
      <c r="J1740" s="173"/>
    </row>
    <row r="1741" spans="1:10" x14ac:dyDescent="0.25">
      <c r="A1741" s="106"/>
      <c r="B1741" s="107"/>
      <c r="D1741" s="151"/>
      <c r="E1741" s="142"/>
      <c r="F1741" s="176"/>
      <c r="G1741" s="176"/>
      <c r="H1741" s="176"/>
      <c r="I1741" s="172"/>
      <c r="J1741" s="173"/>
    </row>
    <row r="1742" spans="1:10" x14ac:dyDescent="0.25">
      <c r="A1742" s="106"/>
      <c r="B1742" s="107"/>
      <c r="D1742" s="151"/>
      <c r="E1742" s="142"/>
      <c r="F1742" s="176"/>
      <c r="G1742" s="179"/>
      <c r="H1742" s="180"/>
      <c r="I1742" s="172"/>
      <c r="J1742" s="173"/>
    </row>
    <row r="1743" spans="1:10" x14ac:dyDescent="0.25">
      <c r="A1743" s="106"/>
      <c r="B1743" s="107"/>
      <c r="D1743" s="151"/>
      <c r="E1743" s="142"/>
      <c r="F1743" s="176"/>
      <c r="G1743" s="179"/>
      <c r="H1743" s="180"/>
      <c r="I1743" s="172"/>
      <c r="J1743" s="173"/>
    </row>
    <row r="1744" spans="1:10" x14ac:dyDescent="0.25">
      <c r="A1744" s="106"/>
      <c r="B1744" s="107"/>
      <c r="D1744" s="151"/>
      <c r="E1744" s="142"/>
      <c r="F1744" s="176"/>
      <c r="G1744" s="176"/>
      <c r="H1744" s="176"/>
      <c r="I1744" s="172"/>
      <c r="J1744" s="173"/>
    </row>
    <row r="1745" spans="1:10" x14ac:dyDescent="0.25">
      <c r="A1745" s="106"/>
      <c r="B1745" s="107"/>
      <c r="D1745" s="151"/>
      <c r="E1745" s="142"/>
      <c r="F1745" s="176"/>
      <c r="G1745" s="176"/>
      <c r="H1745" s="176"/>
      <c r="I1745" s="172"/>
      <c r="J1745" s="173"/>
    </row>
    <row r="1746" spans="1:10" x14ac:dyDescent="0.25">
      <c r="A1746" s="106"/>
      <c r="B1746" s="107"/>
      <c r="D1746" s="151"/>
      <c r="E1746" s="142"/>
      <c r="F1746" s="176"/>
      <c r="G1746" s="176"/>
      <c r="H1746" s="176"/>
      <c r="I1746" s="172"/>
      <c r="J1746" s="173"/>
    </row>
    <row r="1747" spans="1:10" x14ac:dyDescent="0.25">
      <c r="A1747" s="106"/>
      <c r="B1747" s="107"/>
      <c r="D1747" s="151"/>
      <c r="E1747" s="142"/>
      <c r="F1747" s="176"/>
      <c r="G1747" s="176"/>
      <c r="H1747" s="176"/>
      <c r="I1747" s="172"/>
      <c r="J1747" s="173"/>
    </row>
    <row r="1748" spans="1:10" x14ac:dyDescent="0.25">
      <c r="A1748" s="106"/>
      <c r="B1748" s="107"/>
      <c r="D1748" s="151"/>
      <c r="E1748" s="142"/>
      <c r="F1748" s="176"/>
      <c r="G1748" s="176"/>
      <c r="H1748" s="176"/>
      <c r="I1748" s="172"/>
      <c r="J1748" s="173"/>
    </row>
    <row r="1749" spans="1:10" x14ac:dyDescent="0.25">
      <c r="A1749" s="106"/>
      <c r="B1749" s="107"/>
      <c r="D1749" s="151"/>
      <c r="E1749" s="142"/>
      <c r="F1749" s="176"/>
      <c r="G1749" s="176"/>
      <c r="H1749" s="176"/>
      <c r="I1749" s="172"/>
      <c r="J1749" s="173"/>
    </row>
    <row r="1750" spans="1:10" x14ac:dyDescent="0.25">
      <c r="A1750" s="106"/>
      <c r="B1750" s="107"/>
      <c r="D1750" s="151"/>
      <c r="E1750" s="142"/>
      <c r="F1750" s="176"/>
      <c r="G1750" s="176"/>
      <c r="H1750" s="176"/>
      <c r="I1750" s="172"/>
      <c r="J1750" s="173"/>
    </row>
    <row r="1751" spans="1:10" x14ac:dyDescent="0.25">
      <c r="A1751" s="106"/>
      <c r="B1751" s="107"/>
      <c r="D1751" s="151"/>
      <c r="E1751" s="142"/>
      <c r="F1751" s="176"/>
      <c r="G1751" s="176"/>
      <c r="H1751" s="176"/>
      <c r="I1751" s="172"/>
      <c r="J1751" s="173"/>
    </row>
    <row r="1752" spans="1:10" x14ac:dyDescent="0.25">
      <c r="A1752" s="106"/>
      <c r="B1752" s="107"/>
      <c r="D1752" s="151"/>
      <c r="E1752" s="142"/>
      <c r="F1752" s="176"/>
      <c r="G1752" s="176"/>
      <c r="H1752" s="176"/>
      <c r="I1752" s="172"/>
      <c r="J1752" s="173"/>
    </row>
    <row r="1753" spans="1:10" x14ac:dyDescent="0.25">
      <c r="A1753" s="106"/>
      <c r="B1753" s="107"/>
      <c r="D1753" s="151"/>
      <c r="E1753" s="142"/>
      <c r="F1753" s="176"/>
      <c r="G1753" s="176"/>
      <c r="H1753" s="176"/>
      <c r="I1753" s="172"/>
      <c r="J1753" s="173"/>
    </row>
    <row r="1754" spans="1:10" x14ac:dyDescent="0.25">
      <c r="A1754" s="106"/>
      <c r="B1754" s="107"/>
      <c r="D1754" s="151"/>
      <c r="E1754" s="142"/>
      <c r="F1754" s="176"/>
      <c r="G1754" s="176"/>
      <c r="H1754" s="176"/>
      <c r="I1754" s="172"/>
      <c r="J1754" s="173"/>
    </row>
    <row r="1755" spans="1:10" x14ac:dyDescent="0.25">
      <c r="A1755" s="106"/>
      <c r="B1755" s="107"/>
      <c r="D1755" s="151"/>
      <c r="E1755" s="142"/>
      <c r="F1755" s="176"/>
      <c r="G1755" s="176"/>
      <c r="H1755" s="176"/>
      <c r="I1755" s="172"/>
      <c r="J1755" s="173"/>
    </row>
    <row r="1756" spans="1:10" x14ac:dyDescent="0.25">
      <c r="A1756" s="106"/>
      <c r="B1756" s="107"/>
      <c r="D1756" s="151"/>
      <c r="E1756" s="142"/>
      <c r="F1756" s="176"/>
      <c r="G1756" s="176"/>
      <c r="H1756" s="176"/>
      <c r="I1756" s="172"/>
      <c r="J1756" s="173"/>
    </row>
    <row r="1757" spans="1:10" x14ac:dyDescent="0.25">
      <c r="A1757" s="106"/>
      <c r="B1757" s="107"/>
      <c r="D1757" s="151"/>
      <c r="E1757" s="142"/>
      <c r="F1757" s="176"/>
      <c r="G1757" s="176"/>
      <c r="H1757" s="176"/>
      <c r="I1757" s="172"/>
      <c r="J1757" s="173"/>
    </row>
    <row r="1758" spans="1:10" x14ac:dyDescent="0.25">
      <c r="A1758" s="106"/>
      <c r="B1758" s="107"/>
      <c r="D1758" s="151"/>
      <c r="E1758" s="142"/>
      <c r="F1758" s="176"/>
      <c r="G1758" s="176"/>
      <c r="H1758" s="176"/>
      <c r="I1758" s="172"/>
      <c r="J1758" s="173"/>
    </row>
    <row r="1759" spans="1:10" x14ac:dyDescent="0.25">
      <c r="A1759" s="106"/>
      <c r="B1759" s="107"/>
      <c r="D1759" s="151"/>
      <c r="E1759" s="142"/>
      <c r="F1759" s="176"/>
      <c r="G1759" s="176"/>
      <c r="H1759" s="176"/>
      <c r="I1759" s="172"/>
      <c r="J1759" s="173"/>
    </row>
    <row r="1760" spans="1:10" x14ac:dyDescent="0.25">
      <c r="A1760" s="106"/>
      <c r="B1760" s="107"/>
      <c r="D1760" s="151"/>
      <c r="E1760" s="142"/>
      <c r="F1760" s="176"/>
      <c r="G1760" s="176"/>
      <c r="H1760" s="176"/>
      <c r="I1760" s="172"/>
      <c r="J1760" s="173"/>
    </row>
    <row r="1761" spans="1:10" x14ac:dyDescent="0.25">
      <c r="A1761" s="106"/>
      <c r="B1761" s="107"/>
      <c r="D1761" s="151"/>
      <c r="E1761" s="142"/>
      <c r="F1761" s="176"/>
      <c r="G1761" s="179"/>
      <c r="H1761" s="180"/>
      <c r="I1761" s="172"/>
      <c r="J1761" s="173"/>
    </row>
    <row r="1762" spans="1:10" x14ac:dyDescent="0.25">
      <c r="A1762" s="106"/>
      <c r="B1762" s="107"/>
      <c r="D1762" s="151"/>
      <c r="E1762" s="142"/>
      <c r="F1762" s="176"/>
      <c r="G1762" s="179"/>
      <c r="H1762" s="180"/>
      <c r="I1762" s="172"/>
      <c r="J1762" s="173"/>
    </row>
    <row r="1763" spans="1:10" x14ac:dyDescent="0.25">
      <c r="A1763" s="106"/>
      <c r="B1763" s="107"/>
      <c r="D1763" s="151"/>
      <c r="E1763" s="142"/>
      <c r="F1763" s="176"/>
      <c r="G1763" s="176"/>
      <c r="H1763" s="180"/>
      <c r="I1763" s="172"/>
      <c r="J1763" s="173"/>
    </row>
    <row r="1764" spans="1:10" x14ac:dyDescent="0.25">
      <c r="A1764" s="106"/>
      <c r="B1764" s="107"/>
      <c r="D1764" s="151"/>
      <c r="E1764" s="142"/>
      <c r="F1764" s="176"/>
      <c r="G1764" s="176"/>
      <c r="H1764" s="176"/>
      <c r="I1764" s="172"/>
      <c r="J1764" s="173"/>
    </row>
    <row r="1765" spans="1:10" x14ac:dyDescent="0.25">
      <c r="A1765" s="106"/>
      <c r="B1765" s="107"/>
      <c r="D1765" s="151"/>
      <c r="E1765" s="142"/>
      <c r="F1765" s="176"/>
      <c r="G1765" s="176"/>
      <c r="H1765" s="176"/>
      <c r="I1765" s="172"/>
      <c r="J1765" s="173"/>
    </row>
    <row r="1766" spans="1:10" x14ac:dyDescent="0.25">
      <c r="A1766" s="106"/>
      <c r="B1766" s="107"/>
      <c r="D1766" s="151"/>
      <c r="E1766" s="142"/>
      <c r="F1766" s="176"/>
      <c r="G1766" s="131"/>
      <c r="H1766" s="176"/>
      <c r="I1766" s="172"/>
      <c r="J1766" s="173"/>
    </row>
    <row r="1767" spans="1:10" x14ac:dyDescent="0.25">
      <c r="A1767" s="106"/>
      <c r="B1767" s="107"/>
      <c r="D1767" s="151"/>
      <c r="E1767" s="142"/>
      <c r="F1767" s="176"/>
      <c r="G1767" s="176"/>
      <c r="H1767" s="176"/>
      <c r="I1767" s="172"/>
      <c r="J1767" s="173"/>
    </row>
    <row r="1768" spans="1:10" x14ac:dyDescent="0.25">
      <c r="A1768" s="106"/>
      <c r="B1768" s="107"/>
      <c r="D1768" s="151"/>
      <c r="E1768" s="142"/>
      <c r="F1768" s="176"/>
      <c r="G1768" s="176"/>
      <c r="H1768" s="176"/>
      <c r="I1768" s="172"/>
      <c r="J1768" s="173"/>
    </row>
    <row r="1769" spans="1:10" x14ac:dyDescent="0.25">
      <c r="A1769" s="106"/>
      <c r="B1769" s="107"/>
      <c r="D1769" s="151"/>
      <c r="E1769" s="142"/>
      <c r="F1769" s="176"/>
      <c r="G1769" s="176"/>
      <c r="H1769" s="176"/>
      <c r="I1769" s="172"/>
      <c r="J1769" s="173"/>
    </row>
    <row r="1770" spans="1:10" x14ac:dyDescent="0.25">
      <c r="A1770" s="106"/>
      <c r="B1770" s="107"/>
      <c r="D1770" s="151"/>
      <c r="E1770" s="142"/>
      <c r="F1770" s="176"/>
      <c r="G1770" s="176"/>
      <c r="H1770" s="176"/>
      <c r="I1770" s="172"/>
      <c r="J1770" s="173"/>
    </row>
    <row r="1771" spans="1:10" x14ac:dyDescent="0.25">
      <c r="A1771" s="106"/>
      <c r="B1771" s="107"/>
      <c r="D1771" s="151"/>
      <c r="E1771" s="142"/>
      <c r="F1771" s="176"/>
      <c r="G1771" s="176"/>
      <c r="H1771" s="176"/>
      <c r="I1771" s="172"/>
      <c r="J1771" s="173"/>
    </row>
    <row r="1772" spans="1:10" x14ac:dyDescent="0.25">
      <c r="A1772" s="106"/>
      <c r="B1772" s="107"/>
      <c r="D1772" s="151"/>
      <c r="E1772" s="142"/>
      <c r="F1772" s="176"/>
      <c r="G1772" s="176"/>
      <c r="H1772" s="176"/>
      <c r="I1772" s="172"/>
      <c r="J1772" s="173"/>
    </row>
    <row r="1773" spans="1:10" x14ac:dyDescent="0.25">
      <c r="A1773" s="106"/>
      <c r="B1773" s="107"/>
      <c r="D1773" s="151"/>
      <c r="E1773" s="142"/>
      <c r="F1773" s="176"/>
      <c r="G1773" s="176"/>
      <c r="H1773" s="176"/>
      <c r="I1773" s="172"/>
      <c r="J1773" s="173"/>
    </row>
    <row r="1774" spans="1:10" x14ac:dyDescent="0.25">
      <c r="A1774" s="106"/>
      <c r="B1774" s="107"/>
      <c r="D1774" s="151"/>
      <c r="E1774" s="142"/>
      <c r="F1774" s="176"/>
      <c r="G1774" s="176"/>
      <c r="H1774" s="176"/>
      <c r="I1774" s="172"/>
      <c r="J1774" s="173"/>
    </row>
    <row r="1775" spans="1:10" x14ac:dyDescent="0.25">
      <c r="A1775" s="106"/>
      <c r="B1775" s="107"/>
      <c r="D1775" s="151"/>
      <c r="E1775" s="142"/>
      <c r="F1775" s="176"/>
      <c r="G1775" s="176"/>
      <c r="H1775" s="176"/>
      <c r="I1775" s="172"/>
      <c r="J1775" s="173"/>
    </row>
    <row r="1776" spans="1:10" x14ac:dyDescent="0.25">
      <c r="A1776" s="106"/>
      <c r="B1776" s="107"/>
      <c r="D1776" s="151"/>
      <c r="E1776" s="142"/>
      <c r="F1776" s="176"/>
      <c r="G1776" s="176"/>
      <c r="H1776" s="176"/>
      <c r="I1776" s="172"/>
      <c r="J1776" s="173"/>
    </row>
    <row r="1777" spans="1:10" x14ac:dyDescent="0.25">
      <c r="A1777" s="106"/>
      <c r="B1777" s="107"/>
      <c r="D1777" s="151"/>
      <c r="E1777" s="142"/>
      <c r="F1777" s="176"/>
      <c r="G1777" s="176"/>
      <c r="H1777" s="176"/>
      <c r="I1777" s="172"/>
      <c r="J1777" s="173"/>
    </row>
    <row r="1778" spans="1:10" x14ac:dyDescent="0.25">
      <c r="A1778" s="106"/>
      <c r="B1778" s="107"/>
      <c r="D1778" s="151"/>
      <c r="E1778" s="142"/>
      <c r="F1778" s="176"/>
      <c r="G1778" s="176"/>
      <c r="H1778" s="176"/>
      <c r="I1778" s="172"/>
      <c r="J1778" s="173"/>
    </row>
    <row r="1779" spans="1:10" x14ac:dyDescent="0.25">
      <c r="A1779" s="106"/>
      <c r="B1779" s="107"/>
      <c r="D1779" s="151"/>
      <c r="E1779" s="142"/>
      <c r="F1779" s="176"/>
      <c r="G1779" s="176"/>
      <c r="H1779" s="176"/>
      <c r="I1779" s="172"/>
      <c r="J1779" s="173"/>
    </row>
    <row r="1780" spans="1:10" x14ac:dyDescent="0.25">
      <c r="A1780" s="106"/>
      <c r="B1780" s="107"/>
      <c r="D1780" s="151"/>
      <c r="E1780" s="142"/>
      <c r="F1780" s="176"/>
      <c r="G1780" s="176"/>
      <c r="H1780" s="176"/>
      <c r="I1780" s="172"/>
      <c r="J1780" s="173"/>
    </row>
    <row r="1781" spans="1:10" x14ac:dyDescent="0.25">
      <c r="A1781" s="106"/>
      <c r="B1781" s="107"/>
      <c r="D1781" s="151"/>
      <c r="E1781" s="142"/>
      <c r="F1781" s="176"/>
      <c r="G1781" s="176"/>
      <c r="H1781" s="176"/>
      <c r="I1781" s="172"/>
      <c r="J1781" s="173"/>
    </row>
    <row r="1782" spans="1:10" x14ac:dyDescent="0.25">
      <c r="A1782" s="106"/>
      <c r="B1782" s="107"/>
      <c r="D1782" s="151"/>
      <c r="E1782" s="142"/>
      <c r="F1782" s="176"/>
      <c r="G1782" s="176"/>
      <c r="H1782" s="176"/>
      <c r="I1782" s="172"/>
      <c r="J1782" s="173"/>
    </row>
    <row r="1783" spans="1:10" x14ac:dyDescent="0.25">
      <c r="A1783" s="106"/>
      <c r="B1783" s="107"/>
      <c r="D1783" s="151"/>
      <c r="E1783" s="142"/>
      <c r="F1783" s="176"/>
      <c r="G1783" s="176"/>
      <c r="H1783" s="176"/>
      <c r="I1783" s="172"/>
      <c r="J1783" s="173"/>
    </row>
    <row r="1784" spans="1:10" x14ac:dyDescent="0.25">
      <c r="A1784" s="106"/>
      <c r="B1784" s="107"/>
      <c r="D1784" s="151"/>
      <c r="E1784" s="142"/>
      <c r="F1784" s="176"/>
      <c r="G1784" s="176"/>
      <c r="H1784" s="176"/>
      <c r="I1784" s="172"/>
      <c r="J1784" s="173"/>
    </row>
    <row r="1785" spans="1:10" x14ac:dyDescent="0.25">
      <c r="A1785" s="106"/>
      <c r="B1785" s="107"/>
      <c r="D1785" s="151"/>
      <c r="E1785" s="142"/>
      <c r="F1785" s="176"/>
      <c r="G1785" s="179"/>
      <c r="H1785" s="180"/>
      <c r="I1785" s="172"/>
      <c r="J1785" s="173"/>
    </row>
    <row r="1786" spans="1:10" x14ac:dyDescent="0.25">
      <c r="A1786" s="106"/>
      <c r="B1786" s="107"/>
      <c r="D1786" s="151"/>
      <c r="E1786" s="142"/>
      <c r="F1786" s="176"/>
      <c r="G1786" s="176"/>
      <c r="H1786" s="176"/>
      <c r="I1786" s="172"/>
      <c r="J1786" s="173"/>
    </row>
    <row r="1787" spans="1:10" x14ac:dyDescent="0.25">
      <c r="A1787" s="106"/>
      <c r="B1787" s="107"/>
      <c r="D1787" s="151"/>
      <c r="E1787" s="142"/>
      <c r="F1787" s="176"/>
      <c r="G1787" s="176"/>
      <c r="H1787" s="176"/>
      <c r="I1787" s="172"/>
      <c r="J1787" s="173"/>
    </row>
    <row r="1788" spans="1:10" x14ac:dyDescent="0.25">
      <c r="A1788" s="106"/>
      <c r="B1788" s="107"/>
      <c r="D1788" s="151"/>
      <c r="E1788" s="142"/>
      <c r="F1788" s="176"/>
      <c r="G1788" s="176"/>
      <c r="H1788" s="176"/>
      <c r="I1788" s="172"/>
      <c r="J1788" s="173"/>
    </row>
    <row r="1789" spans="1:10" x14ac:dyDescent="0.25">
      <c r="A1789" s="106"/>
      <c r="B1789" s="107"/>
      <c r="D1789" s="151"/>
      <c r="E1789" s="142"/>
      <c r="F1789" s="176"/>
      <c r="G1789" s="131"/>
      <c r="H1789" s="176"/>
      <c r="I1789" s="172"/>
      <c r="J1789" s="173"/>
    </row>
    <row r="1790" spans="1:10" x14ac:dyDescent="0.25">
      <c r="A1790" s="106"/>
      <c r="B1790" s="107"/>
      <c r="D1790" s="151"/>
      <c r="E1790" s="142"/>
      <c r="F1790" s="176"/>
      <c r="G1790" s="131"/>
      <c r="H1790" s="176"/>
      <c r="I1790" s="172"/>
      <c r="J1790" s="173"/>
    </row>
    <row r="1791" spans="1:10" x14ac:dyDescent="0.25">
      <c r="A1791" s="106"/>
      <c r="B1791" s="107"/>
      <c r="D1791" s="151"/>
      <c r="E1791" s="142"/>
      <c r="F1791" s="176"/>
      <c r="G1791" s="176"/>
      <c r="H1791" s="176"/>
      <c r="I1791" s="172"/>
      <c r="J1791" s="173"/>
    </row>
    <row r="1792" spans="1:10" x14ac:dyDescent="0.25">
      <c r="A1792" s="106"/>
      <c r="B1792" s="107"/>
      <c r="D1792" s="151"/>
      <c r="E1792" s="142"/>
      <c r="F1792" s="176"/>
      <c r="G1792" s="176"/>
      <c r="H1792" s="176"/>
      <c r="I1792" s="172"/>
      <c r="J1792" s="173"/>
    </row>
    <row r="1793" spans="1:10" x14ac:dyDescent="0.25">
      <c r="A1793" s="106"/>
      <c r="B1793" s="107"/>
      <c r="D1793" s="151"/>
      <c r="E1793" s="142"/>
      <c r="F1793" s="176"/>
      <c r="G1793" s="176"/>
      <c r="H1793" s="176"/>
      <c r="I1793" s="172"/>
      <c r="J1793" s="173"/>
    </row>
    <row r="1794" spans="1:10" x14ac:dyDescent="0.25">
      <c r="A1794" s="106"/>
      <c r="B1794" s="107"/>
      <c r="D1794" s="151"/>
      <c r="E1794" s="142"/>
      <c r="F1794" s="176"/>
      <c r="G1794" s="176"/>
      <c r="H1794" s="176"/>
      <c r="I1794" s="172"/>
      <c r="J1794" s="173"/>
    </row>
    <row r="1795" spans="1:10" x14ac:dyDescent="0.25">
      <c r="A1795" s="106"/>
      <c r="B1795" s="107"/>
      <c r="D1795" s="151"/>
      <c r="E1795" s="142"/>
      <c r="F1795" s="176"/>
      <c r="G1795" s="176"/>
      <c r="H1795" s="176"/>
      <c r="I1795" s="172"/>
      <c r="J1795" s="173"/>
    </row>
    <row r="1796" spans="1:10" x14ac:dyDescent="0.25">
      <c r="A1796" s="106"/>
      <c r="B1796" s="107"/>
      <c r="D1796" s="151"/>
      <c r="E1796" s="142"/>
      <c r="F1796" s="176"/>
      <c r="G1796" s="176"/>
      <c r="H1796" s="176"/>
      <c r="I1796" s="172"/>
      <c r="J1796" s="173"/>
    </row>
    <row r="1797" spans="1:10" x14ac:dyDescent="0.25">
      <c r="A1797" s="106"/>
      <c r="B1797" s="107"/>
      <c r="D1797" s="151"/>
      <c r="E1797" s="142"/>
      <c r="F1797" s="176"/>
      <c r="G1797" s="176"/>
      <c r="H1797" s="176"/>
      <c r="I1797" s="172"/>
      <c r="J1797" s="173"/>
    </row>
    <row r="1798" spans="1:10" x14ac:dyDescent="0.25">
      <c r="A1798" s="106"/>
      <c r="B1798" s="107"/>
      <c r="D1798" s="151"/>
      <c r="E1798" s="142"/>
      <c r="F1798" s="176"/>
      <c r="G1798" s="176"/>
      <c r="H1798" s="176"/>
      <c r="I1798" s="172"/>
      <c r="J1798" s="173"/>
    </row>
    <row r="1799" spans="1:10" x14ac:dyDescent="0.25">
      <c r="A1799" s="106"/>
      <c r="B1799" s="107"/>
      <c r="D1799" s="151"/>
      <c r="E1799" s="142"/>
      <c r="F1799" s="176"/>
      <c r="G1799" s="176"/>
      <c r="H1799" s="176"/>
      <c r="I1799" s="172"/>
      <c r="J1799" s="173"/>
    </row>
    <row r="1800" spans="1:10" x14ac:dyDescent="0.25">
      <c r="A1800" s="106"/>
      <c r="B1800" s="107"/>
      <c r="D1800" s="151"/>
      <c r="E1800" s="142"/>
      <c r="F1800" s="176"/>
      <c r="G1800" s="176"/>
      <c r="H1800" s="176"/>
      <c r="I1800" s="172"/>
      <c r="J1800" s="173"/>
    </row>
    <row r="1801" spans="1:10" x14ac:dyDescent="0.25">
      <c r="A1801" s="106"/>
      <c r="B1801" s="107"/>
      <c r="D1801" s="151"/>
      <c r="E1801" s="142"/>
      <c r="F1801" s="176"/>
      <c r="G1801" s="176"/>
      <c r="H1801" s="176"/>
      <c r="I1801" s="172"/>
      <c r="J1801" s="173"/>
    </row>
    <row r="1802" spans="1:10" x14ac:dyDescent="0.25">
      <c r="A1802" s="106"/>
      <c r="B1802" s="107"/>
      <c r="D1802" s="151"/>
      <c r="E1802" s="142"/>
      <c r="F1802" s="176"/>
      <c r="G1802" s="176"/>
      <c r="H1802" s="176"/>
      <c r="I1802" s="172"/>
      <c r="J1802" s="173"/>
    </row>
    <row r="1803" spans="1:10" x14ac:dyDescent="0.25">
      <c r="A1803" s="106"/>
      <c r="B1803" s="107"/>
      <c r="D1803" s="151"/>
      <c r="E1803" s="142"/>
      <c r="F1803" s="176"/>
      <c r="G1803" s="176"/>
      <c r="H1803" s="176"/>
      <c r="I1803" s="172"/>
      <c r="J1803" s="173"/>
    </row>
    <row r="1804" spans="1:10" x14ac:dyDescent="0.25">
      <c r="A1804" s="106"/>
      <c r="B1804" s="107"/>
      <c r="D1804" s="151"/>
      <c r="E1804" s="142"/>
      <c r="F1804" s="176"/>
      <c r="G1804" s="176"/>
      <c r="H1804" s="176"/>
      <c r="I1804" s="172"/>
      <c r="J1804" s="173"/>
    </row>
    <row r="1805" spans="1:10" x14ac:dyDescent="0.25">
      <c r="A1805" s="106"/>
      <c r="B1805" s="107"/>
      <c r="D1805" s="151"/>
      <c r="E1805" s="142"/>
      <c r="F1805" s="176"/>
      <c r="G1805" s="176"/>
      <c r="H1805" s="176"/>
      <c r="I1805" s="172"/>
      <c r="J1805" s="173"/>
    </row>
    <row r="1806" spans="1:10" x14ac:dyDescent="0.25">
      <c r="A1806" s="106"/>
      <c r="B1806" s="107"/>
      <c r="D1806" s="151"/>
      <c r="E1806" s="142"/>
      <c r="F1806" s="176"/>
      <c r="G1806" s="131"/>
      <c r="H1806" s="176"/>
      <c r="I1806" s="172"/>
      <c r="J1806" s="173"/>
    </row>
    <row r="1807" spans="1:10" x14ac:dyDescent="0.25">
      <c r="A1807" s="106"/>
      <c r="B1807" s="107"/>
      <c r="D1807" s="151"/>
      <c r="E1807" s="142"/>
      <c r="F1807" s="176"/>
      <c r="G1807" s="131"/>
      <c r="H1807" s="176"/>
      <c r="I1807" s="172"/>
      <c r="J1807" s="173"/>
    </row>
    <row r="1808" spans="1:10" x14ac:dyDescent="0.25">
      <c r="A1808" s="106"/>
      <c r="B1808" s="107"/>
      <c r="D1808" s="151"/>
      <c r="E1808" s="142"/>
      <c r="F1808" s="176"/>
      <c r="G1808" s="176"/>
      <c r="H1808" s="176"/>
      <c r="I1808" s="172"/>
      <c r="J1808" s="173"/>
    </row>
    <row r="1809" spans="1:10" x14ac:dyDescent="0.25">
      <c r="A1809" s="106"/>
      <c r="B1809" s="107"/>
      <c r="D1809" s="151"/>
      <c r="E1809" s="142"/>
      <c r="F1809" s="176"/>
      <c r="G1809" s="176"/>
      <c r="H1809" s="176"/>
      <c r="I1809" s="172"/>
      <c r="J1809" s="173"/>
    </row>
    <row r="1810" spans="1:10" x14ac:dyDescent="0.25">
      <c r="A1810" s="106"/>
      <c r="B1810" s="107"/>
      <c r="D1810" s="151"/>
      <c r="E1810" s="142"/>
      <c r="F1810" s="176"/>
      <c r="G1810" s="176"/>
      <c r="H1810" s="176"/>
      <c r="I1810" s="172"/>
      <c r="J1810" s="173"/>
    </row>
    <row r="1811" spans="1:10" x14ac:dyDescent="0.25">
      <c r="A1811" s="106"/>
      <c r="B1811" s="107"/>
      <c r="D1811" s="151"/>
      <c r="E1811" s="142"/>
      <c r="F1811" s="176"/>
      <c r="G1811" s="132"/>
      <c r="H1811" s="176"/>
      <c r="I1811" s="133"/>
      <c r="J1811" s="173"/>
    </row>
    <row r="1812" spans="1:10" x14ac:dyDescent="0.25">
      <c r="A1812" s="106"/>
      <c r="B1812" s="107"/>
      <c r="D1812" s="151"/>
      <c r="E1812" s="142"/>
      <c r="F1812" s="176"/>
      <c r="G1812" s="134"/>
      <c r="H1812" s="135"/>
      <c r="I1812" s="136"/>
      <c r="J1812" s="173"/>
    </row>
    <row r="1813" spans="1:10" x14ac:dyDescent="0.25">
      <c r="A1813" s="106"/>
      <c r="B1813" s="107"/>
      <c r="D1813" s="151"/>
      <c r="E1813" s="142"/>
      <c r="F1813" s="176"/>
      <c r="G1813" s="134"/>
      <c r="H1813" s="135"/>
      <c r="I1813" s="136"/>
      <c r="J1813" s="173"/>
    </row>
    <row r="1814" spans="1:10" x14ac:dyDescent="0.25">
      <c r="A1814" s="106"/>
      <c r="B1814" s="107"/>
      <c r="D1814" s="151"/>
      <c r="E1814" s="142"/>
      <c r="F1814" s="176"/>
      <c r="G1814" s="176"/>
      <c r="H1814" s="176"/>
      <c r="I1814" s="172"/>
      <c r="J1814" s="173"/>
    </row>
    <row r="1815" spans="1:10" x14ac:dyDescent="0.25">
      <c r="A1815" s="106"/>
      <c r="B1815" s="107"/>
      <c r="D1815" s="151"/>
      <c r="E1815" s="142"/>
      <c r="F1815" s="176"/>
      <c r="G1815" s="134"/>
      <c r="H1815" s="135"/>
      <c r="I1815" s="136"/>
      <c r="J1815" s="173"/>
    </row>
    <row r="1816" spans="1:10" x14ac:dyDescent="0.25">
      <c r="A1816" s="106"/>
      <c r="B1816" s="107"/>
      <c r="D1816" s="151"/>
      <c r="E1816" s="142"/>
      <c r="F1816" s="176"/>
      <c r="G1816" s="176"/>
      <c r="H1816" s="176"/>
      <c r="I1816" s="172"/>
      <c r="J1816" s="173"/>
    </row>
    <row r="1817" spans="1:10" x14ac:dyDescent="0.25">
      <c r="A1817" s="106"/>
      <c r="B1817" s="107"/>
      <c r="D1817" s="151"/>
      <c r="E1817" s="142"/>
      <c r="F1817" s="176"/>
      <c r="G1817" s="176"/>
      <c r="H1817" s="176"/>
      <c r="I1817" s="172"/>
      <c r="J1817" s="173"/>
    </row>
    <row r="1818" spans="1:10" x14ac:dyDescent="0.25">
      <c r="A1818" s="106"/>
      <c r="B1818" s="107"/>
      <c r="D1818" s="151"/>
      <c r="E1818" s="142"/>
      <c r="F1818" s="176"/>
      <c r="G1818" s="132"/>
      <c r="H1818" s="176"/>
      <c r="I1818" s="133"/>
      <c r="J1818" s="173"/>
    </row>
    <row r="1819" spans="1:10" x14ac:dyDescent="0.25">
      <c r="A1819" s="106"/>
      <c r="B1819" s="107"/>
      <c r="D1819" s="151"/>
      <c r="E1819" s="142"/>
      <c r="F1819" s="176"/>
      <c r="G1819" s="134"/>
      <c r="H1819" s="135"/>
      <c r="I1819" s="136"/>
      <c r="J1819" s="173"/>
    </row>
    <row r="1820" spans="1:10" x14ac:dyDescent="0.25">
      <c r="A1820" s="106"/>
      <c r="B1820" s="107"/>
      <c r="D1820" s="151"/>
      <c r="E1820" s="142"/>
      <c r="F1820" s="176"/>
      <c r="G1820" s="134"/>
      <c r="H1820" s="135"/>
      <c r="I1820" s="136"/>
      <c r="J1820" s="173"/>
    </row>
    <row r="1821" spans="1:10" x14ac:dyDescent="0.25">
      <c r="A1821" s="106"/>
      <c r="B1821" s="107"/>
      <c r="D1821" s="151"/>
      <c r="E1821" s="142"/>
      <c r="F1821" s="176"/>
      <c r="G1821" s="176"/>
      <c r="H1821" s="176"/>
      <c r="I1821" s="172"/>
      <c r="J1821" s="173"/>
    </row>
    <row r="1822" spans="1:10" x14ac:dyDescent="0.25">
      <c r="A1822" s="106"/>
      <c r="B1822" s="107"/>
      <c r="D1822" s="151"/>
      <c r="E1822" s="142"/>
      <c r="F1822" s="176"/>
      <c r="G1822" s="134"/>
      <c r="H1822" s="135"/>
      <c r="I1822" s="136"/>
      <c r="J1822" s="173"/>
    </row>
    <row r="1823" spans="1:10" x14ac:dyDescent="0.25">
      <c r="A1823" s="106"/>
      <c r="B1823" s="107"/>
      <c r="D1823" s="151"/>
      <c r="E1823" s="142"/>
      <c r="F1823" s="176"/>
      <c r="G1823" s="134"/>
      <c r="H1823" s="135"/>
      <c r="I1823" s="136"/>
      <c r="J1823" s="173"/>
    </row>
    <row r="1824" spans="1:10" x14ac:dyDescent="0.25">
      <c r="A1824" s="106"/>
      <c r="B1824" s="107"/>
      <c r="D1824" s="151"/>
      <c r="E1824" s="142"/>
      <c r="F1824" s="176"/>
      <c r="G1824" s="176"/>
      <c r="H1824" s="176"/>
      <c r="I1824" s="172"/>
      <c r="J1824" s="173"/>
    </row>
    <row r="1825" spans="1:10" x14ac:dyDescent="0.25">
      <c r="A1825" s="106"/>
      <c r="B1825" s="107"/>
      <c r="D1825" s="151"/>
      <c r="E1825" s="142"/>
      <c r="F1825" s="176"/>
      <c r="G1825" s="134"/>
      <c r="H1825" s="135"/>
      <c r="I1825" s="136"/>
      <c r="J1825" s="173"/>
    </row>
    <row r="1826" spans="1:10" x14ac:dyDescent="0.25">
      <c r="A1826" s="106"/>
      <c r="B1826" s="107"/>
      <c r="D1826" s="151"/>
      <c r="E1826" s="142"/>
      <c r="F1826" s="176"/>
      <c r="G1826" s="134"/>
      <c r="H1826" s="135"/>
      <c r="I1826" s="136"/>
      <c r="J1826" s="173"/>
    </row>
    <row r="1827" spans="1:10" x14ac:dyDescent="0.25">
      <c r="A1827" s="106"/>
      <c r="B1827" s="107"/>
      <c r="D1827" s="151"/>
      <c r="E1827" s="142"/>
      <c r="F1827" s="176"/>
      <c r="G1827" s="176"/>
      <c r="H1827" s="176"/>
      <c r="I1827" s="172"/>
      <c r="J1827" s="173"/>
    </row>
    <row r="1828" spans="1:10" x14ac:dyDescent="0.25">
      <c r="A1828" s="106"/>
      <c r="B1828" s="107"/>
      <c r="D1828" s="151"/>
      <c r="E1828" s="142"/>
      <c r="F1828" s="176"/>
      <c r="G1828" s="134"/>
      <c r="H1828" s="135"/>
      <c r="I1828" s="136"/>
      <c r="J1828" s="173"/>
    </row>
    <row r="1829" spans="1:10" x14ac:dyDescent="0.25">
      <c r="A1829" s="106"/>
      <c r="B1829" s="107"/>
      <c r="D1829" s="151"/>
      <c r="E1829" s="142"/>
      <c r="F1829" s="176"/>
      <c r="G1829" s="176"/>
      <c r="H1829" s="176"/>
      <c r="I1829" s="172"/>
      <c r="J1829" s="173"/>
    </row>
    <row r="1830" spans="1:10" x14ac:dyDescent="0.25">
      <c r="A1830" s="106"/>
      <c r="B1830" s="107"/>
      <c r="D1830" s="151"/>
      <c r="E1830" s="142"/>
      <c r="F1830" s="176"/>
      <c r="G1830" s="179"/>
      <c r="H1830" s="180"/>
      <c r="I1830" s="143"/>
      <c r="J1830" s="173"/>
    </row>
    <row r="1831" spans="1:10" x14ac:dyDescent="0.25">
      <c r="A1831" s="106"/>
      <c r="B1831" s="107"/>
      <c r="D1831" s="151"/>
      <c r="E1831" s="142"/>
      <c r="F1831" s="176"/>
      <c r="G1831" s="176"/>
      <c r="H1831" s="176"/>
      <c r="I1831" s="172"/>
      <c r="J1831" s="173"/>
    </row>
    <row r="1832" spans="1:10" x14ac:dyDescent="0.25">
      <c r="A1832" s="106"/>
      <c r="B1832" s="107"/>
      <c r="D1832" s="151"/>
      <c r="E1832" s="142"/>
      <c r="F1832" s="176"/>
      <c r="G1832" s="176"/>
      <c r="H1832" s="176"/>
      <c r="I1832" s="172"/>
      <c r="J1832" s="173"/>
    </row>
    <row r="1833" spans="1:10" x14ac:dyDescent="0.25">
      <c r="A1833" s="106"/>
      <c r="B1833" s="107"/>
      <c r="D1833" s="151"/>
      <c r="E1833" s="142"/>
      <c r="F1833" s="176"/>
      <c r="G1833" s="176"/>
      <c r="H1833" s="176"/>
      <c r="I1833" s="172"/>
      <c r="J1833" s="173"/>
    </row>
    <row r="1834" spans="1:10" x14ac:dyDescent="0.25">
      <c r="A1834" s="106"/>
      <c r="B1834" s="107"/>
      <c r="D1834" s="151"/>
      <c r="E1834" s="142"/>
      <c r="F1834" s="176"/>
      <c r="G1834" s="176"/>
      <c r="H1834" s="176"/>
      <c r="I1834" s="172"/>
      <c r="J1834" s="173"/>
    </row>
    <row r="1835" spans="1:10" x14ac:dyDescent="0.25">
      <c r="A1835" s="106"/>
      <c r="B1835" s="107"/>
      <c r="D1835" s="151"/>
      <c r="E1835" s="142"/>
      <c r="F1835" s="176"/>
      <c r="G1835" s="176"/>
      <c r="H1835" s="176"/>
      <c r="I1835" s="172"/>
      <c r="J1835" s="173"/>
    </row>
    <row r="1836" spans="1:10" x14ac:dyDescent="0.25">
      <c r="A1836" s="106"/>
      <c r="B1836" s="107"/>
      <c r="D1836" s="151"/>
      <c r="E1836" s="142"/>
      <c r="F1836" s="176"/>
      <c r="G1836" s="176"/>
      <c r="H1836" s="176"/>
      <c r="I1836" s="172"/>
      <c r="J1836" s="173"/>
    </row>
    <row r="1837" spans="1:10" x14ac:dyDescent="0.25">
      <c r="A1837" s="106"/>
      <c r="B1837" s="107"/>
      <c r="D1837" s="151"/>
      <c r="E1837" s="142"/>
      <c r="F1837" s="176"/>
      <c r="G1837" s="176"/>
      <c r="H1837" s="176"/>
      <c r="I1837" s="172"/>
      <c r="J1837" s="173"/>
    </row>
    <row r="1838" spans="1:10" x14ac:dyDescent="0.25">
      <c r="A1838" s="106"/>
      <c r="B1838" s="107"/>
      <c r="D1838" s="151"/>
      <c r="E1838" s="142"/>
      <c r="F1838" s="176"/>
      <c r="G1838" s="176"/>
      <c r="H1838" s="176"/>
      <c r="I1838" s="172"/>
      <c r="J1838" s="173"/>
    </row>
    <row r="1839" spans="1:10" x14ac:dyDescent="0.25">
      <c r="A1839" s="106"/>
      <c r="B1839" s="107"/>
      <c r="D1839" s="151"/>
      <c r="E1839" s="142"/>
      <c r="F1839" s="176"/>
      <c r="G1839" s="176"/>
      <c r="H1839" s="176"/>
      <c r="I1839" s="172"/>
      <c r="J1839" s="173"/>
    </row>
    <row r="1840" spans="1:10" x14ac:dyDescent="0.25">
      <c r="A1840" s="106"/>
      <c r="B1840" s="107"/>
      <c r="D1840" s="151"/>
      <c r="E1840" s="142"/>
      <c r="F1840" s="176"/>
      <c r="G1840" s="176"/>
      <c r="H1840" s="176"/>
      <c r="I1840" s="172"/>
      <c r="J1840" s="173"/>
    </row>
    <row r="1841" spans="1:10" x14ac:dyDescent="0.25">
      <c r="A1841" s="106"/>
      <c r="B1841" s="107"/>
      <c r="D1841" s="151"/>
      <c r="E1841" s="142"/>
      <c r="F1841" s="176"/>
      <c r="G1841" s="176"/>
      <c r="H1841" s="176"/>
      <c r="I1841" s="172"/>
      <c r="J1841" s="173"/>
    </row>
    <row r="1842" spans="1:10" x14ac:dyDescent="0.25">
      <c r="A1842" s="106"/>
      <c r="B1842" s="107"/>
      <c r="D1842" s="151"/>
      <c r="E1842" s="142"/>
      <c r="F1842" s="176"/>
      <c r="G1842" s="131"/>
      <c r="H1842" s="176"/>
      <c r="I1842" s="172"/>
      <c r="J1842" s="173"/>
    </row>
    <row r="1843" spans="1:10" x14ac:dyDescent="0.25">
      <c r="A1843" s="106"/>
      <c r="B1843" s="107"/>
      <c r="D1843" s="151"/>
      <c r="E1843" s="142"/>
      <c r="F1843" s="176"/>
      <c r="G1843" s="176"/>
      <c r="H1843" s="176"/>
      <c r="I1843" s="172"/>
      <c r="J1843" s="173"/>
    </row>
    <row r="1844" spans="1:10" x14ac:dyDescent="0.25">
      <c r="A1844" s="106"/>
      <c r="B1844" s="107"/>
      <c r="D1844" s="151"/>
      <c r="E1844" s="142"/>
      <c r="F1844" s="176"/>
      <c r="G1844" s="176"/>
      <c r="H1844" s="176"/>
      <c r="I1844" s="172"/>
      <c r="J1844" s="173"/>
    </row>
    <row r="1845" spans="1:10" x14ac:dyDescent="0.25">
      <c r="A1845" s="106"/>
      <c r="B1845" s="107"/>
      <c r="D1845" s="151"/>
      <c r="E1845" s="142"/>
      <c r="F1845" s="176"/>
      <c r="G1845" s="176"/>
      <c r="H1845" s="176"/>
      <c r="I1845" s="172"/>
      <c r="J1845" s="173"/>
    </row>
    <row r="1846" spans="1:10" x14ac:dyDescent="0.25">
      <c r="A1846" s="106"/>
      <c r="B1846" s="107"/>
      <c r="D1846" s="151"/>
      <c r="E1846" s="142"/>
      <c r="F1846" s="176"/>
      <c r="G1846" s="132"/>
      <c r="H1846" s="176"/>
      <c r="I1846" s="133"/>
      <c r="J1846" s="173"/>
    </row>
    <row r="1847" spans="1:10" x14ac:dyDescent="0.25">
      <c r="A1847" s="106"/>
      <c r="B1847" s="107"/>
      <c r="D1847" s="151"/>
      <c r="E1847" s="142"/>
      <c r="F1847" s="176"/>
      <c r="G1847" s="134"/>
      <c r="H1847" s="135"/>
      <c r="I1847" s="136"/>
      <c r="J1847" s="173"/>
    </row>
    <row r="1848" spans="1:10" x14ac:dyDescent="0.25">
      <c r="A1848" s="106"/>
      <c r="B1848" s="107"/>
      <c r="D1848" s="151"/>
      <c r="E1848" s="142"/>
      <c r="F1848" s="176"/>
      <c r="G1848" s="176"/>
      <c r="H1848" s="176"/>
      <c r="I1848" s="172"/>
      <c r="J1848" s="173"/>
    </row>
    <row r="1849" spans="1:10" x14ac:dyDescent="0.25">
      <c r="A1849" s="106"/>
      <c r="B1849" s="107"/>
      <c r="D1849" s="151"/>
      <c r="E1849" s="142"/>
      <c r="F1849" s="176"/>
      <c r="G1849" s="132"/>
      <c r="H1849" s="176"/>
      <c r="I1849" s="133"/>
      <c r="J1849" s="173"/>
    </row>
    <row r="1850" spans="1:10" x14ac:dyDescent="0.25">
      <c r="A1850" s="106"/>
      <c r="B1850" s="107"/>
      <c r="D1850" s="151"/>
      <c r="E1850" s="142"/>
      <c r="F1850" s="176"/>
      <c r="G1850" s="134"/>
      <c r="H1850" s="135"/>
      <c r="I1850" s="136"/>
      <c r="J1850" s="173"/>
    </row>
    <row r="1851" spans="1:10" x14ac:dyDescent="0.25">
      <c r="A1851" s="106"/>
      <c r="B1851" s="107"/>
      <c r="D1851" s="151"/>
      <c r="E1851" s="142"/>
      <c r="F1851" s="176"/>
      <c r="G1851" s="134"/>
      <c r="H1851" s="135"/>
      <c r="I1851" s="136"/>
      <c r="J1851" s="173"/>
    </row>
    <row r="1852" spans="1:10" x14ac:dyDescent="0.25">
      <c r="A1852" s="106"/>
      <c r="B1852" s="107"/>
      <c r="D1852" s="151"/>
      <c r="E1852" s="142"/>
      <c r="F1852" s="176"/>
      <c r="G1852" s="134"/>
      <c r="H1852" s="135"/>
      <c r="I1852" s="136"/>
      <c r="J1852" s="173"/>
    </row>
    <row r="1853" spans="1:10" x14ac:dyDescent="0.25">
      <c r="A1853" s="106"/>
      <c r="B1853" s="107"/>
      <c r="D1853" s="151"/>
      <c r="E1853" s="142"/>
      <c r="F1853" s="176"/>
      <c r="G1853" s="134"/>
      <c r="H1853" s="135"/>
      <c r="I1853" s="136"/>
      <c r="J1853" s="173"/>
    </row>
    <row r="1854" spans="1:10" x14ac:dyDescent="0.25">
      <c r="A1854" s="106"/>
      <c r="B1854" s="107"/>
      <c r="D1854" s="151"/>
      <c r="E1854" s="142"/>
      <c r="F1854" s="176"/>
      <c r="G1854" s="134"/>
      <c r="H1854" s="135"/>
      <c r="I1854" s="136"/>
      <c r="J1854" s="173"/>
    </row>
    <row r="1855" spans="1:10" x14ac:dyDescent="0.25">
      <c r="A1855" s="106"/>
      <c r="B1855" s="107"/>
      <c r="D1855" s="151"/>
      <c r="E1855" s="142"/>
      <c r="F1855" s="176"/>
      <c r="G1855" s="176"/>
      <c r="H1855" s="176"/>
      <c r="I1855" s="172"/>
      <c r="J1855" s="173"/>
    </row>
    <row r="1856" spans="1:10" x14ac:dyDescent="0.25">
      <c r="A1856" s="106"/>
      <c r="B1856" s="107"/>
      <c r="D1856" s="151"/>
      <c r="E1856" s="142"/>
      <c r="F1856" s="176"/>
      <c r="G1856" s="132"/>
      <c r="H1856" s="176"/>
      <c r="I1856" s="133"/>
      <c r="J1856" s="173"/>
    </row>
    <row r="1857" spans="1:10" x14ac:dyDescent="0.25">
      <c r="A1857" s="106"/>
      <c r="B1857" s="107"/>
      <c r="D1857" s="151"/>
      <c r="E1857" s="142"/>
      <c r="F1857" s="176"/>
      <c r="G1857" s="134"/>
      <c r="H1857" s="135"/>
      <c r="I1857" s="136"/>
      <c r="J1857" s="173"/>
    </row>
    <row r="1858" spans="1:10" x14ac:dyDescent="0.25">
      <c r="A1858" s="106"/>
      <c r="B1858" s="107"/>
      <c r="D1858" s="151"/>
      <c r="E1858" s="142"/>
      <c r="F1858" s="176"/>
      <c r="G1858" s="134"/>
      <c r="H1858" s="135"/>
      <c r="I1858" s="136"/>
      <c r="J1858" s="173"/>
    </row>
    <row r="1859" spans="1:10" x14ac:dyDescent="0.25">
      <c r="A1859" s="106"/>
      <c r="B1859" s="107"/>
      <c r="D1859" s="151"/>
      <c r="E1859" s="142"/>
      <c r="F1859" s="176"/>
      <c r="G1859" s="134"/>
      <c r="H1859" s="135"/>
      <c r="I1859" s="136"/>
      <c r="J1859" s="173"/>
    </row>
    <row r="1860" spans="1:10" x14ac:dyDescent="0.25">
      <c r="A1860" s="106"/>
      <c r="B1860" s="107"/>
      <c r="D1860" s="151"/>
      <c r="E1860" s="142"/>
      <c r="F1860" s="176"/>
      <c r="G1860" s="134"/>
      <c r="H1860" s="135"/>
      <c r="I1860" s="136"/>
      <c r="J1860" s="173"/>
    </row>
    <row r="1861" spans="1:10" x14ac:dyDescent="0.25">
      <c r="A1861" s="106"/>
      <c r="B1861" s="107"/>
      <c r="D1861" s="151"/>
      <c r="E1861" s="142"/>
      <c r="F1861" s="176"/>
      <c r="G1861" s="176"/>
      <c r="H1861" s="176"/>
      <c r="I1861" s="172"/>
      <c r="J1861" s="173"/>
    </row>
    <row r="1862" spans="1:10" x14ac:dyDescent="0.25">
      <c r="A1862" s="106"/>
      <c r="B1862" s="107"/>
      <c r="D1862" s="151"/>
      <c r="E1862" s="142"/>
      <c r="F1862" s="176"/>
      <c r="G1862" s="132"/>
      <c r="H1862" s="176"/>
      <c r="I1862" s="133"/>
      <c r="J1862" s="173"/>
    </row>
    <row r="1863" spans="1:10" x14ac:dyDescent="0.25">
      <c r="A1863" s="106"/>
      <c r="B1863" s="107"/>
      <c r="D1863" s="151"/>
      <c r="E1863" s="142"/>
      <c r="F1863" s="176"/>
      <c r="G1863" s="134"/>
      <c r="H1863" s="135"/>
      <c r="I1863" s="136"/>
      <c r="J1863" s="173"/>
    </row>
    <row r="1864" spans="1:10" x14ac:dyDescent="0.25">
      <c r="A1864" s="106"/>
      <c r="B1864" s="107"/>
      <c r="D1864" s="151"/>
      <c r="E1864" s="142"/>
      <c r="F1864" s="176"/>
      <c r="G1864" s="134"/>
      <c r="H1864" s="135"/>
      <c r="I1864" s="136"/>
      <c r="J1864" s="173"/>
    </row>
    <row r="1865" spans="1:10" x14ac:dyDescent="0.25">
      <c r="A1865" s="106"/>
      <c r="B1865" s="107"/>
      <c r="D1865" s="151"/>
      <c r="E1865" s="142"/>
      <c r="F1865" s="176"/>
      <c r="G1865" s="134"/>
      <c r="H1865" s="135"/>
      <c r="I1865" s="136"/>
      <c r="J1865" s="173"/>
    </row>
    <row r="1866" spans="1:10" x14ac:dyDescent="0.25">
      <c r="A1866" s="106"/>
      <c r="B1866" s="107"/>
      <c r="D1866" s="151"/>
      <c r="E1866" s="142"/>
      <c r="F1866" s="176"/>
      <c r="G1866" s="179"/>
      <c r="H1866" s="180"/>
      <c r="I1866" s="143"/>
      <c r="J1866" s="173"/>
    </row>
    <row r="1867" spans="1:10" x14ac:dyDescent="0.25">
      <c r="A1867" s="106"/>
      <c r="B1867" s="107"/>
      <c r="D1867" s="151"/>
      <c r="E1867" s="142"/>
      <c r="F1867" s="176"/>
      <c r="G1867" s="176"/>
      <c r="H1867" s="176"/>
      <c r="I1867" s="172"/>
      <c r="J1867" s="173"/>
    </row>
    <row r="1868" spans="1:10" x14ac:dyDescent="0.25">
      <c r="A1868" s="106"/>
      <c r="B1868" s="107"/>
      <c r="D1868" s="151"/>
      <c r="E1868" s="142"/>
      <c r="F1868" s="176"/>
      <c r="G1868" s="176"/>
      <c r="H1868" s="176"/>
      <c r="I1868" s="172"/>
      <c r="J1868" s="173"/>
    </row>
    <row r="1869" spans="1:10" x14ac:dyDescent="0.25">
      <c r="A1869" s="106"/>
      <c r="B1869" s="107"/>
      <c r="D1869" s="151"/>
      <c r="E1869" s="142"/>
      <c r="F1869" s="176"/>
      <c r="G1869" s="176"/>
      <c r="H1869" s="176"/>
      <c r="I1869" s="172"/>
      <c r="J1869" s="173"/>
    </row>
    <row r="1870" spans="1:10" x14ac:dyDescent="0.25">
      <c r="A1870" s="106"/>
      <c r="B1870" s="107"/>
      <c r="D1870" s="151"/>
      <c r="E1870" s="142"/>
      <c r="F1870" s="176"/>
      <c r="G1870" s="176"/>
      <c r="H1870" s="176"/>
      <c r="I1870" s="172"/>
      <c r="J1870" s="173"/>
    </row>
    <row r="1871" spans="1:10" x14ac:dyDescent="0.25">
      <c r="A1871" s="106"/>
      <c r="B1871" s="107"/>
      <c r="D1871" s="151"/>
      <c r="E1871" s="142"/>
      <c r="F1871" s="176"/>
      <c r="G1871" s="176"/>
      <c r="H1871" s="176"/>
      <c r="I1871" s="172"/>
      <c r="J1871" s="173"/>
    </row>
    <row r="1872" spans="1:10" x14ac:dyDescent="0.25">
      <c r="A1872" s="106"/>
      <c r="B1872" s="107"/>
      <c r="D1872" s="151"/>
      <c r="E1872" s="142"/>
      <c r="F1872" s="176"/>
      <c r="G1872" s="176"/>
      <c r="H1872" s="176"/>
      <c r="I1872" s="172"/>
      <c r="J1872" s="173"/>
    </row>
    <row r="1873" spans="1:10" x14ac:dyDescent="0.25">
      <c r="A1873" s="106"/>
      <c r="B1873" s="107"/>
      <c r="D1873" s="151"/>
      <c r="E1873" s="142"/>
      <c r="F1873" s="176"/>
      <c r="G1873" s="176"/>
      <c r="H1873" s="176"/>
      <c r="I1873" s="172"/>
      <c r="J1873" s="173"/>
    </row>
    <row r="1874" spans="1:10" x14ac:dyDescent="0.25">
      <c r="A1874" s="106"/>
      <c r="B1874" s="107"/>
      <c r="D1874" s="151"/>
      <c r="E1874" s="142"/>
      <c r="F1874" s="176"/>
      <c r="G1874" s="176"/>
      <c r="H1874" s="176"/>
      <c r="I1874" s="172"/>
      <c r="J1874" s="173"/>
    </row>
    <row r="1875" spans="1:10" x14ac:dyDescent="0.25">
      <c r="A1875" s="106"/>
      <c r="B1875" s="107"/>
      <c r="D1875" s="151"/>
      <c r="E1875" s="142"/>
      <c r="F1875" s="176"/>
      <c r="G1875" s="176"/>
      <c r="H1875" s="176"/>
      <c r="I1875" s="172"/>
      <c r="J1875" s="173"/>
    </row>
    <row r="1876" spans="1:10" x14ac:dyDescent="0.25">
      <c r="A1876" s="106"/>
      <c r="B1876" s="107"/>
      <c r="D1876" s="151"/>
      <c r="E1876" s="142"/>
      <c r="F1876" s="176"/>
      <c r="G1876" s="176"/>
      <c r="H1876" s="176"/>
      <c r="I1876" s="172"/>
      <c r="J1876" s="173"/>
    </row>
    <row r="1877" spans="1:10" x14ac:dyDescent="0.25">
      <c r="A1877" s="106"/>
      <c r="B1877" s="107"/>
      <c r="D1877" s="151"/>
      <c r="E1877" s="142"/>
      <c r="F1877" s="176"/>
      <c r="G1877" s="176"/>
      <c r="H1877" s="176"/>
      <c r="I1877" s="172"/>
      <c r="J1877" s="173"/>
    </row>
    <row r="1878" spans="1:10" x14ac:dyDescent="0.25">
      <c r="A1878" s="106"/>
      <c r="B1878" s="107"/>
      <c r="D1878" s="151"/>
      <c r="E1878" s="142"/>
      <c r="F1878" s="176"/>
      <c r="G1878" s="176"/>
      <c r="H1878" s="176"/>
      <c r="I1878" s="172"/>
      <c r="J1878" s="173"/>
    </row>
    <row r="1879" spans="1:10" x14ac:dyDescent="0.25">
      <c r="A1879" s="106"/>
      <c r="B1879" s="107"/>
      <c r="D1879" s="151"/>
      <c r="E1879" s="142"/>
      <c r="F1879" s="176"/>
      <c r="G1879" s="176"/>
      <c r="H1879" s="176"/>
      <c r="I1879" s="172"/>
      <c r="J1879" s="173"/>
    </row>
    <row r="1880" spans="1:10" x14ac:dyDescent="0.25">
      <c r="A1880" s="106"/>
      <c r="B1880" s="107"/>
      <c r="D1880" s="151"/>
      <c r="E1880" s="142"/>
      <c r="F1880" s="176"/>
      <c r="G1880" s="176"/>
      <c r="H1880" s="176"/>
      <c r="I1880" s="172"/>
      <c r="J1880" s="173"/>
    </row>
    <row r="1881" spans="1:10" x14ac:dyDescent="0.25">
      <c r="A1881" s="106"/>
      <c r="B1881" s="107"/>
      <c r="D1881" s="151"/>
      <c r="E1881" s="142"/>
      <c r="F1881" s="176"/>
      <c r="G1881" s="176"/>
      <c r="H1881" s="176"/>
      <c r="I1881" s="172"/>
      <c r="J1881" s="173"/>
    </row>
    <row r="1882" spans="1:10" x14ac:dyDescent="0.25">
      <c r="A1882" s="106"/>
      <c r="B1882" s="107"/>
      <c r="D1882" s="151"/>
      <c r="E1882" s="142"/>
      <c r="F1882" s="176"/>
      <c r="G1882" s="176"/>
      <c r="H1882" s="176"/>
      <c r="I1882" s="172"/>
      <c r="J1882" s="173"/>
    </row>
    <row r="1883" spans="1:10" x14ac:dyDescent="0.25">
      <c r="A1883" s="106"/>
      <c r="B1883" s="107"/>
      <c r="D1883" s="151"/>
      <c r="E1883" s="142"/>
      <c r="F1883" s="176"/>
      <c r="G1883" s="176"/>
      <c r="H1883" s="176"/>
      <c r="I1883" s="172"/>
      <c r="J1883" s="173"/>
    </row>
    <row r="1884" spans="1:10" x14ac:dyDescent="0.25">
      <c r="A1884" s="106"/>
      <c r="B1884" s="107"/>
      <c r="D1884" s="151"/>
      <c r="E1884" s="142"/>
      <c r="F1884" s="176"/>
      <c r="G1884" s="176"/>
      <c r="H1884" s="176"/>
      <c r="I1884" s="172"/>
      <c r="J1884" s="173"/>
    </row>
    <row r="1885" spans="1:10" x14ac:dyDescent="0.25">
      <c r="A1885" s="106"/>
      <c r="B1885" s="107"/>
      <c r="D1885" s="151"/>
      <c r="E1885" s="142"/>
      <c r="F1885" s="176"/>
      <c r="G1885" s="176"/>
      <c r="H1885" s="176"/>
      <c r="I1885" s="172"/>
      <c r="J1885" s="173"/>
    </row>
    <row r="1886" spans="1:10" x14ac:dyDescent="0.25">
      <c r="A1886" s="106"/>
      <c r="B1886" s="107"/>
      <c r="D1886" s="151"/>
      <c r="E1886" s="142"/>
      <c r="F1886" s="176"/>
      <c r="G1886" s="176"/>
      <c r="H1886" s="176"/>
      <c r="I1886" s="172"/>
      <c r="J1886" s="173"/>
    </row>
    <row r="1887" spans="1:10" x14ac:dyDescent="0.25">
      <c r="A1887" s="106"/>
      <c r="B1887" s="107"/>
      <c r="D1887" s="151"/>
      <c r="E1887" s="142"/>
      <c r="F1887" s="176"/>
      <c r="G1887" s="176"/>
      <c r="H1887" s="176"/>
      <c r="I1887" s="172"/>
      <c r="J1887" s="173"/>
    </row>
    <row r="1888" spans="1:10" x14ac:dyDescent="0.25">
      <c r="A1888" s="106"/>
      <c r="B1888" s="107"/>
      <c r="D1888" s="151"/>
      <c r="E1888" s="142"/>
      <c r="F1888" s="176"/>
      <c r="G1888" s="179"/>
      <c r="H1888" s="180"/>
      <c r="I1888" s="172"/>
      <c r="J1888" s="173"/>
    </row>
    <row r="1889" spans="1:10" x14ac:dyDescent="0.25">
      <c r="A1889" s="106"/>
      <c r="B1889" s="107"/>
      <c r="D1889" s="151"/>
      <c r="E1889" s="142"/>
      <c r="F1889" s="176"/>
      <c r="G1889" s="176"/>
      <c r="H1889" s="176"/>
      <c r="I1889" s="172"/>
      <c r="J1889" s="173"/>
    </row>
    <row r="1890" spans="1:10" x14ac:dyDescent="0.25">
      <c r="A1890" s="106"/>
      <c r="B1890" s="107"/>
      <c r="D1890" s="151"/>
      <c r="E1890" s="142"/>
      <c r="F1890" s="176"/>
      <c r="G1890" s="132"/>
      <c r="H1890" s="178"/>
      <c r="I1890" s="172"/>
      <c r="J1890" s="173"/>
    </row>
    <row r="1891" spans="1:10" x14ac:dyDescent="0.25">
      <c r="A1891" s="106"/>
      <c r="B1891" s="107"/>
      <c r="D1891" s="151"/>
      <c r="E1891" s="142"/>
      <c r="F1891" s="176"/>
      <c r="G1891" s="179"/>
      <c r="H1891" s="180"/>
      <c r="I1891" s="172"/>
      <c r="J1891" s="173"/>
    </row>
    <row r="1892" spans="1:10" x14ac:dyDescent="0.25">
      <c r="A1892" s="106"/>
      <c r="B1892" s="107"/>
      <c r="D1892" s="151"/>
      <c r="E1892" s="142"/>
      <c r="F1892" s="176"/>
      <c r="G1892" s="132"/>
      <c r="H1892" s="178"/>
      <c r="I1892" s="172"/>
      <c r="J1892" s="173"/>
    </row>
    <row r="1893" spans="1:10" x14ac:dyDescent="0.25">
      <c r="A1893" s="106"/>
      <c r="B1893" s="107"/>
      <c r="D1893" s="151"/>
      <c r="E1893" s="142"/>
      <c r="F1893" s="176"/>
      <c r="G1893" s="176"/>
      <c r="H1893" s="176"/>
      <c r="I1893" s="172"/>
      <c r="J1893" s="173"/>
    </row>
    <row r="1894" spans="1:10" x14ac:dyDescent="0.25">
      <c r="A1894" s="106"/>
      <c r="B1894" s="107"/>
      <c r="D1894" s="151"/>
      <c r="E1894" s="142"/>
      <c r="F1894" s="176"/>
      <c r="G1894" s="179"/>
      <c r="H1894" s="180"/>
      <c r="I1894" s="172"/>
      <c r="J1894" s="173"/>
    </row>
    <row r="1895" spans="1:10" x14ac:dyDescent="0.25">
      <c r="A1895" s="106"/>
      <c r="B1895" s="107"/>
      <c r="D1895" s="151"/>
      <c r="E1895" s="142"/>
      <c r="F1895" s="176"/>
      <c r="G1895" s="176"/>
      <c r="H1895" s="176"/>
      <c r="I1895" s="172"/>
      <c r="J1895" s="173"/>
    </row>
    <row r="1896" spans="1:10" x14ac:dyDescent="0.25">
      <c r="A1896" s="106"/>
      <c r="B1896" s="107"/>
      <c r="D1896" s="151"/>
      <c r="E1896" s="142"/>
      <c r="F1896" s="176"/>
      <c r="G1896" s="176"/>
      <c r="H1896" s="176"/>
      <c r="I1896" s="172"/>
      <c r="J1896" s="173"/>
    </row>
    <row r="1897" spans="1:10" x14ac:dyDescent="0.25">
      <c r="A1897" s="106"/>
      <c r="B1897" s="107"/>
      <c r="D1897" s="151"/>
      <c r="E1897" s="142"/>
      <c r="F1897" s="176"/>
      <c r="G1897" s="179"/>
      <c r="H1897" s="180"/>
      <c r="I1897" s="172"/>
      <c r="J1897" s="173"/>
    </row>
    <row r="1898" spans="1:10" x14ac:dyDescent="0.25">
      <c r="A1898" s="106"/>
      <c r="B1898" s="107"/>
      <c r="D1898" s="151"/>
      <c r="E1898" s="142"/>
      <c r="F1898" s="176"/>
      <c r="G1898" s="176"/>
      <c r="H1898" s="176"/>
      <c r="I1898" s="172"/>
      <c r="J1898" s="173"/>
    </row>
    <row r="1899" spans="1:10" x14ac:dyDescent="0.25">
      <c r="A1899" s="106"/>
      <c r="B1899" s="107"/>
      <c r="D1899" s="151"/>
      <c r="E1899" s="142"/>
      <c r="F1899" s="176"/>
      <c r="G1899" s="176"/>
      <c r="H1899" s="176"/>
      <c r="I1899" s="172"/>
      <c r="J1899" s="173"/>
    </row>
    <row r="1900" spans="1:10" x14ac:dyDescent="0.25">
      <c r="A1900" s="106"/>
      <c r="B1900" s="107"/>
      <c r="D1900" s="151"/>
      <c r="E1900" s="142"/>
      <c r="F1900" s="176"/>
      <c r="G1900" s="179"/>
      <c r="H1900" s="180"/>
      <c r="I1900" s="172"/>
      <c r="J1900" s="173"/>
    </row>
    <row r="1901" spans="1:10" x14ac:dyDescent="0.25">
      <c r="A1901" s="106"/>
      <c r="B1901" s="107"/>
      <c r="D1901" s="151"/>
      <c r="E1901" s="142"/>
      <c r="F1901" s="176"/>
      <c r="G1901" s="176"/>
      <c r="H1901" s="176"/>
      <c r="I1901" s="172"/>
      <c r="J1901" s="173"/>
    </row>
    <row r="1902" spans="1:10" x14ac:dyDescent="0.25">
      <c r="A1902" s="106"/>
      <c r="B1902" s="107"/>
      <c r="D1902" s="151"/>
      <c r="E1902" s="142"/>
      <c r="F1902" s="176"/>
      <c r="G1902" s="132"/>
      <c r="H1902" s="178"/>
      <c r="I1902" s="172"/>
      <c r="J1902" s="173"/>
    </row>
    <row r="1903" spans="1:10" x14ac:dyDescent="0.25">
      <c r="A1903" s="106"/>
      <c r="B1903" s="107"/>
      <c r="D1903" s="151"/>
      <c r="E1903" s="142"/>
      <c r="F1903" s="176"/>
      <c r="G1903" s="179"/>
      <c r="H1903" s="180"/>
      <c r="I1903" s="172"/>
      <c r="J1903" s="173"/>
    </row>
    <row r="1904" spans="1:10" x14ac:dyDescent="0.25">
      <c r="A1904" s="106"/>
      <c r="B1904" s="107"/>
      <c r="D1904" s="151"/>
      <c r="E1904" s="142"/>
      <c r="F1904" s="176"/>
      <c r="G1904" s="132"/>
      <c r="H1904" s="178"/>
      <c r="I1904" s="172"/>
      <c r="J1904" s="173"/>
    </row>
    <row r="1905" spans="1:10" x14ac:dyDescent="0.25">
      <c r="A1905" s="106"/>
      <c r="B1905" s="107"/>
      <c r="D1905" s="151"/>
      <c r="E1905" s="142"/>
      <c r="F1905" s="176"/>
      <c r="G1905" s="176"/>
      <c r="H1905" s="176"/>
      <c r="I1905" s="172"/>
      <c r="J1905" s="173"/>
    </row>
    <row r="1906" spans="1:10" x14ac:dyDescent="0.25">
      <c r="A1906" s="106"/>
      <c r="B1906" s="107"/>
      <c r="D1906" s="151"/>
      <c r="E1906" s="142"/>
      <c r="F1906" s="176"/>
      <c r="G1906" s="179"/>
      <c r="H1906" s="180"/>
      <c r="I1906" s="172"/>
      <c r="J1906" s="173"/>
    </row>
    <row r="1907" spans="1:10" x14ac:dyDescent="0.25">
      <c r="A1907" s="106"/>
      <c r="B1907" s="107"/>
      <c r="D1907" s="151"/>
      <c r="E1907" s="142"/>
      <c r="F1907" s="176"/>
      <c r="G1907" s="176"/>
      <c r="H1907" s="176"/>
      <c r="I1907" s="172"/>
      <c r="J1907" s="173"/>
    </row>
    <row r="1908" spans="1:10" x14ac:dyDescent="0.25">
      <c r="A1908" s="106"/>
      <c r="B1908" s="107"/>
      <c r="D1908" s="151"/>
      <c r="E1908" s="142"/>
      <c r="F1908" s="176"/>
      <c r="G1908" s="176"/>
      <c r="H1908" s="176"/>
      <c r="I1908" s="172"/>
      <c r="J1908" s="173"/>
    </row>
    <row r="1909" spans="1:10" x14ac:dyDescent="0.25">
      <c r="A1909" s="106"/>
      <c r="B1909" s="107"/>
      <c r="D1909" s="151"/>
      <c r="E1909" s="142"/>
      <c r="F1909" s="176"/>
      <c r="G1909" s="179"/>
      <c r="H1909" s="180"/>
      <c r="I1909" s="172"/>
      <c r="J1909" s="173"/>
    </row>
    <row r="1910" spans="1:10" x14ac:dyDescent="0.25">
      <c r="A1910" s="106"/>
      <c r="B1910" s="107"/>
      <c r="D1910" s="151"/>
      <c r="E1910" s="142"/>
      <c r="F1910" s="176"/>
      <c r="G1910" s="176"/>
      <c r="H1910" s="176"/>
      <c r="I1910" s="172"/>
      <c r="J1910" s="173"/>
    </row>
    <row r="1911" spans="1:10" x14ac:dyDescent="0.25">
      <c r="A1911" s="106"/>
      <c r="B1911" s="107"/>
      <c r="D1911" s="151"/>
      <c r="E1911" s="142"/>
      <c r="F1911" s="176"/>
      <c r="G1911" s="176"/>
      <c r="H1911" s="176"/>
      <c r="I1911" s="172"/>
      <c r="J1911" s="173"/>
    </row>
    <row r="1912" spans="1:10" x14ac:dyDescent="0.25">
      <c r="A1912" s="106"/>
      <c r="B1912" s="107"/>
      <c r="D1912" s="151"/>
      <c r="E1912" s="142"/>
      <c r="F1912" s="176"/>
      <c r="G1912" s="179"/>
      <c r="H1912" s="180"/>
      <c r="I1912" s="172"/>
      <c r="J1912" s="173"/>
    </row>
    <row r="1913" spans="1:10" x14ac:dyDescent="0.25">
      <c r="A1913" s="106"/>
      <c r="B1913" s="107"/>
      <c r="D1913" s="151"/>
      <c r="E1913" s="142"/>
      <c r="F1913" s="176"/>
      <c r="G1913" s="176"/>
      <c r="H1913" s="176"/>
      <c r="I1913" s="172"/>
      <c r="J1913" s="173"/>
    </row>
    <row r="1914" spans="1:10" x14ac:dyDescent="0.25">
      <c r="A1914" s="106"/>
      <c r="B1914" s="107"/>
      <c r="D1914" s="151"/>
      <c r="E1914" s="142"/>
      <c r="F1914" s="176"/>
      <c r="G1914" s="132"/>
      <c r="H1914" s="178"/>
      <c r="I1914" s="172"/>
      <c r="J1914" s="173"/>
    </row>
    <row r="1915" spans="1:10" x14ac:dyDescent="0.25">
      <c r="A1915" s="106"/>
      <c r="B1915" s="107"/>
      <c r="D1915" s="151"/>
      <c r="E1915" s="142"/>
      <c r="F1915" s="176"/>
      <c r="G1915" s="179"/>
      <c r="H1915" s="180"/>
      <c r="I1915" s="172"/>
      <c r="J1915" s="173"/>
    </row>
    <row r="1916" spans="1:10" x14ac:dyDescent="0.25">
      <c r="A1916" s="106"/>
      <c r="B1916" s="107"/>
      <c r="D1916" s="151"/>
      <c r="E1916" s="142"/>
      <c r="F1916" s="176"/>
      <c r="G1916" s="132"/>
      <c r="H1916" s="178"/>
      <c r="I1916" s="172"/>
      <c r="J1916" s="173"/>
    </row>
    <row r="1917" spans="1:10" x14ac:dyDescent="0.25">
      <c r="A1917" s="106"/>
      <c r="B1917" s="107"/>
      <c r="D1917" s="151"/>
      <c r="E1917" s="142"/>
      <c r="F1917" s="176"/>
      <c r="G1917" s="176"/>
      <c r="H1917" s="176"/>
      <c r="I1917" s="172"/>
      <c r="J1917" s="173"/>
    </row>
    <row r="1918" spans="1:10" x14ac:dyDescent="0.25">
      <c r="A1918" s="106"/>
      <c r="B1918" s="107"/>
      <c r="D1918" s="151"/>
      <c r="E1918" s="142"/>
      <c r="F1918" s="176"/>
      <c r="G1918" s="179"/>
      <c r="H1918" s="180"/>
      <c r="I1918" s="172"/>
      <c r="J1918" s="173"/>
    </row>
    <row r="1919" spans="1:10" x14ac:dyDescent="0.25">
      <c r="A1919" s="106"/>
      <c r="B1919" s="107"/>
      <c r="D1919" s="151"/>
      <c r="E1919" s="142"/>
      <c r="F1919" s="176"/>
      <c r="G1919" s="176"/>
      <c r="H1919" s="176"/>
      <c r="I1919" s="172"/>
      <c r="J1919" s="173"/>
    </row>
    <row r="1920" spans="1:10" x14ac:dyDescent="0.25">
      <c r="A1920" s="106"/>
      <c r="B1920" s="107"/>
      <c r="D1920" s="151"/>
      <c r="E1920" s="142"/>
      <c r="F1920" s="176"/>
      <c r="G1920" s="176"/>
      <c r="H1920" s="176"/>
      <c r="I1920" s="172"/>
      <c r="J1920" s="173"/>
    </row>
    <row r="1921" spans="1:10" x14ac:dyDescent="0.25">
      <c r="A1921" s="106"/>
      <c r="B1921" s="107"/>
      <c r="D1921" s="151"/>
      <c r="E1921" s="142"/>
      <c r="F1921" s="176"/>
      <c r="G1921" s="179"/>
      <c r="H1921" s="180"/>
      <c r="I1921" s="172"/>
      <c r="J1921" s="173"/>
    </row>
    <row r="1922" spans="1:10" x14ac:dyDescent="0.25">
      <c r="A1922" s="106"/>
      <c r="B1922" s="107"/>
      <c r="D1922" s="151"/>
      <c r="E1922" s="142"/>
      <c r="F1922" s="176"/>
      <c r="G1922" s="176"/>
      <c r="H1922" s="176"/>
      <c r="I1922" s="172"/>
      <c r="J1922" s="173"/>
    </row>
    <row r="1923" spans="1:10" x14ac:dyDescent="0.25">
      <c r="A1923" s="106"/>
      <c r="B1923" s="107"/>
      <c r="D1923" s="151"/>
      <c r="E1923" s="142"/>
      <c r="F1923" s="176"/>
      <c r="G1923" s="176"/>
      <c r="H1923" s="176"/>
      <c r="I1923" s="172"/>
      <c r="J1923" s="173"/>
    </row>
    <row r="1924" spans="1:10" x14ac:dyDescent="0.25">
      <c r="A1924" s="106"/>
      <c r="B1924" s="107"/>
      <c r="D1924" s="151"/>
      <c r="E1924" s="142"/>
      <c r="F1924" s="176"/>
      <c r="G1924" s="176"/>
      <c r="H1924" s="176"/>
      <c r="I1924" s="172"/>
      <c r="J1924" s="173"/>
    </row>
    <row r="1925" spans="1:10" x14ac:dyDescent="0.25">
      <c r="A1925" s="106"/>
      <c r="B1925" s="107"/>
      <c r="D1925" s="151"/>
      <c r="E1925" s="142"/>
      <c r="F1925" s="176"/>
      <c r="G1925" s="176"/>
      <c r="H1925" s="176"/>
      <c r="I1925" s="172"/>
      <c r="J1925" s="173"/>
    </row>
    <row r="1926" spans="1:10" x14ac:dyDescent="0.25">
      <c r="A1926" s="106"/>
      <c r="B1926" s="107"/>
      <c r="D1926" s="151"/>
      <c r="E1926" s="142"/>
      <c r="F1926" s="176"/>
      <c r="G1926" s="176"/>
      <c r="H1926" s="176"/>
      <c r="I1926" s="172"/>
      <c r="J1926" s="173"/>
    </row>
    <row r="1927" spans="1:10" x14ac:dyDescent="0.25">
      <c r="A1927" s="106"/>
      <c r="B1927" s="107"/>
      <c r="D1927" s="151"/>
      <c r="E1927" s="142"/>
      <c r="F1927" s="176"/>
      <c r="G1927" s="176"/>
      <c r="H1927" s="176"/>
      <c r="I1927" s="172"/>
      <c r="J1927" s="173"/>
    </row>
    <row r="1928" spans="1:10" x14ac:dyDescent="0.25">
      <c r="A1928" s="106"/>
      <c r="B1928" s="107"/>
      <c r="D1928" s="151"/>
      <c r="E1928" s="142"/>
      <c r="F1928" s="176"/>
      <c r="G1928" s="176"/>
      <c r="H1928" s="176"/>
      <c r="I1928" s="172"/>
      <c r="J1928" s="173"/>
    </row>
    <row r="1929" spans="1:10" x14ac:dyDescent="0.25">
      <c r="A1929" s="106"/>
      <c r="B1929" s="107"/>
      <c r="D1929" s="151"/>
      <c r="E1929" s="142"/>
      <c r="F1929" s="176"/>
      <c r="G1929" s="176"/>
      <c r="H1929" s="176"/>
      <c r="I1929" s="172"/>
      <c r="J1929" s="173"/>
    </row>
    <row r="1930" spans="1:10" x14ac:dyDescent="0.25">
      <c r="A1930" s="106"/>
      <c r="B1930" s="107"/>
      <c r="D1930" s="151"/>
      <c r="E1930" s="142"/>
      <c r="F1930" s="176"/>
      <c r="G1930" s="176"/>
      <c r="H1930" s="176"/>
      <c r="I1930" s="172"/>
      <c r="J1930" s="173"/>
    </row>
    <row r="1931" spans="1:10" x14ac:dyDescent="0.25">
      <c r="A1931" s="106"/>
      <c r="B1931" s="107"/>
      <c r="D1931" s="151"/>
      <c r="E1931" s="142"/>
      <c r="F1931" s="176"/>
      <c r="G1931" s="176"/>
      <c r="H1931" s="176"/>
      <c r="I1931" s="172"/>
      <c r="J1931" s="173"/>
    </row>
    <row r="1932" spans="1:10" x14ac:dyDescent="0.25">
      <c r="A1932" s="106"/>
      <c r="B1932" s="107"/>
      <c r="D1932" s="151"/>
      <c r="E1932" s="142"/>
      <c r="F1932" s="176"/>
      <c r="G1932" s="176"/>
      <c r="H1932" s="176"/>
      <c r="I1932" s="172"/>
      <c r="J1932" s="173"/>
    </row>
    <row r="1933" spans="1:10" x14ac:dyDescent="0.25">
      <c r="A1933" s="106"/>
      <c r="B1933" s="107"/>
      <c r="D1933" s="151"/>
      <c r="E1933" s="142"/>
      <c r="F1933" s="176"/>
      <c r="G1933" s="176"/>
      <c r="H1933" s="176"/>
      <c r="I1933" s="172"/>
      <c r="J1933" s="173"/>
    </row>
    <row r="1934" spans="1:10" x14ac:dyDescent="0.25">
      <c r="A1934" s="106"/>
      <c r="B1934" s="107"/>
      <c r="D1934" s="151"/>
      <c r="E1934" s="142"/>
      <c r="F1934" s="176"/>
      <c r="G1934" s="176"/>
      <c r="H1934" s="176"/>
      <c r="I1934" s="172"/>
      <c r="J1934" s="173"/>
    </row>
    <row r="1935" spans="1:10" x14ac:dyDescent="0.25">
      <c r="A1935" s="106"/>
      <c r="B1935" s="107"/>
      <c r="D1935" s="151"/>
      <c r="E1935" s="142"/>
      <c r="F1935" s="176"/>
      <c r="G1935" s="176"/>
      <c r="H1935" s="176"/>
      <c r="I1935" s="172"/>
      <c r="J1935" s="173"/>
    </row>
    <row r="1936" spans="1:10" x14ac:dyDescent="0.25">
      <c r="A1936" s="106"/>
      <c r="B1936" s="107"/>
      <c r="D1936" s="151"/>
      <c r="E1936" s="142"/>
      <c r="F1936" s="176"/>
      <c r="G1936" s="176"/>
      <c r="H1936" s="176"/>
      <c r="I1936" s="172"/>
      <c r="J1936" s="173"/>
    </row>
    <row r="1937" spans="1:10" x14ac:dyDescent="0.25">
      <c r="A1937" s="106"/>
      <c r="B1937" s="107"/>
      <c r="D1937" s="151"/>
      <c r="E1937" s="142"/>
      <c r="F1937" s="176"/>
      <c r="G1937" s="176"/>
      <c r="H1937" s="176"/>
      <c r="I1937" s="172"/>
      <c r="J1937" s="173"/>
    </row>
    <row r="1938" spans="1:10" x14ac:dyDescent="0.25">
      <c r="A1938" s="106"/>
      <c r="B1938" s="107"/>
      <c r="D1938" s="151"/>
      <c r="E1938" s="142"/>
      <c r="F1938" s="176"/>
      <c r="G1938" s="176"/>
      <c r="H1938" s="176"/>
      <c r="I1938" s="172"/>
      <c r="J1938" s="173"/>
    </row>
    <row r="1939" spans="1:10" x14ac:dyDescent="0.25">
      <c r="A1939" s="106"/>
      <c r="B1939" s="107"/>
      <c r="D1939" s="151"/>
      <c r="E1939" s="142"/>
      <c r="F1939" s="176"/>
      <c r="G1939" s="176"/>
      <c r="H1939" s="176"/>
      <c r="I1939" s="172"/>
      <c r="J1939" s="173"/>
    </row>
    <row r="1940" spans="1:10" x14ac:dyDescent="0.25">
      <c r="A1940" s="106"/>
      <c r="B1940" s="107"/>
      <c r="D1940" s="151"/>
      <c r="E1940" s="142"/>
      <c r="F1940" s="176"/>
      <c r="G1940" s="176"/>
      <c r="H1940" s="176"/>
      <c r="I1940" s="172"/>
      <c r="J1940" s="173"/>
    </row>
    <row r="1941" spans="1:10" x14ac:dyDescent="0.25">
      <c r="A1941" s="106"/>
      <c r="B1941" s="107"/>
      <c r="D1941" s="151"/>
      <c r="E1941" s="142"/>
      <c r="F1941" s="176"/>
      <c r="G1941" s="176"/>
      <c r="H1941" s="176"/>
      <c r="I1941" s="172"/>
      <c r="J1941" s="173"/>
    </row>
    <row r="1942" spans="1:10" x14ac:dyDescent="0.25">
      <c r="A1942" s="106"/>
      <c r="B1942" s="107"/>
      <c r="D1942" s="151"/>
      <c r="E1942" s="142"/>
      <c r="F1942" s="176"/>
      <c r="G1942" s="176"/>
      <c r="H1942" s="176"/>
      <c r="I1942" s="172"/>
      <c r="J1942" s="173"/>
    </row>
    <row r="1943" spans="1:10" x14ac:dyDescent="0.25">
      <c r="A1943" s="106"/>
      <c r="B1943" s="107"/>
      <c r="D1943" s="151"/>
      <c r="E1943" s="142"/>
      <c r="F1943" s="176"/>
      <c r="G1943" s="176"/>
      <c r="H1943" s="176"/>
      <c r="I1943" s="172"/>
      <c r="J1943" s="173"/>
    </row>
    <row r="1944" spans="1:10" x14ac:dyDescent="0.25">
      <c r="A1944" s="106"/>
      <c r="B1944" s="107"/>
      <c r="D1944" s="151"/>
      <c r="E1944" s="142"/>
      <c r="F1944" s="176"/>
      <c r="G1944" s="176"/>
      <c r="H1944" s="176"/>
      <c r="I1944" s="172"/>
      <c r="J1944" s="173"/>
    </row>
    <row r="1945" spans="1:10" x14ac:dyDescent="0.25">
      <c r="A1945" s="106"/>
      <c r="B1945" s="107"/>
      <c r="D1945" s="151"/>
      <c r="E1945" s="142"/>
      <c r="F1945" s="176"/>
      <c r="G1945" s="176"/>
      <c r="H1945" s="176"/>
      <c r="I1945" s="172"/>
      <c r="J1945" s="173"/>
    </row>
    <row r="1946" spans="1:10" x14ac:dyDescent="0.25">
      <c r="A1946" s="106"/>
      <c r="B1946" s="107"/>
      <c r="D1946" s="151"/>
      <c r="E1946" s="142"/>
      <c r="F1946" s="176"/>
      <c r="G1946" s="176"/>
      <c r="H1946" s="176"/>
      <c r="I1946" s="172"/>
      <c r="J1946" s="173"/>
    </row>
    <row r="1947" spans="1:10" x14ac:dyDescent="0.25">
      <c r="A1947" s="106"/>
      <c r="B1947" s="107"/>
      <c r="D1947" s="151"/>
      <c r="E1947" s="142"/>
      <c r="F1947" s="176"/>
      <c r="G1947" s="176"/>
      <c r="H1947" s="176"/>
      <c r="I1947" s="172"/>
      <c r="J1947" s="173"/>
    </row>
    <row r="1948" spans="1:10" x14ac:dyDescent="0.25">
      <c r="A1948" s="106"/>
      <c r="B1948" s="107"/>
      <c r="D1948" s="151"/>
      <c r="E1948" s="142"/>
      <c r="F1948" s="176"/>
      <c r="G1948" s="176"/>
      <c r="H1948" s="176"/>
      <c r="I1948" s="172"/>
      <c r="J1948" s="173"/>
    </row>
    <row r="1949" spans="1:10" x14ac:dyDescent="0.25">
      <c r="A1949" s="106"/>
      <c r="B1949" s="107"/>
      <c r="D1949" s="151"/>
      <c r="E1949" s="142"/>
      <c r="F1949" s="176"/>
      <c r="G1949" s="176"/>
      <c r="H1949" s="176"/>
      <c r="I1949" s="172"/>
      <c r="J1949" s="173"/>
    </row>
    <row r="1950" spans="1:10" x14ac:dyDescent="0.25">
      <c r="A1950" s="106"/>
      <c r="B1950" s="107"/>
      <c r="D1950" s="151"/>
      <c r="E1950" s="142"/>
      <c r="F1950" s="176"/>
      <c r="G1950" s="176"/>
      <c r="H1950" s="176"/>
      <c r="I1950" s="172"/>
      <c r="J1950" s="173"/>
    </row>
    <row r="1951" spans="1:10" x14ac:dyDescent="0.25">
      <c r="A1951" s="106"/>
      <c r="B1951" s="107"/>
      <c r="D1951" s="151"/>
      <c r="E1951" s="142"/>
      <c r="F1951" s="176"/>
      <c r="G1951" s="176"/>
      <c r="H1951" s="176"/>
      <c r="I1951" s="172"/>
      <c r="J1951" s="173"/>
    </row>
    <row r="1952" spans="1:10" x14ac:dyDescent="0.25">
      <c r="A1952" s="106"/>
      <c r="B1952" s="107"/>
      <c r="D1952" s="151"/>
      <c r="E1952" s="142"/>
      <c r="F1952" s="176"/>
      <c r="G1952" s="176"/>
      <c r="H1952" s="176"/>
      <c r="I1952" s="172"/>
      <c r="J1952" s="173"/>
    </row>
    <row r="1953" spans="1:10" x14ac:dyDescent="0.25">
      <c r="A1953" s="106"/>
      <c r="B1953" s="107"/>
      <c r="D1953" s="151"/>
      <c r="E1953" s="142"/>
      <c r="F1953" s="176"/>
      <c r="G1953" s="132"/>
      <c r="H1953" s="178"/>
      <c r="I1953" s="172"/>
      <c r="J1953" s="173"/>
    </row>
    <row r="1954" spans="1:10" x14ac:dyDescent="0.25">
      <c r="A1954" s="106"/>
      <c r="B1954" s="107"/>
      <c r="D1954" s="151"/>
      <c r="E1954" s="142"/>
      <c r="F1954" s="176"/>
      <c r="G1954" s="132"/>
      <c r="H1954" s="178"/>
      <c r="I1954" s="172"/>
      <c r="J1954" s="173"/>
    </row>
    <row r="1955" spans="1:10" x14ac:dyDescent="0.25">
      <c r="A1955" s="106"/>
      <c r="B1955" s="107"/>
      <c r="D1955" s="151"/>
      <c r="E1955" s="142"/>
      <c r="F1955" s="176"/>
      <c r="G1955" s="176"/>
      <c r="H1955" s="176"/>
      <c r="I1955" s="172"/>
      <c r="J1955" s="173"/>
    </row>
    <row r="1956" spans="1:10" x14ac:dyDescent="0.25">
      <c r="A1956" s="106"/>
      <c r="B1956" s="107"/>
      <c r="D1956" s="151"/>
      <c r="E1956" s="142"/>
      <c r="F1956" s="176"/>
      <c r="G1956" s="176"/>
      <c r="H1956" s="176"/>
      <c r="I1956" s="172"/>
      <c r="J1956" s="173"/>
    </row>
    <row r="1957" spans="1:10" x14ac:dyDescent="0.25">
      <c r="A1957" s="106"/>
      <c r="B1957" s="107"/>
      <c r="D1957" s="151"/>
      <c r="E1957" s="142"/>
      <c r="F1957" s="176"/>
      <c r="G1957" s="179"/>
      <c r="H1957" s="180"/>
      <c r="I1957" s="172"/>
      <c r="J1957" s="173"/>
    </row>
    <row r="1958" spans="1:10" x14ac:dyDescent="0.25">
      <c r="A1958" s="106"/>
      <c r="B1958" s="107"/>
      <c r="D1958" s="151"/>
      <c r="E1958" s="142"/>
      <c r="F1958" s="176"/>
      <c r="G1958" s="176"/>
      <c r="H1958" s="176"/>
      <c r="I1958" s="172"/>
      <c r="J1958" s="173"/>
    </row>
    <row r="1959" spans="1:10" x14ac:dyDescent="0.25">
      <c r="A1959" s="106"/>
      <c r="B1959" s="107"/>
      <c r="D1959" s="151"/>
      <c r="E1959" s="142"/>
      <c r="F1959" s="176"/>
      <c r="G1959" s="176"/>
      <c r="H1959" s="176"/>
      <c r="I1959" s="172"/>
      <c r="J1959" s="173"/>
    </row>
    <row r="1960" spans="1:10" x14ac:dyDescent="0.25">
      <c r="A1960" s="106"/>
      <c r="B1960" s="107"/>
      <c r="D1960" s="151"/>
      <c r="E1960" s="142"/>
      <c r="F1960" s="176"/>
      <c r="G1960" s="176"/>
      <c r="H1960" s="176"/>
      <c r="I1960" s="172"/>
      <c r="J1960" s="173"/>
    </row>
    <row r="1961" spans="1:10" x14ac:dyDescent="0.25">
      <c r="A1961" s="106"/>
      <c r="B1961" s="107"/>
      <c r="D1961" s="151"/>
      <c r="E1961" s="142"/>
      <c r="F1961" s="176"/>
      <c r="G1961" s="176"/>
      <c r="H1961" s="176"/>
      <c r="I1961" s="172"/>
      <c r="J1961" s="173"/>
    </row>
    <row r="1962" spans="1:10" x14ac:dyDescent="0.25">
      <c r="A1962" s="106"/>
      <c r="B1962" s="107"/>
      <c r="D1962" s="151"/>
      <c r="E1962" s="142"/>
      <c r="F1962" s="176"/>
      <c r="G1962" s="176"/>
      <c r="H1962" s="176"/>
      <c r="I1962" s="172"/>
      <c r="J1962" s="173"/>
    </row>
    <row r="1963" spans="1:10" x14ac:dyDescent="0.25">
      <c r="A1963" s="106"/>
      <c r="B1963" s="107"/>
      <c r="D1963" s="151"/>
      <c r="E1963" s="142"/>
      <c r="F1963" s="176"/>
      <c r="G1963" s="176"/>
      <c r="H1963" s="176"/>
      <c r="I1963" s="172"/>
      <c r="J1963" s="173"/>
    </row>
    <row r="1964" spans="1:10" x14ac:dyDescent="0.25">
      <c r="A1964" s="106"/>
      <c r="B1964" s="107"/>
      <c r="D1964" s="151"/>
      <c r="E1964" s="142"/>
      <c r="F1964" s="176"/>
      <c r="G1964" s="176"/>
      <c r="H1964" s="176"/>
      <c r="I1964" s="172"/>
      <c r="J1964" s="173"/>
    </row>
    <row r="1965" spans="1:10" x14ac:dyDescent="0.25">
      <c r="A1965" s="106"/>
      <c r="B1965" s="107"/>
      <c r="D1965" s="151"/>
      <c r="E1965" s="142"/>
      <c r="F1965" s="176"/>
      <c r="G1965" s="176"/>
      <c r="H1965" s="176"/>
      <c r="I1965" s="172"/>
      <c r="J1965" s="173"/>
    </row>
    <row r="1966" spans="1:10" x14ac:dyDescent="0.25">
      <c r="A1966" s="106"/>
      <c r="B1966" s="107"/>
      <c r="D1966" s="151"/>
      <c r="E1966" s="142"/>
      <c r="F1966" s="176"/>
      <c r="G1966" s="176"/>
      <c r="H1966" s="176"/>
      <c r="I1966" s="172"/>
      <c r="J1966" s="173"/>
    </row>
    <row r="1967" spans="1:10" x14ac:dyDescent="0.25">
      <c r="A1967" s="106"/>
      <c r="B1967" s="107"/>
      <c r="D1967" s="151"/>
      <c r="E1967" s="142"/>
      <c r="F1967" s="176"/>
      <c r="G1967" s="176"/>
      <c r="H1967" s="176"/>
      <c r="I1967" s="172"/>
      <c r="J1967" s="173"/>
    </row>
    <row r="1968" spans="1:10" x14ac:dyDescent="0.25">
      <c r="A1968" s="106"/>
      <c r="B1968" s="107"/>
      <c r="D1968" s="151"/>
      <c r="E1968" s="142"/>
      <c r="F1968" s="176"/>
      <c r="G1968" s="176"/>
      <c r="H1968" s="176"/>
      <c r="I1968" s="172"/>
      <c r="J1968" s="173"/>
    </row>
    <row r="1969" spans="1:10" x14ac:dyDescent="0.25">
      <c r="A1969" s="106"/>
      <c r="B1969" s="107"/>
      <c r="D1969" s="151"/>
      <c r="E1969" s="142"/>
      <c r="F1969" s="176"/>
      <c r="G1969" s="176"/>
      <c r="H1969" s="176"/>
      <c r="I1969" s="172"/>
      <c r="J1969" s="173"/>
    </row>
    <row r="1970" spans="1:10" x14ac:dyDescent="0.25">
      <c r="A1970" s="106"/>
      <c r="B1970" s="107"/>
      <c r="D1970" s="151"/>
      <c r="E1970" s="142"/>
      <c r="F1970" s="176"/>
      <c r="G1970" s="176"/>
      <c r="H1970" s="176"/>
      <c r="I1970" s="172"/>
      <c r="J1970" s="173"/>
    </row>
    <row r="1971" spans="1:10" x14ac:dyDescent="0.25">
      <c r="A1971" s="106"/>
      <c r="B1971" s="107"/>
      <c r="D1971" s="151"/>
      <c r="E1971" s="142"/>
      <c r="F1971" s="176"/>
      <c r="G1971" s="176"/>
      <c r="H1971" s="176"/>
      <c r="I1971" s="172"/>
      <c r="J1971" s="173"/>
    </row>
    <row r="1972" spans="1:10" x14ac:dyDescent="0.25">
      <c r="A1972" s="106"/>
      <c r="B1972" s="107"/>
      <c r="D1972" s="151"/>
      <c r="E1972" s="142"/>
      <c r="F1972" s="176"/>
      <c r="G1972" s="176"/>
      <c r="H1972" s="176"/>
      <c r="I1972" s="172"/>
      <c r="J1972" s="173"/>
    </row>
    <row r="1973" spans="1:10" x14ac:dyDescent="0.25">
      <c r="A1973" s="106"/>
      <c r="B1973" s="107"/>
      <c r="D1973" s="151"/>
      <c r="E1973" s="142"/>
      <c r="F1973" s="176"/>
      <c r="G1973" s="176"/>
      <c r="H1973" s="176"/>
      <c r="I1973" s="172"/>
      <c r="J1973" s="173"/>
    </row>
    <row r="1974" spans="1:10" x14ac:dyDescent="0.25">
      <c r="A1974" s="106"/>
      <c r="B1974" s="107"/>
      <c r="D1974" s="151"/>
      <c r="E1974" s="142"/>
      <c r="F1974" s="176"/>
      <c r="G1974" s="176"/>
      <c r="H1974" s="176"/>
      <c r="I1974" s="172"/>
      <c r="J1974" s="173"/>
    </row>
    <row r="1975" spans="1:10" x14ac:dyDescent="0.25">
      <c r="A1975" s="106"/>
      <c r="B1975" s="107"/>
      <c r="D1975" s="151"/>
      <c r="E1975" s="142"/>
      <c r="F1975" s="176"/>
      <c r="G1975" s="176"/>
      <c r="H1975" s="176"/>
      <c r="I1975" s="172"/>
      <c r="J1975" s="173"/>
    </row>
    <row r="1976" spans="1:10" x14ac:dyDescent="0.25">
      <c r="A1976" s="106"/>
      <c r="B1976" s="107"/>
      <c r="D1976" s="151"/>
      <c r="E1976" s="142"/>
      <c r="F1976" s="176"/>
      <c r="G1976" s="176"/>
      <c r="H1976" s="176"/>
      <c r="I1976" s="172"/>
      <c r="J1976" s="173"/>
    </row>
    <row r="1977" spans="1:10" x14ac:dyDescent="0.25">
      <c r="A1977" s="106"/>
      <c r="B1977" s="107"/>
      <c r="D1977" s="151"/>
      <c r="E1977" s="142"/>
      <c r="F1977" s="176"/>
      <c r="G1977" s="176"/>
      <c r="H1977" s="176"/>
      <c r="I1977" s="172"/>
      <c r="J1977" s="173"/>
    </row>
    <row r="1978" spans="1:10" x14ac:dyDescent="0.25">
      <c r="A1978" s="106"/>
      <c r="B1978" s="107"/>
      <c r="D1978" s="151"/>
      <c r="E1978" s="142"/>
      <c r="F1978" s="176"/>
      <c r="G1978" s="176"/>
      <c r="H1978" s="176"/>
      <c r="I1978" s="172"/>
      <c r="J1978" s="173"/>
    </row>
    <row r="1979" spans="1:10" x14ac:dyDescent="0.25">
      <c r="A1979" s="106"/>
      <c r="B1979" s="107"/>
      <c r="D1979" s="151"/>
      <c r="E1979" s="142"/>
      <c r="F1979" s="176"/>
      <c r="G1979" s="176"/>
      <c r="H1979" s="176"/>
      <c r="I1979" s="172"/>
      <c r="J1979" s="173"/>
    </row>
    <row r="1980" spans="1:10" x14ac:dyDescent="0.25">
      <c r="A1980" s="106"/>
      <c r="B1980" s="107"/>
      <c r="D1980" s="151"/>
      <c r="E1980" s="142"/>
      <c r="F1980" s="176"/>
      <c r="G1980" s="176"/>
      <c r="H1980" s="176"/>
      <c r="I1980" s="172"/>
      <c r="J1980" s="173"/>
    </row>
    <row r="1981" spans="1:10" x14ac:dyDescent="0.25">
      <c r="A1981" s="106"/>
      <c r="B1981" s="107"/>
      <c r="D1981" s="151"/>
      <c r="E1981" s="142"/>
      <c r="F1981" s="176"/>
      <c r="G1981" s="176"/>
      <c r="H1981" s="176"/>
      <c r="I1981" s="172"/>
      <c r="J1981" s="173"/>
    </row>
    <row r="1982" spans="1:10" x14ac:dyDescent="0.25">
      <c r="A1982" s="106"/>
      <c r="B1982" s="107"/>
      <c r="D1982" s="151"/>
      <c r="E1982" s="142"/>
      <c r="F1982" s="176"/>
      <c r="G1982" s="176"/>
      <c r="H1982" s="176"/>
      <c r="I1982" s="172"/>
      <c r="J1982" s="173"/>
    </row>
    <row r="1983" spans="1:10" x14ac:dyDescent="0.25">
      <c r="A1983" s="106"/>
      <c r="B1983" s="107"/>
      <c r="D1983" s="151"/>
      <c r="E1983" s="142"/>
      <c r="F1983" s="176"/>
      <c r="G1983" s="176"/>
      <c r="H1983" s="176"/>
      <c r="I1983" s="172"/>
      <c r="J1983" s="173"/>
    </row>
    <row r="1984" spans="1:10" x14ac:dyDescent="0.25">
      <c r="A1984" s="106"/>
      <c r="B1984" s="107"/>
      <c r="D1984" s="151"/>
      <c r="E1984" s="142"/>
      <c r="F1984" s="176"/>
      <c r="G1984" s="176"/>
      <c r="H1984" s="176"/>
      <c r="I1984" s="172"/>
      <c r="J1984" s="173"/>
    </row>
    <row r="1985" spans="1:10" x14ac:dyDescent="0.25">
      <c r="A1985" s="106"/>
      <c r="B1985" s="107"/>
      <c r="D1985" s="151"/>
      <c r="E1985" s="142"/>
      <c r="F1985" s="176"/>
      <c r="G1985" s="176"/>
      <c r="H1985" s="176"/>
      <c r="I1985" s="172"/>
      <c r="J1985" s="173"/>
    </row>
    <row r="1986" spans="1:10" x14ac:dyDescent="0.25">
      <c r="A1986" s="106"/>
      <c r="B1986" s="107"/>
      <c r="D1986" s="151"/>
      <c r="E1986" s="142"/>
      <c r="F1986" s="176"/>
      <c r="G1986" s="176"/>
      <c r="H1986" s="176"/>
      <c r="I1986" s="172"/>
      <c r="J1986" s="173"/>
    </row>
    <row r="1987" spans="1:10" x14ac:dyDescent="0.25">
      <c r="A1987" s="106"/>
      <c r="B1987" s="107"/>
      <c r="D1987" s="151"/>
      <c r="E1987" s="142"/>
      <c r="F1987" s="176"/>
      <c r="G1987" s="176"/>
      <c r="H1987" s="176"/>
      <c r="I1987" s="172"/>
      <c r="J1987" s="173"/>
    </row>
    <row r="1988" spans="1:10" x14ac:dyDescent="0.25">
      <c r="A1988" s="106"/>
      <c r="B1988" s="107"/>
      <c r="D1988" s="151"/>
      <c r="E1988" s="142"/>
      <c r="F1988" s="176"/>
      <c r="G1988" s="176"/>
      <c r="H1988" s="176"/>
      <c r="I1988" s="172"/>
      <c r="J1988" s="173"/>
    </row>
    <row r="1989" spans="1:10" x14ac:dyDescent="0.25">
      <c r="A1989" s="106"/>
      <c r="B1989" s="107"/>
      <c r="D1989" s="151"/>
      <c r="E1989" s="142"/>
      <c r="F1989" s="176"/>
      <c r="G1989" s="176"/>
      <c r="H1989" s="176"/>
      <c r="I1989" s="172"/>
      <c r="J1989" s="173"/>
    </row>
    <row r="1990" spans="1:10" x14ac:dyDescent="0.25">
      <c r="A1990" s="106"/>
      <c r="B1990" s="107"/>
      <c r="D1990" s="151"/>
      <c r="E1990" s="142"/>
      <c r="F1990" s="176"/>
      <c r="G1990" s="176"/>
      <c r="H1990" s="176"/>
      <c r="I1990" s="172"/>
      <c r="J1990" s="173"/>
    </row>
    <row r="1991" spans="1:10" x14ac:dyDescent="0.25">
      <c r="A1991" s="106"/>
      <c r="B1991" s="107"/>
      <c r="D1991" s="151"/>
      <c r="E1991" s="142"/>
      <c r="F1991" s="176"/>
      <c r="G1991" s="176"/>
      <c r="H1991" s="176"/>
      <c r="I1991" s="172"/>
      <c r="J1991" s="173"/>
    </row>
    <row r="1992" spans="1:10" x14ac:dyDescent="0.25">
      <c r="A1992" s="106"/>
      <c r="B1992" s="107"/>
      <c r="D1992" s="151"/>
      <c r="E1992" s="142"/>
      <c r="F1992" s="176"/>
      <c r="G1992" s="176"/>
      <c r="H1992" s="176"/>
      <c r="I1992" s="172"/>
      <c r="J1992" s="173"/>
    </row>
    <row r="1993" spans="1:10" x14ac:dyDescent="0.25">
      <c r="A1993" s="106"/>
      <c r="B1993" s="107"/>
      <c r="D1993" s="151"/>
      <c r="E1993" s="142"/>
      <c r="F1993" s="176"/>
      <c r="G1993" s="176"/>
      <c r="H1993" s="176"/>
      <c r="I1993" s="172"/>
      <c r="J1993" s="173"/>
    </row>
    <row r="1994" spans="1:10" x14ac:dyDescent="0.25">
      <c r="A1994" s="106"/>
      <c r="B1994" s="107"/>
      <c r="D1994" s="151"/>
      <c r="E1994" s="142"/>
      <c r="F1994" s="176"/>
      <c r="G1994" s="176"/>
      <c r="H1994" s="176"/>
      <c r="I1994" s="172"/>
      <c r="J1994" s="173"/>
    </row>
    <row r="1995" spans="1:10" x14ac:dyDescent="0.25">
      <c r="A1995" s="106"/>
      <c r="B1995" s="107"/>
      <c r="D1995" s="151"/>
      <c r="E1995" s="142"/>
      <c r="F1995" s="176"/>
      <c r="G1995" s="176"/>
      <c r="H1995" s="176"/>
      <c r="I1995" s="172"/>
      <c r="J1995" s="173"/>
    </row>
    <row r="1996" spans="1:10" x14ac:dyDescent="0.25">
      <c r="A1996" s="106"/>
      <c r="B1996" s="107"/>
      <c r="D1996" s="151"/>
      <c r="E1996" s="142"/>
      <c r="F1996" s="176"/>
      <c r="G1996" s="176"/>
      <c r="H1996" s="176"/>
      <c r="I1996" s="172"/>
      <c r="J1996" s="173"/>
    </row>
    <row r="1997" spans="1:10" x14ac:dyDescent="0.25">
      <c r="A1997" s="106"/>
      <c r="B1997" s="107"/>
      <c r="D1997" s="151"/>
      <c r="E1997" s="142"/>
      <c r="F1997" s="176"/>
      <c r="G1997" s="176"/>
      <c r="H1997" s="176"/>
      <c r="I1997" s="172"/>
      <c r="J1997" s="173"/>
    </row>
    <row r="1998" spans="1:10" x14ac:dyDescent="0.25">
      <c r="A1998" s="106"/>
      <c r="B1998" s="107"/>
      <c r="D1998" s="151"/>
      <c r="E1998" s="142"/>
      <c r="F1998" s="176"/>
      <c r="G1998" s="176"/>
      <c r="H1998" s="176"/>
      <c r="I1998" s="172"/>
      <c r="J1998" s="173"/>
    </row>
    <row r="1999" spans="1:10" x14ac:dyDescent="0.25">
      <c r="A1999" s="106"/>
      <c r="B1999" s="107"/>
      <c r="D1999" s="151"/>
      <c r="E1999" s="142"/>
      <c r="F1999" s="176"/>
      <c r="G1999" s="176"/>
      <c r="H1999" s="176"/>
      <c r="I1999" s="172"/>
      <c r="J1999" s="173"/>
    </row>
    <row r="2000" spans="1:10" x14ac:dyDescent="0.25">
      <c r="A2000" s="106"/>
      <c r="B2000" s="107"/>
      <c r="D2000" s="151"/>
      <c r="E2000" s="142"/>
      <c r="F2000" s="176"/>
      <c r="G2000" s="176"/>
      <c r="H2000" s="176"/>
      <c r="I2000" s="172"/>
      <c r="J2000" s="173"/>
    </row>
    <row r="2001" spans="1:10" x14ac:dyDescent="0.25">
      <c r="A2001" s="106"/>
      <c r="B2001" s="107"/>
      <c r="D2001" s="151"/>
      <c r="E2001" s="142"/>
      <c r="F2001" s="176"/>
      <c r="G2001" s="176"/>
      <c r="H2001" s="176"/>
      <c r="I2001" s="172"/>
      <c r="J2001" s="173"/>
    </row>
    <row r="2002" spans="1:10" x14ac:dyDescent="0.25">
      <c r="A2002" s="106"/>
      <c r="B2002" s="107"/>
      <c r="D2002" s="151"/>
      <c r="E2002" s="142"/>
      <c r="F2002" s="176"/>
      <c r="G2002" s="176"/>
      <c r="H2002" s="176"/>
      <c r="I2002" s="172"/>
      <c r="J2002" s="173"/>
    </row>
    <row r="2003" spans="1:10" x14ac:dyDescent="0.25">
      <c r="A2003" s="106"/>
      <c r="B2003" s="107"/>
      <c r="D2003" s="151"/>
      <c r="E2003" s="142"/>
      <c r="F2003" s="176"/>
      <c r="G2003" s="176"/>
      <c r="H2003" s="176"/>
      <c r="I2003" s="172"/>
      <c r="J2003" s="173"/>
    </row>
    <row r="2004" spans="1:10" x14ac:dyDescent="0.25">
      <c r="A2004" s="106"/>
      <c r="B2004" s="107"/>
      <c r="D2004" s="151"/>
      <c r="E2004" s="142"/>
      <c r="F2004" s="176"/>
      <c r="G2004" s="176"/>
      <c r="H2004" s="176"/>
      <c r="I2004" s="172"/>
      <c r="J2004" s="173"/>
    </row>
    <row r="2005" spans="1:10" x14ac:dyDescent="0.25">
      <c r="A2005" s="106"/>
      <c r="B2005" s="107"/>
      <c r="D2005" s="151"/>
      <c r="E2005" s="142"/>
      <c r="F2005" s="176"/>
      <c r="G2005" s="176"/>
      <c r="H2005" s="176"/>
      <c r="I2005" s="172"/>
      <c r="J2005" s="173"/>
    </row>
    <row r="2006" spans="1:10" x14ac:dyDescent="0.25">
      <c r="A2006" s="106"/>
      <c r="B2006" s="107"/>
      <c r="D2006" s="151"/>
      <c r="E2006" s="142"/>
      <c r="F2006" s="176"/>
      <c r="G2006" s="176"/>
      <c r="H2006" s="176"/>
      <c r="I2006" s="172"/>
      <c r="J2006" s="173"/>
    </row>
    <row r="2007" spans="1:10" x14ac:dyDescent="0.25">
      <c r="A2007" s="106"/>
      <c r="B2007" s="107"/>
      <c r="D2007" s="151"/>
      <c r="E2007" s="142"/>
      <c r="F2007" s="176"/>
      <c r="G2007" s="176"/>
      <c r="H2007" s="176"/>
      <c r="I2007" s="172"/>
      <c r="J2007" s="173"/>
    </row>
    <row r="2008" spans="1:10" x14ac:dyDescent="0.25">
      <c r="A2008" s="106"/>
      <c r="B2008" s="107"/>
      <c r="D2008" s="151"/>
      <c r="E2008" s="142"/>
      <c r="F2008" s="176"/>
      <c r="G2008" s="176"/>
      <c r="H2008" s="176"/>
      <c r="I2008" s="172"/>
      <c r="J2008" s="173"/>
    </row>
    <row r="2009" spans="1:10" x14ac:dyDescent="0.25">
      <c r="A2009" s="106"/>
      <c r="B2009" s="107"/>
      <c r="D2009" s="151"/>
      <c r="E2009" s="142"/>
      <c r="F2009" s="176"/>
      <c r="G2009" s="176"/>
      <c r="H2009" s="176"/>
      <c r="I2009" s="172"/>
      <c r="J2009" s="173"/>
    </row>
    <row r="2010" spans="1:10" x14ac:dyDescent="0.25">
      <c r="A2010" s="106"/>
      <c r="B2010" s="107"/>
      <c r="D2010" s="151"/>
      <c r="E2010" s="142"/>
      <c r="F2010" s="176"/>
      <c r="G2010" s="176"/>
      <c r="H2010" s="176"/>
      <c r="I2010" s="172"/>
      <c r="J2010" s="173"/>
    </row>
    <row r="2011" spans="1:10" x14ac:dyDescent="0.25">
      <c r="A2011" s="106"/>
      <c r="B2011" s="107"/>
      <c r="D2011" s="151"/>
      <c r="E2011" s="142"/>
      <c r="F2011" s="176"/>
      <c r="G2011" s="176"/>
      <c r="H2011" s="176"/>
      <c r="I2011" s="172"/>
      <c r="J2011" s="173"/>
    </row>
    <row r="2012" spans="1:10" x14ac:dyDescent="0.25">
      <c r="A2012" s="106"/>
      <c r="B2012" s="107"/>
      <c r="D2012" s="151"/>
      <c r="E2012" s="142"/>
      <c r="F2012" s="176"/>
      <c r="G2012" s="176"/>
      <c r="H2012" s="176"/>
      <c r="I2012" s="172"/>
      <c r="J2012" s="173"/>
    </row>
    <row r="2013" spans="1:10" x14ac:dyDescent="0.25">
      <c r="A2013" s="106"/>
      <c r="B2013" s="107"/>
      <c r="D2013" s="151"/>
      <c r="E2013" s="142"/>
      <c r="F2013" s="176"/>
      <c r="G2013" s="176"/>
      <c r="H2013" s="176"/>
      <c r="I2013" s="172"/>
      <c r="J2013" s="173"/>
    </row>
    <row r="2014" spans="1:10" x14ac:dyDescent="0.25">
      <c r="A2014" s="106"/>
      <c r="B2014" s="107"/>
      <c r="D2014" s="151"/>
      <c r="E2014" s="142"/>
      <c r="F2014" s="176"/>
      <c r="G2014" s="176"/>
      <c r="H2014" s="176"/>
      <c r="I2014" s="172"/>
      <c r="J2014" s="173"/>
    </row>
    <row r="2015" spans="1:10" x14ac:dyDescent="0.25">
      <c r="A2015" s="106"/>
      <c r="B2015" s="107"/>
      <c r="D2015" s="151"/>
      <c r="E2015" s="142"/>
      <c r="F2015" s="176"/>
      <c r="G2015" s="176"/>
      <c r="H2015" s="176"/>
      <c r="I2015" s="172"/>
      <c r="J2015" s="173"/>
    </row>
    <row r="2016" spans="1:10" x14ac:dyDescent="0.25">
      <c r="A2016" s="106"/>
      <c r="B2016" s="107"/>
      <c r="D2016" s="151"/>
      <c r="E2016" s="142"/>
      <c r="F2016" s="176"/>
      <c r="G2016" s="176"/>
      <c r="H2016" s="176"/>
      <c r="I2016" s="172"/>
      <c r="J2016" s="173"/>
    </row>
    <row r="2017" spans="1:10" x14ac:dyDescent="0.25">
      <c r="A2017" s="106"/>
      <c r="B2017" s="107"/>
      <c r="D2017" s="151"/>
      <c r="E2017" s="142"/>
      <c r="F2017" s="176"/>
      <c r="G2017" s="176"/>
      <c r="H2017" s="176"/>
      <c r="I2017" s="172"/>
      <c r="J2017" s="173"/>
    </row>
    <row r="2018" spans="1:10" x14ac:dyDescent="0.25">
      <c r="A2018" s="106"/>
      <c r="B2018" s="107"/>
      <c r="D2018" s="151"/>
      <c r="E2018" s="142"/>
      <c r="F2018" s="176"/>
      <c r="G2018" s="176"/>
      <c r="H2018" s="176"/>
      <c r="I2018" s="172"/>
      <c r="J2018" s="173"/>
    </row>
    <row r="2019" spans="1:10" x14ac:dyDescent="0.25">
      <c r="A2019" s="106"/>
      <c r="B2019" s="107"/>
      <c r="D2019" s="151"/>
      <c r="E2019" s="142"/>
      <c r="F2019" s="176"/>
      <c r="G2019" s="176"/>
      <c r="H2019" s="176"/>
      <c r="I2019" s="172"/>
      <c r="J2019" s="173"/>
    </row>
    <row r="2020" spans="1:10" x14ac:dyDescent="0.25">
      <c r="A2020" s="106"/>
      <c r="B2020" s="107"/>
      <c r="D2020" s="151"/>
      <c r="E2020" s="142"/>
      <c r="F2020" s="176"/>
      <c r="G2020" s="176"/>
      <c r="H2020" s="176"/>
      <c r="I2020" s="172"/>
      <c r="J2020" s="173"/>
    </row>
    <row r="2021" spans="1:10" x14ac:dyDescent="0.25">
      <c r="A2021" s="106"/>
      <c r="B2021" s="107"/>
      <c r="D2021" s="151"/>
      <c r="E2021" s="142"/>
      <c r="F2021" s="176"/>
      <c r="G2021" s="176"/>
      <c r="H2021" s="176"/>
      <c r="I2021" s="176"/>
      <c r="J2021" s="173"/>
    </row>
    <row r="2022" spans="1:10" x14ac:dyDescent="0.25">
      <c r="A2022" s="106"/>
      <c r="B2022" s="107"/>
      <c r="D2022" s="151"/>
      <c r="E2022" s="142"/>
      <c r="F2022" s="176"/>
      <c r="G2022" s="176"/>
      <c r="H2022" s="176"/>
      <c r="I2022" s="176"/>
      <c r="J2022" s="173"/>
    </row>
    <row r="2023" spans="1:10" x14ac:dyDescent="0.25">
      <c r="A2023" s="106"/>
      <c r="B2023" s="107"/>
      <c r="D2023" s="151"/>
      <c r="E2023" s="142"/>
      <c r="F2023" s="176"/>
      <c r="G2023" s="176"/>
      <c r="H2023" s="176"/>
      <c r="I2023" s="176"/>
      <c r="J2023" s="173"/>
    </row>
    <row r="2024" spans="1:10" x14ac:dyDescent="0.25">
      <c r="A2024" s="106"/>
      <c r="B2024" s="107"/>
      <c r="D2024" s="151"/>
      <c r="E2024" s="142"/>
      <c r="F2024" s="176"/>
      <c r="G2024" s="176"/>
      <c r="H2024" s="176"/>
      <c r="I2024" s="176"/>
      <c r="J2024" s="173"/>
    </row>
    <row r="2025" spans="1:10" x14ac:dyDescent="0.25">
      <c r="A2025" s="106"/>
      <c r="B2025" s="107"/>
      <c r="D2025" s="151"/>
      <c r="E2025" s="142"/>
      <c r="F2025" s="176"/>
      <c r="G2025" s="176"/>
      <c r="H2025" s="176"/>
      <c r="I2025" s="172"/>
      <c r="J2025" s="173"/>
    </row>
    <row r="2026" spans="1:10" x14ac:dyDescent="0.25">
      <c r="A2026" s="106"/>
      <c r="B2026" s="107"/>
      <c r="D2026" s="151"/>
      <c r="E2026" s="142"/>
      <c r="F2026" s="176"/>
      <c r="G2026" s="176"/>
      <c r="H2026" s="176"/>
      <c r="I2026" s="172"/>
      <c r="J2026" s="173"/>
    </row>
    <row r="2027" spans="1:10" x14ac:dyDescent="0.25">
      <c r="A2027" s="106"/>
      <c r="B2027" s="107"/>
      <c r="D2027" s="151"/>
      <c r="E2027" s="142"/>
      <c r="F2027" s="176"/>
      <c r="G2027" s="176"/>
      <c r="H2027" s="176"/>
      <c r="I2027" s="172"/>
      <c r="J2027" s="173"/>
    </row>
    <row r="2028" spans="1:10" x14ac:dyDescent="0.25">
      <c r="A2028" s="106"/>
      <c r="B2028" s="107"/>
      <c r="D2028" s="151"/>
      <c r="E2028" s="142"/>
      <c r="F2028" s="176"/>
      <c r="G2028" s="176"/>
      <c r="H2028" s="176"/>
      <c r="I2028" s="172"/>
      <c r="J2028" s="173"/>
    </row>
    <row r="2029" spans="1:10" x14ac:dyDescent="0.25">
      <c r="A2029" s="106"/>
      <c r="B2029" s="107"/>
      <c r="D2029" s="151"/>
      <c r="E2029" s="142"/>
      <c r="F2029" s="176"/>
      <c r="G2029" s="176"/>
      <c r="H2029" s="176"/>
      <c r="I2029" s="172"/>
      <c r="J2029" s="173"/>
    </row>
    <row r="2030" spans="1:10" x14ac:dyDescent="0.25">
      <c r="A2030" s="106"/>
      <c r="B2030" s="107"/>
      <c r="D2030" s="151"/>
      <c r="E2030" s="142"/>
      <c r="F2030" s="176"/>
      <c r="G2030" s="176"/>
      <c r="H2030" s="176"/>
      <c r="I2030" s="172"/>
      <c r="J2030" s="173"/>
    </row>
    <row r="2031" spans="1:10" x14ac:dyDescent="0.25">
      <c r="A2031" s="106"/>
      <c r="B2031" s="107"/>
      <c r="D2031" s="151"/>
      <c r="E2031" s="142"/>
      <c r="F2031" s="176"/>
      <c r="G2031" s="176"/>
      <c r="H2031" s="176"/>
      <c r="I2031" s="172"/>
      <c r="J2031" s="173"/>
    </row>
    <row r="2032" spans="1:10" x14ac:dyDescent="0.25">
      <c r="A2032" s="106"/>
      <c r="B2032" s="107"/>
      <c r="D2032" s="151"/>
      <c r="E2032" s="142"/>
      <c r="F2032" s="176"/>
      <c r="G2032" s="176"/>
      <c r="H2032" s="176"/>
      <c r="I2032" s="172"/>
      <c r="J2032" s="173"/>
    </row>
    <row r="2033" spans="1:10" x14ac:dyDescent="0.25">
      <c r="A2033" s="106"/>
      <c r="B2033" s="107"/>
      <c r="D2033" s="151"/>
      <c r="E2033" s="142"/>
      <c r="F2033" s="176"/>
      <c r="G2033" s="176"/>
      <c r="H2033" s="176"/>
      <c r="I2033" s="172"/>
      <c r="J2033" s="173"/>
    </row>
    <row r="2034" spans="1:10" x14ac:dyDescent="0.25">
      <c r="A2034" s="106"/>
      <c r="B2034" s="107"/>
      <c r="D2034" s="151"/>
      <c r="E2034" s="142"/>
      <c r="F2034" s="176"/>
      <c r="G2034" s="176"/>
      <c r="H2034" s="176"/>
      <c r="I2034" s="172"/>
      <c r="J2034" s="173"/>
    </row>
    <row r="2035" spans="1:10" x14ac:dyDescent="0.25">
      <c r="A2035" s="106"/>
      <c r="B2035" s="107"/>
      <c r="D2035" s="151"/>
      <c r="E2035" s="142"/>
      <c r="F2035" s="176"/>
      <c r="G2035" s="176"/>
      <c r="H2035" s="176"/>
      <c r="I2035" s="172"/>
      <c r="J2035" s="173"/>
    </row>
    <row r="2036" spans="1:10" x14ac:dyDescent="0.25">
      <c r="A2036" s="106"/>
      <c r="B2036" s="107"/>
      <c r="D2036" s="151"/>
      <c r="E2036" s="142"/>
      <c r="F2036" s="176"/>
      <c r="G2036" s="176"/>
      <c r="H2036" s="176"/>
      <c r="I2036" s="172"/>
      <c r="J2036" s="173"/>
    </row>
    <row r="2037" spans="1:10" x14ac:dyDescent="0.25">
      <c r="A2037" s="106"/>
      <c r="B2037" s="107"/>
      <c r="D2037" s="151"/>
      <c r="E2037" s="142"/>
      <c r="F2037" s="176"/>
      <c r="G2037" s="176"/>
      <c r="H2037" s="176"/>
      <c r="I2037" s="172"/>
      <c r="J2037" s="173"/>
    </row>
    <row r="2038" spans="1:10" x14ac:dyDescent="0.25">
      <c r="A2038" s="106"/>
      <c r="B2038" s="107"/>
      <c r="D2038" s="151"/>
      <c r="E2038" s="142"/>
      <c r="F2038" s="176"/>
      <c r="G2038" s="176"/>
      <c r="H2038" s="176"/>
      <c r="I2038" s="172"/>
      <c r="J2038" s="173"/>
    </row>
    <row r="2039" spans="1:10" x14ac:dyDescent="0.25">
      <c r="A2039" s="106"/>
      <c r="B2039" s="107"/>
      <c r="D2039" s="151"/>
      <c r="E2039" s="142"/>
      <c r="F2039" s="176"/>
      <c r="G2039" s="176"/>
      <c r="H2039" s="176"/>
      <c r="I2039" s="172"/>
      <c r="J2039" s="173"/>
    </row>
    <row r="2040" spans="1:10" x14ac:dyDescent="0.25">
      <c r="A2040" s="106"/>
      <c r="B2040" s="107"/>
      <c r="D2040" s="151"/>
      <c r="E2040" s="142"/>
      <c r="F2040" s="176"/>
      <c r="G2040" s="176"/>
      <c r="H2040" s="176"/>
      <c r="I2040" s="172"/>
      <c r="J2040" s="173"/>
    </row>
    <row r="2041" spans="1:10" x14ac:dyDescent="0.25">
      <c r="A2041" s="106"/>
      <c r="B2041" s="107"/>
      <c r="D2041" s="151"/>
      <c r="E2041" s="142"/>
      <c r="F2041" s="176"/>
      <c r="G2041" s="176"/>
      <c r="H2041" s="176"/>
      <c r="I2041" s="172"/>
      <c r="J2041" s="173"/>
    </row>
    <row r="2042" spans="1:10" x14ac:dyDescent="0.25">
      <c r="A2042" s="106"/>
      <c r="B2042" s="107"/>
      <c r="D2042" s="151"/>
      <c r="E2042" s="142"/>
      <c r="F2042" s="176"/>
      <c r="G2042" s="176"/>
      <c r="H2042" s="176"/>
      <c r="I2042" s="172"/>
      <c r="J2042" s="173"/>
    </row>
    <row r="2043" spans="1:10" x14ac:dyDescent="0.25">
      <c r="A2043" s="106"/>
      <c r="B2043" s="107"/>
      <c r="D2043" s="151"/>
      <c r="E2043" s="142"/>
      <c r="F2043" s="176"/>
      <c r="G2043" s="176"/>
      <c r="H2043" s="176"/>
      <c r="I2043" s="172"/>
      <c r="J2043" s="173"/>
    </row>
    <row r="2044" spans="1:10" x14ac:dyDescent="0.25">
      <c r="A2044" s="106"/>
      <c r="B2044" s="107"/>
      <c r="D2044" s="151"/>
      <c r="E2044" s="142"/>
      <c r="F2044" s="176"/>
      <c r="G2044" s="176"/>
      <c r="H2044" s="176"/>
      <c r="I2044" s="172"/>
      <c r="J2044" s="173"/>
    </row>
    <row r="2045" spans="1:10" x14ac:dyDescent="0.25">
      <c r="A2045" s="106"/>
      <c r="B2045" s="107"/>
      <c r="D2045" s="151"/>
      <c r="E2045" s="142"/>
      <c r="F2045" s="176"/>
      <c r="G2045" s="176"/>
      <c r="H2045" s="176"/>
      <c r="I2045" s="172"/>
      <c r="J2045" s="173"/>
    </row>
    <row r="2046" spans="1:10" x14ac:dyDescent="0.25">
      <c r="A2046" s="106"/>
      <c r="B2046" s="107"/>
      <c r="D2046" s="151"/>
      <c r="E2046" s="142"/>
      <c r="F2046" s="176"/>
      <c r="G2046" s="176"/>
      <c r="H2046" s="176"/>
      <c r="I2046" s="172"/>
      <c r="J2046" s="173"/>
    </row>
    <row r="2047" spans="1:10" x14ac:dyDescent="0.25">
      <c r="A2047" s="106"/>
      <c r="B2047" s="107"/>
      <c r="D2047" s="151"/>
      <c r="E2047" s="142"/>
      <c r="F2047" s="176"/>
      <c r="G2047" s="176"/>
      <c r="H2047" s="176"/>
      <c r="I2047" s="172"/>
      <c r="J2047" s="173"/>
    </row>
    <row r="2048" spans="1:10" x14ac:dyDescent="0.25">
      <c r="A2048" s="106"/>
      <c r="B2048" s="107"/>
      <c r="D2048" s="151"/>
      <c r="E2048" s="142"/>
      <c r="F2048" s="176"/>
      <c r="G2048" s="176"/>
      <c r="H2048" s="176"/>
      <c r="I2048" s="172"/>
      <c r="J2048" s="173"/>
    </row>
    <row r="2049" spans="1:10" x14ac:dyDescent="0.25">
      <c r="A2049" s="106"/>
      <c r="B2049" s="107"/>
      <c r="D2049" s="151"/>
      <c r="E2049" s="142"/>
      <c r="F2049" s="176"/>
      <c r="G2049" s="176"/>
      <c r="H2049" s="176"/>
      <c r="I2049" s="172"/>
      <c r="J2049" s="173"/>
    </row>
    <row r="2050" spans="1:10" x14ac:dyDescent="0.25">
      <c r="A2050" s="106"/>
      <c r="B2050" s="107"/>
      <c r="D2050" s="151"/>
      <c r="E2050" s="142"/>
      <c r="F2050" s="176"/>
      <c r="G2050" s="176"/>
      <c r="H2050" s="176"/>
      <c r="I2050" s="172"/>
      <c r="J2050" s="173"/>
    </row>
    <row r="2051" spans="1:10" x14ac:dyDescent="0.25">
      <c r="A2051" s="106"/>
      <c r="B2051" s="107"/>
      <c r="D2051" s="151"/>
      <c r="E2051" s="142"/>
      <c r="F2051" s="176"/>
      <c r="G2051" s="176"/>
      <c r="H2051" s="176"/>
      <c r="I2051" s="172"/>
      <c r="J2051" s="173"/>
    </row>
    <row r="2052" spans="1:10" x14ac:dyDescent="0.25">
      <c r="A2052" s="106"/>
      <c r="B2052" s="107"/>
      <c r="D2052" s="151"/>
      <c r="E2052" s="142"/>
      <c r="F2052" s="176"/>
      <c r="G2052" s="176"/>
      <c r="H2052" s="176"/>
      <c r="I2052" s="172"/>
      <c r="J2052" s="173"/>
    </row>
    <row r="2053" spans="1:10" x14ac:dyDescent="0.25">
      <c r="A2053" s="106"/>
      <c r="B2053" s="107"/>
      <c r="D2053" s="151"/>
      <c r="E2053" s="142"/>
      <c r="F2053" s="176"/>
      <c r="G2053" s="176"/>
      <c r="H2053" s="176"/>
      <c r="I2053" s="172"/>
      <c r="J2053" s="173"/>
    </row>
    <row r="2054" spans="1:10" x14ac:dyDescent="0.25">
      <c r="A2054" s="106"/>
      <c r="B2054" s="107"/>
      <c r="D2054" s="151"/>
      <c r="E2054" s="142"/>
      <c r="F2054" s="176"/>
      <c r="G2054" s="176"/>
      <c r="H2054" s="176"/>
      <c r="I2054" s="172"/>
      <c r="J2054" s="173"/>
    </row>
    <row r="2055" spans="1:10" x14ac:dyDescent="0.25">
      <c r="A2055" s="106"/>
      <c r="B2055" s="107"/>
      <c r="D2055" s="151"/>
      <c r="E2055" s="142"/>
      <c r="F2055" s="176"/>
      <c r="G2055" s="176"/>
      <c r="H2055" s="176"/>
      <c r="I2055" s="172"/>
      <c r="J2055" s="173"/>
    </row>
    <row r="2056" spans="1:10" x14ac:dyDescent="0.25">
      <c r="A2056" s="106"/>
      <c r="B2056" s="107"/>
      <c r="D2056" s="151"/>
      <c r="E2056" s="142"/>
      <c r="F2056" s="176"/>
      <c r="G2056" s="176"/>
      <c r="H2056" s="176"/>
      <c r="I2056" s="172"/>
      <c r="J2056" s="173"/>
    </row>
    <row r="2057" spans="1:10" x14ac:dyDescent="0.25">
      <c r="A2057" s="106"/>
      <c r="B2057" s="107"/>
      <c r="D2057" s="151"/>
      <c r="E2057" s="142"/>
      <c r="F2057" s="176"/>
      <c r="G2057" s="176"/>
      <c r="H2057" s="176"/>
      <c r="I2057" s="172"/>
      <c r="J2057" s="173"/>
    </row>
    <row r="2058" spans="1:10" x14ac:dyDescent="0.25">
      <c r="A2058" s="106"/>
      <c r="B2058" s="107"/>
      <c r="D2058" s="151"/>
      <c r="E2058" s="142"/>
      <c r="F2058" s="176"/>
      <c r="G2058" s="176"/>
      <c r="H2058" s="176"/>
      <c r="I2058" s="172"/>
      <c r="J2058" s="173"/>
    </row>
    <row r="2059" spans="1:10" x14ac:dyDescent="0.25">
      <c r="A2059" s="106"/>
      <c r="B2059" s="107"/>
      <c r="D2059" s="151"/>
      <c r="E2059" s="142"/>
      <c r="F2059" s="176"/>
      <c r="G2059" s="176"/>
      <c r="H2059" s="176"/>
      <c r="I2059" s="172"/>
      <c r="J2059" s="173"/>
    </row>
    <row r="2060" spans="1:10" x14ac:dyDescent="0.25">
      <c r="A2060" s="106"/>
      <c r="B2060" s="107"/>
      <c r="D2060" s="151"/>
      <c r="E2060" s="142"/>
      <c r="F2060" s="176"/>
      <c r="G2060" s="176"/>
      <c r="H2060" s="176"/>
      <c r="I2060" s="172"/>
      <c r="J2060" s="173"/>
    </row>
    <row r="2061" spans="1:10" x14ac:dyDescent="0.25">
      <c r="A2061" s="106"/>
      <c r="B2061" s="107"/>
      <c r="D2061" s="151"/>
      <c r="E2061" s="142"/>
      <c r="F2061" s="176"/>
      <c r="G2061" s="176"/>
      <c r="H2061" s="176"/>
      <c r="I2061" s="172"/>
      <c r="J2061" s="173"/>
    </row>
    <row r="2062" spans="1:10" x14ac:dyDescent="0.25">
      <c r="A2062" s="106"/>
      <c r="B2062" s="107"/>
      <c r="D2062" s="151"/>
      <c r="E2062" s="142"/>
      <c r="F2062" s="176"/>
      <c r="G2062" s="176"/>
      <c r="H2062" s="176"/>
      <c r="I2062" s="172"/>
      <c r="J2062" s="173"/>
    </row>
    <row r="2063" spans="1:10" x14ac:dyDescent="0.25">
      <c r="A2063" s="106"/>
      <c r="B2063" s="107"/>
      <c r="D2063" s="151"/>
      <c r="E2063" s="142"/>
      <c r="F2063" s="176"/>
      <c r="G2063" s="176"/>
      <c r="H2063" s="176"/>
      <c r="I2063" s="172"/>
      <c r="J2063" s="173"/>
    </row>
    <row r="2064" spans="1:10" x14ac:dyDescent="0.25">
      <c r="A2064" s="106"/>
      <c r="B2064" s="107"/>
      <c r="D2064" s="151"/>
      <c r="E2064" s="142"/>
      <c r="F2064" s="176"/>
      <c r="G2064" s="176"/>
      <c r="H2064" s="176"/>
      <c r="I2064" s="172"/>
      <c r="J2064" s="173"/>
    </row>
    <row r="2065" spans="1:10" x14ac:dyDescent="0.25">
      <c r="A2065" s="106"/>
      <c r="B2065" s="107"/>
      <c r="D2065" s="151"/>
      <c r="E2065" s="142"/>
      <c r="F2065" s="176"/>
      <c r="G2065" s="176"/>
      <c r="H2065" s="176"/>
      <c r="I2065" s="172"/>
      <c r="J2065" s="173"/>
    </row>
    <row r="2066" spans="1:10" x14ac:dyDescent="0.25">
      <c r="A2066" s="106"/>
      <c r="B2066" s="107"/>
      <c r="D2066" s="151"/>
      <c r="E2066" s="142"/>
      <c r="F2066" s="176"/>
      <c r="G2066" s="176"/>
      <c r="H2066" s="176"/>
      <c r="I2066" s="172"/>
      <c r="J2066" s="173"/>
    </row>
    <row r="2067" spans="1:10" x14ac:dyDescent="0.25">
      <c r="A2067" s="106"/>
      <c r="B2067" s="107"/>
      <c r="D2067" s="151"/>
      <c r="E2067" s="142"/>
      <c r="F2067" s="176"/>
      <c r="G2067" s="176"/>
      <c r="H2067" s="176"/>
      <c r="I2067" s="172"/>
      <c r="J2067" s="173"/>
    </row>
    <row r="2068" spans="1:10" x14ac:dyDescent="0.25">
      <c r="A2068" s="106"/>
      <c r="B2068" s="107"/>
      <c r="D2068" s="151"/>
      <c r="E2068" s="142"/>
      <c r="F2068" s="176"/>
      <c r="G2068" s="176"/>
      <c r="H2068" s="176"/>
      <c r="I2068" s="172"/>
      <c r="J2068" s="173"/>
    </row>
    <row r="2069" spans="1:10" x14ac:dyDescent="0.25">
      <c r="A2069" s="106"/>
      <c r="B2069" s="107"/>
      <c r="D2069" s="151"/>
      <c r="E2069" s="142"/>
      <c r="F2069" s="176"/>
      <c r="G2069" s="176"/>
      <c r="H2069" s="176"/>
      <c r="I2069" s="172"/>
      <c r="J2069" s="173"/>
    </row>
    <row r="2070" spans="1:10" x14ac:dyDescent="0.25">
      <c r="A2070" s="106"/>
      <c r="B2070" s="107"/>
      <c r="D2070" s="151"/>
      <c r="E2070" s="142"/>
      <c r="F2070" s="176"/>
      <c r="G2070" s="176"/>
      <c r="H2070" s="176"/>
      <c r="I2070" s="172"/>
      <c r="J2070" s="173"/>
    </row>
    <row r="2071" spans="1:10" x14ac:dyDescent="0.25">
      <c r="A2071" s="106"/>
      <c r="B2071" s="107"/>
      <c r="D2071" s="151"/>
      <c r="E2071" s="142"/>
      <c r="F2071" s="176"/>
      <c r="G2071" s="176"/>
      <c r="H2071" s="176"/>
      <c r="I2071" s="172"/>
      <c r="J2071" s="173"/>
    </row>
    <row r="2072" spans="1:10" x14ac:dyDescent="0.25">
      <c r="A2072" s="106"/>
      <c r="B2072" s="107"/>
      <c r="D2072" s="151"/>
      <c r="E2072" s="142"/>
      <c r="F2072" s="176"/>
      <c r="G2072" s="176"/>
      <c r="H2072" s="176"/>
      <c r="I2072" s="172"/>
      <c r="J2072" s="173"/>
    </row>
    <row r="2073" spans="1:10" x14ac:dyDescent="0.25">
      <c r="A2073" s="106"/>
      <c r="B2073" s="107"/>
      <c r="D2073" s="151"/>
      <c r="E2073" s="142"/>
      <c r="F2073" s="176"/>
      <c r="G2073" s="176"/>
      <c r="H2073" s="176"/>
      <c r="I2073" s="172"/>
      <c r="J2073" s="173"/>
    </row>
    <row r="2074" spans="1:10" x14ac:dyDescent="0.25">
      <c r="A2074" s="106"/>
      <c r="B2074" s="107"/>
      <c r="D2074" s="151"/>
      <c r="E2074" s="142"/>
      <c r="F2074" s="176"/>
      <c r="G2074" s="176"/>
      <c r="H2074" s="176"/>
      <c r="I2074" s="172"/>
      <c r="J2074" s="173"/>
    </row>
    <row r="2075" spans="1:10" x14ac:dyDescent="0.25">
      <c r="A2075" s="106"/>
      <c r="B2075" s="107"/>
      <c r="D2075" s="151"/>
      <c r="E2075" s="142"/>
      <c r="F2075" s="176"/>
      <c r="G2075" s="176"/>
      <c r="H2075" s="176"/>
      <c r="I2075" s="172"/>
      <c r="J2075" s="173"/>
    </row>
    <row r="2076" spans="1:10" x14ac:dyDescent="0.25">
      <c r="A2076" s="106"/>
      <c r="B2076" s="107"/>
      <c r="D2076" s="151"/>
      <c r="E2076" s="142"/>
      <c r="F2076" s="176"/>
      <c r="G2076" s="176"/>
      <c r="H2076" s="176"/>
      <c r="I2076" s="172"/>
      <c r="J2076" s="173"/>
    </row>
    <row r="2077" spans="1:10" x14ac:dyDescent="0.25">
      <c r="A2077" s="106"/>
      <c r="B2077" s="107"/>
      <c r="D2077" s="151"/>
      <c r="E2077" s="142"/>
      <c r="F2077" s="176"/>
      <c r="G2077" s="176"/>
      <c r="H2077" s="176"/>
      <c r="I2077" s="172"/>
      <c r="J2077" s="173"/>
    </row>
    <row r="2078" spans="1:10" x14ac:dyDescent="0.25">
      <c r="A2078" s="106"/>
      <c r="B2078" s="107"/>
      <c r="D2078" s="151"/>
      <c r="E2078" s="142"/>
      <c r="F2078" s="176"/>
      <c r="G2078" s="176"/>
      <c r="H2078" s="176"/>
      <c r="I2078" s="172"/>
      <c r="J2078" s="173"/>
    </row>
    <row r="2079" spans="1:10" x14ac:dyDescent="0.25">
      <c r="A2079" s="106"/>
      <c r="B2079" s="107"/>
      <c r="D2079" s="151"/>
      <c r="E2079" s="142"/>
      <c r="F2079" s="176"/>
      <c r="G2079" s="176"/>
      <c r="H2079" s="176"/>
      <c r="I2079" s="172"/>
      <c r="J2079" s="173"/>
    </row>
    <row r="2080" spans="1:10" x14ac:dyDescent="0.25">
      <c r="A2080" s="106"/>
      <c r="B2080" s="107"/>
      <c r="D2080" s="151"/>
      <c r="E2080" s="142"/>
      <c r="F2080" s="176"/>
      <c r="G2080" s="176"/>
      <c r="H2080" s="176"/>
      <c r="I2080" s="172"/>
      <c r="J2080" s="173"/>
    </row>
    <row r="2081" spans="1:10" x14ac:dyDescent="0.25">
      <c r="A2081" s="106"/>
      <c r="B2081" s="107"/>
      <c r="D2081" s="151"/>
      <c r="E2081" s="142"/>
      <c r="F2081" s="176"/>
      <c r="G2081" s="176"/>
      <c r="H2081" s="176"/>
      <c r="I2081" s="172"/>
      <c r="J2081" s="173"/>
    </row>
    <row r="2082" spans="1:10" x14ac:dyDescent="0.25">
      <c r="A2082" s="106"/>
      <c r="B2082" s="107"/>
      <c r="D2082" s="151"/>
      <c r="E2082" s="142"/>
      <c r="F2082" s="176"/>
      <c r="G2082" s="176"/>
      <c r="H2082" s="176"/>
      <c r="I2082" s="172"/>
      <c r="J2082" s="173"/>
    </row>
    <row r="2083" spans="1:10" x14ac:dyDescent="0.25">
      <c r="A2083" s="106"/>
      <c r="B2083" s="107"/>
      <c r="D2083" s="151"/>
      <c r="E2083" s="142"/>
      <c r="F2083" s="176"/>
      <c r="G2083" s="176"/>
      <c r="H2083" s="176"/>
      <c r="I2083" s="172"/>
      <c r="J2083" s="173"/>
    </row>
    <row r="2084" spans="1:10" x14ac:dyDescent="0.25">
      <c r="A2084" s="106"/>
      <c r="B2084" s="107"/>
      <c r="D2084" s="151"/>
      <c r="E2084" s="142"/>
      <c r="F2084" s="176"/>
      <c r="G2084" s="176"/>
      <c r="H2084" s="176"/>
      <c r="I2084" s="172"/>
      <c r="J2084" s="173"/>
    </row>
    <row r="2085" spans="1:10" x14ac:dyDescent="0.25">
      <c r="A2085" s="106"/>
      <c r="B2085" s="107"/>
      <c r="D2085" s="151"/>
      <c r="E2085" s="142"/>
      <c r="F2085" s="176"/>
      <c r="G2085" s="176"/>
      <c r="H2085" s="176"/>
      <c r="I2085" s="172"/>
      <c r="J2085" s="173"/>
    </row>
    <row r="2086" spans="1:10" x14ac:dyDescent="0.25">
      <c r="A2086" s="106"/>
      <c r="B2086" s="107"/>
      <c r="D2086" s="151"/>
      <c r="E2086" s="142"/>
      <c r="F2086" s="176"/>
      <c r="G2086" s="176"/>
      <c r="H2086" s="176"/>
      <c r="I2086" s="172"/>
      <c r="J2086" s="173"/>
    </row>
    <row r="2087" spans="1:10" x14ac:dyDescent="0.25">
      <c r="A2087" s="106"/>
      <c r="B2087" s="107"/>
      <c r="D2087" s="151"/>
      <c r="E2087" s="142"/>
      <c r="F2087" s="176"/>
      <c r="G2087" s="176"/>
      <c r="H2087" s="176"/>
      <c r="I2087" s="172"/>
      <c r="J2087" s="173"/>
    </row>
    <row r="2088" spans="1:10" x14ac:dyDescent="0.25">
      <c r="A2088" s="106"/>
      <c r="B2088" s="107"/>
      <c r="D2088" s="151"/>
      <c r="E2088" s="142"/>
      <c r="F2088" s="176"/>
      <c r="G2088" s="176"/>
      <c r="H2088" s="176"/>
      <c r="I2088" s="172"/>
      <c r="J2088" s="173"/>
    </row>
    <row r="2089" spans="1:10" x14ac:dyDescent="0.25">
      <c r="A2089" s="106"/>
      <c r="B2089" s="107"/>
      <c r="D2089" s="151"/>
      <c r="E2089" s="142"/>
      <c r="F2089" s="176"/>
      <c r="G2089" s="176"/>
      <c r="H2089" s="176"/>
      <c r="I2089" s="172"/>
      <c r="J2089" s="173"/>
    </row>
    <row r="2090" spans="1:10" x14ac:dyDescent="0.25">
      <c r="A2090" s="106"/>
      <c r="B2090" s="107"/>
      <c r="D2090" s="151"/>
      <c r="E2090" s="142"/>
      <c r="F2090" s="176"/>
      <c r="G2090" s="176"/>
      <c r="H2090" s="176"/>
      <c r="I2090" s="172"/>
      <c r="J2090" s="173"/>
    </row>
    <row r="2091" spans="1:10" x14ac:dyDescent="0.25">
      <c r="A2091" s="106"/>
      <c r="B2091" s="107"/>
      <c r="D2091" s="151"/>
      <c r="E2091" s="142"/>
      <c r="F2091" s="176"/>
      <c r="G2091" s="176"/>
      <c r="H2091" s="176"/>
      <c r="I2091" s="172"/>
      <c r="J2091" s="173"/>
    </row>
    <row r="2092" spans="1:10" x14ac:dyDescent="0.25">
      <c r="A2092" s="106"/>
      <c r="B2092" s="107"/>
      <c r="D2092" s="151"/>
      <c r="E2092" s="142"/>
      <c r="F2092" s="176"/>
      <c r="G2092" s="176"/>
      <c r="H2092" s="176"/>
      <c r="I2092" s="172"/>
      <c r="J2092" s="173"/>
    </row>
    <row r="2093" spans="1:10" x14ac:dyDescent="0.25">
      <c r="A2093" s="106"/>
      <c r="B2093" s="107"/>
      <c r="D2093" s="151"/>
      <c r="E2093" s="142"/>
      <c r="F2093" s="176"/>
      <c r="G2093" s="176"/>
      <c r="H2093" s="176"/>
      <c r="I2093" s="172"/>
      <c r="J2093" s="173"/>
    </row>
    <row r="2094" spans="1:10" x14ac:dyDescent="0.25">
      <c r="A2094" s="106"/>
      <c r="B2094" s="107"/>
      <c r="D2094" s="151"/>
      <c r="E2094" s="142"/>
      <c r="F2094" s="176"/>
      <c r="G2094" s="176"/>
      <c r="H2094" s="176"/>
      <c r="I2094" s="172"/>
      <c r="J2094" s="173"/>
    </row>
    <row r="2095" spans="1:10" x14ac:dyDescent="0.25">
      <c r="A2095" s="106"/>
      <c r="B2095" s="107"/>
      <c r="D2095" s="151"/>
      <c r="E2095" s="142"/>
      <c r="F2095" s="176"/>
      <c r="G2095" s="176"/>
      <c r="H2095" s="176"/>
      <c r="I2095" s="172"/>
      <c r="J2095" s="173"/>
    </row>
    <row r="2096" spans="1:10" x14ac:dyDescent="0.25">
      <c r="A2096" s="106"/>
      <c r="B2096" s="107"/>
      <c r="D2096" s="151"/>
      <c r="E2096" s="142"/>
      <c r="F2096" s="176"/>
      <c r="G2096" s="176"/>
      <c r="H2096" s="176"/>
      <c r="I2096" s="172"/>
      <c r="J2096" s="173"/>
    </row>
    <row r="2097" spans="1:10" x14ac:dyDescent="0.25">
      <c r="A2097" s="106"/>
      <c r="B2097" s="107"/>
      <c r="D2097" s="151"/>
      <c r="E2097" s="142"/>
      <c r="F2097" s="176"/>
      <c r="G2097" s="176"/>
      <c r="H2097" s="176"/>
      <c r="I2097" s="172"/>
      <c r="J2097" s="173"/>
    </row>
    <row r="2098" spans="1:10" x14ac:dyDescent="0.25">
      <c r="A2098" s="106"/>
      <c r="B2098" s="107"/>
      <c r="D2098" s="151"/>
      <c r="E2098" s="142"/>
      <c r="F2098" s="176"/>
      <c r="G2098" s="176"/>
      <c r="H2098" s="176"/>
      <c r="I2098" s="172"/>
      <c r="J2098" s="173"/>
    </row>
    <row r="2099" spans="1:10" x14ac:dyDescent="0.25">
      <c r="A2099" s="106"/>
      <c r="B2099" s="107"/>
      <c r="D2099" s="151"/>
      <c r="E2099" s="142"/>
      <c r="F2099" s="176"/>
      <c r="G2099" s="176"/>
      <c r="H2099" s="176"/>
      <c r="I2099" s="172"/>
      <c r="J2099" s="173"/>
    </row>
    <row r="2100" spans="1:10" x14ac:dyDescent="0.25">
      <c r="A2100" s="106"/>
      <c r="B2100" s="107"/>
      <c r="D2100" s="151"/>
      <c r="E2100" s="142"/>
      <c r="F2100" s="176"/>
      <c r="G2100" s="176"/>
      <c r="H2100" s="176"/>
      <c r="I2100" s="172"/>
      <c r="J2100" s="173"/>
    </row>
    <row r="2101" spans="1:10" x14ac:dyDescent="0.25">
      <c r="A2101" s="106"/>
      <c r="B2101" s="107"/>
      <c r="D2101" s="151"/>
      <c r="E2101" s="142"/>
      <c r="F2101" s="176"/>
      <c r="G2101" s="176"/>
      <c r="H2101" s="176"/>
      <c r="I2101" s="172"/>
      <c r="J2101" s="173"/>
    </row>
    <row r="2102" spans="1:10" x14ac:dyDescent="0.25">
      <c r="A2102" s="106"/>
      <c r="B2102" s="107"/>
      <c r="D2102" s="151"/>
      <c r="E2102" s="142"/>
      <c r="F2102" s="176"/>
      <c r="G2102" s="176"/>
      <c r="H2102" s="176"/>
      <c r="I2102" s="172"/>
      <c r="J2102" s="173"/>
    </row>
    <row r="2103" spans="1:10" x14ac:dyDescent="0.25">
      <c r="A2103" s="106"/>
      <c r="B2103" s="107"/>
      <c r="D2103" s="151"/>
      <c r="E2103" s="142"/>
      <c r="F2103" s="176"/>
      <c r="G2103" s="176"/>
      <c r="H2103" s="176"/>
      <c r="I2103" s="172"/>
      <c r="J2103" s="173"/>
    </row>
    <row r="2104" spans="1:10" x14ac:dyDescent="0.25">
      <c r="A2104" s="106"/>
      <c r="B2104" s="107"/>
      <c r="D2104" s="151"/>
      <c r="E2104" s="142"/>
      <c r="F2104" s="176"/>
      <c r="G2104" s="176"/>
      <c r="H2104" s="176"/>
      <c r="I2104" s="172"/>
      <c r="J2104" s="173"/>
    </row>
    <row r="2105" spans="1:10" x14ac:dyDescent="0.25">
      <c r="A2105" s="106"/>
      <c r="B2105" s="107"/>
      <c r="D2105" s="151"/>
      <c r="E2105" s="142"/>
      <c r="F2105" s="176"/>
      <c r="G2105" s="176"/>
      <c r="H2105" s="176"/>
      <c r="I2105" s="172"/>
      <c r="J2105" s="173"/>
    </row>
    <row r="2106" spans="1:10" x14ac:dyDescent="0.25">
      <c r="A2106" s="106"/>
      <c r="B2106" s="107"/>
      <c r="D2106" s="151"/>
      <c r="E2106" s="142"/>
      <c r="F2106" s="176"/>
      <c r="G2106" s="176"/>
      <c r="H2106" s="176"/>
      <c r="I2106" s="172"/>
      <c r="J2106" s="173"/>
    </row>
    <row r="2107" spans="1:10" x14ac:dyDescent="0.25">
      <c r="A2107" s="106"/>
      <c r="B2107" s="107"/>
      <c r="D2107" s="151"/>
      <c r="E2107" s="142"/>
      <c r="F2107" s="176"/>
      <c r="G2107" s="176"/>
      <c r="H2107" s="176"/>
      <c r="I2107" s="172"/>
      <c r="J2107" s="173"/>
    </row>
    <row r="2108" spans="1:10" x14ac:dyDescent="0.25">
      <c r="A2108" s="106"/>
      <c r="B2108" s="107"/>
      <c r="D2108" s="151"/>
      <c r="E2108" s="142"/>
      <c r="F2108" s="176"/>
      <c r="G2108" s="176"/>
      <c r="H2108" s="176"/>
      <c r="I2108" s="172"/>
      <c r="J2108" s="173"/>
    </row>
    <row r="2109" spans="1:10" x14ac:dyDescent="0.25">
      <c r="A2109" s="106"/>
      <c r="B2109" s="107"/>
      <c r="D2109" s="151"/>
      <c r="E2109" s="142"/>
      <c r="F2109" s="176"/>
      <c r="G2109" s="176"/>
      <c r="H2109" s="176"/>
      <c r="I2109" s="172"/>
      <c r="J2109" s="173"/>
    </row>
    <row r="2110" spans="1:10" x14ac:dyDescent="0.25">
      <c r="A2110" s="106"/>
      <c r="B2110" s="107"/>
      <c r="D2110" s="151"/>
      <c r="E2110" s="142"/>
      <c r="F2110" s="176"/>
      <c r="G2110" s="176"/>
      <c r="H2110" s="176"/>
      <c r="I2110" s="172"/>
      <c r="J2110" s="173"/>
    </row>
    <row r="2111" spans="1:10" x14ac:dyDescent="0.25">
      <c r="A2111" s="106"/>
      <c r="B2111" s="107"/>
      <c r="D2111" s="151"/>
      <c r="E2111" s="142"/>
      <c r="F2111" s="176"/>
      <c r="G2111" s="176"/>
      <c r="H2111" s="176"/>
      <c r="I2111" s="172"/>
      <c r="J2111" s="173"/>
    </row>
    <row r="2112" spans="1:10" x14ac:dyDescent="0.25">
      <c r="A2112" s="106"/>
      <c r="B2112" s="107"/>
      <c r="D2112" s="151"/>
      <c r="E2112" s="142"/>
      <c r="F2112" s="176"/>
      <c r="G2112" s="176"/>
      <c r="H2112" s="176"/>
      <c r="I2112" s="172"/>
      <c r="J2112" s="173"/>
    </row>
    <row r="2113" spans="1:10" x14ac:dyDescent="0.25">
      <c r="A2113" s="106"/>
      <c r="B2113" s="107"/>
      <c r="D2113" s="151"/>
      <c r="E2113" s="142"/>
      <c r="F2113" s="176"/>
      <c r="G2113" s="176"/>
      <c r="H2113" s="176"/>
      <c r="I2113" s="172"/>
      <c r="J2113" s="173"/>
    </row>
    <row r="2114" spans="1:10" x14ac:dyDescent="0.25">
      <c r="A2114" s="106"/>
      <c r="B2114" s="107"/>
      <c r="D2114" s="151"/>
      <c r="E2114" s="142"/>
      <c r="F2114" s="176"/>
      <c r="G2114" s="176"/>
      <c r="H2114" s="176"/>
      <c r="I2114" s="172"/>
      <c r="J2114" s="173"/>
    </row>
    <row r="2115" spans="1:10" x14ac:dyDescent="0.25">
      <c r="A2115" s="106"/>
      <c r="B2115" s="107"/>
      <c r="D2115" s="151"/>
      <c r="E2115" s="142"/>
      <c r="F2115" s="176"/>
      <c r="G2115" s="176"/>
      <c r="H2115" s="176"/>
      <c r="I2115" s="172"/>
      <c r="J2115" s="173"/>
    </row>
    <row r="2116" spans="1:10" x14ac:dyDescent="0.25">
      <c r="A2116" s="106"/>
      <c r="B2116" s="107"/>
      <c r="D2116" s="151"/>
      <c r="E2116" s="142"/>
      <c r="F2116" s="176"/>
      <c r="G2116" s="176"/>
      <c r="H2116" s="176"/>
      <c r="I2116" s="172"/>
      <c r="J2116" s="173"/>
    </row>
    <row r="2117" spans="1:10" x14ac:dyDescent="0.25">
      <c r="A2117" s="106"/>
      <c r="B2117" s="107"/>
      <c r="D2117" s="151"/>
      <c r="E2117" s="142"/>
      <c r="F2117" s="176"/>
      <c r="G2117" s="176"/>
      <c r="H2117" s="176"/>
      <c r="I2117" s="172"/>
      <c r="J2117" s="173"/>
    </row>
    <row r="2118" spans="1:10" x14ac:dyDescent="0.25">
      <c r="A2118" s="106"/>
      <c r="B2118" s="107"/>
      <c r="D2118" s="151"/>
      <c r="E2118" s="142"/>
      <c r="F2118" s="176"/>
      <c r="G2118" s="176"/>
      <c r="H2118" s="176"/>
      <c r="I2118" s="172"/>
      <c r="J2118" s="173"/>
    </row>
    <row r="2119" spans="1:10" x14ac:dyDescent="0.25">
      <c r="A2119" s="106"/>
      <c r="B2119" s="107"/>
      <c r="D2119" s="151"/>
      <c r="E2119" s="142"/>
      <c r="F2119" s="176"/>
      <c r="G2119" s="176"/>
      <c r="H2119" s="176"/>
      <c r="I2119" s="172"/>
      <c r="J2119" s="173"/>
    </row>
    <row r="2120" spans="1:10" x14ac:dyDescent="0.25">
      <c r="A2120" s="106"/>
      <c r="B2120" s="107"/>
      <c r="D2120" s="151"/>
      <c r="E2120" s="142"/>
      <c r="F2120" s="176"/>
      <c r="G2120" s="176"/>
      <c r="H2120" s="176"/>
      <c r="I2120" s="172"/>
      <c r="J2120" s="173"/>
    </row>
    <row r="2121" spans="1:10" x14ac:dyDescent="0.25">
      <c r="A2121" s="106"/>
      <c r="B2121" s="107"/>
      <c r="D2121" s="151"/>
      <c r="E2121" s="142"/>
      <c r="F2121" s="176"/>
      <c r="G2121" s="176"/>
      <c r="H2121" s="176"/>
      <c r="I2121" s="172"/>
      <c r="J2121" s="173"/>
    </row>
    <row r="2122" spans="1:10" x14ac:dyDescent="0.25">
      <c r="A2122" s="106"/>
      <c r="B2122" s="107"/>
      <c r="D2122" s="151"/>
      <c r="E2122" s="142"/>
      <c r="F2122" s="176"/>
      <c r="G2122" s="176"/>
      <c r="H2122" s="176"/>
      <c r="I2122" s="172"/>
      <c r="J2122" s="173"/>
    </row>
    <row r="2123" spans="1:10" x14ac:dyDescent="0.25">
      <c r="A2123" s="106"/>
      <c r="B2123" s="107"/>
      <c r="D2123" s="151"/>
      <c r="E2123" s="142"/>
      <c r="F2123" s="176"/>
      <c r="G2123" s="176"/>
      <c r="H2123" s="176"/>
      <c r="I2123" s="172"/>
      <c r="J2123" s="173"/>
    </row>
    <row r="2124" spans="1:10" x14ac:dyDescent="0.25">
      <c r="A2124" s="106"/>
      <c r="B2124" s="107"/>
      <c r="D2124" s="151"/>
      <c r="E2124" s="142"/>
      <c r="F2124" s="176"/>
      <c r="G2124" s="176"/>
      <c r="H2124" s="176"/>
      <c r="I2124" s="172"/>
      <c r="J2124" s="173"/>
    </row>
    <row r="2125" spans="1:10" x14ac:dyDescent="0.25">
      <c r="A2125" s="106"/>
      <c r="B2125" s="107"/>
      <c r="D2125" s="151"/>
      <c r="E2125" s="142"/>
      <c r="F2125" s="176"/>
      <c r="G2125" s="176"/>
      <c r="H2125" s="176"/>
      <c r="I2125" s="172"/>
      <c r="J2125" s="173"/>
    </row>
    <row r="2126" spans="1:10" x14ac:dyDescent="0.25">
      <c r="A2126" s="106"/>
      <c r="B2126" s="107"/>
      <c r="D2126" s="151"/>
      <c r="E2126" s="142"/>
      <c r="F2126" s="176"/>
      <c r="G2126" s="176"/>
      <c r="H2126" s="176"/>
      <c r="I2126" s="172"/>
      <c r="J2126" s="173"/>
    </row>
    <row r="2127" spans="1:10" x14ac:dyDescent="0.25">
      <c r="A2127" s="106"/>
      <c r="B2127" s="107"/>
      <c r="D2127" s="151"/>
      <c r="E2127" s="142"/>
      <c r="F2127" s="176"/>
      <c r="G2127" s="176"/>
      <c r="H2127" s="176"/>
      <c r="I2127" s="172"/>
      <c r="J2127" s="173"/>
    </row>
    <row r="2128" spans="1:10" x14ac:dyDescent="0.25">
      <c r="A2128" s="106"/>
      <c r="B2128" s="107"/>
      <c r="D2128" s="151"/>
      <c r="E2128" s="142"/>
      <c r="F2128" s="176"/>
      <c r="G2128" s="176"/>
      <c r="H2128" s="176"/>
      <c r="I2128" s="172"/>
      <c r="J2128" s="173"/>
    </row>
    <row r="2129" spans="1:10" x14ac:dyDescent="0.25">
      <c r="A2129" s="106"/>
      <c r="B2129" s="107"/>
      <c r="D2129" s="151"/>
      <c r="E2129" s="142"/>
      <c r="F2129" s="176"/>
      <c r="G2129" s="176"/>
      <c r="H2129" s="176"/>
      <c r="I2129" s="172"/>
      <c r="J2129" s="173"/>
    </row>
    <row r="2130" spans="1:10" x14ac:dyDescent="0.25">
      <c r="A2130" s="106"/>
      <c r="B2130" s="107"/>
      <c r="D2130" s="151"/>
      <c r="E2130" s="142"/>
      <c r="F2130" s="176"/>
      <c r="G2130" s="176"/>
      <c r="H2130" s="176"/>
      <c r="I2130" s="172"/>
      <c r="J2130" s="173"/>
    </row>
    <row r="2131" spans="1:10" x14ac:dyDescent="0.25">
      <c r="A2131" s="106"/>
      <c r="B2131" s="107"/>
      <c r="D2131" s="151"/>
      <c r="E2131" s="142"/>
      <c r="F2131" s="176"/>
      <c r="G2131" s="176"/>
      <c r="H2131" s="176"/>
      <c r="I2131" s="172"/>
      <c r="J2131" s="173"/>
    </row>
    <row r="2132" spans="1:10" x14ac:dyDescent="0.25">
      <c r="A2132" s="106"/>
      <c r="B2132" s="107"/>
      <c r="D2132" s="151"/>
      <c r="E2132" s="142"/>
      <c r="F2132" s="176"/>
      <c r="G2132" s="176"/>
      <c r="H2132" s="176"/>
      <c r="I2132" s="172"/>
      <c r="J2132" s="173"/>
    </row>
    <row r="2133" spans="1:10" x14ac:dyDescent="0.25">
      <c r="A2133" s="106"/>
      <c r="B2133" s="107"/>
      <c r="D2133" s="151"/>
      <c r="E2133" s="142"/>
      <c r="F2133" s="176"/>
      <c r="G2133" s="176"/>
      <c r="H2133" s="176"/>
      <c r="I2133" s="172"/>
      <c r="J2133" s="173"/>
    </row>
    <row r="2134" spans="1:10" x14ac:dyDescent="0.25">
      <c r="A2134" s="106"/>
      <c r="B2134" s="107"/>
      <c r="D2134" s="151"/>
      <c r="E2134" s="142"/>
      <c r="F2134" s="176"/>
      <c r="G2134" s="176"/>
      <c r="H2134" s="176"/>
      <c r="I2134" s="172"/>
      <c r="J2134" s="173"/>
    </row>
    <row r="2135" spans="1:10" x14ac:dyDescent="0.25">
      <c r="A2135" s="106"/>
      <c r="B2135" s="107"/>
      <c r="D2135" s="151"/>
      <c r="E2135" s="142"/>
      <c r="F2135" s="176"/>
      <c r="G2135" s="176"/>
      <c r="H2135" s="176"/>
      <c r="I2135" s="172"/>
      <c r="J2135" s="173"/>
    </row>
    <row r="2136" spans="1:10" x14ac:dyDescent="0.25">
      <c r="A2136" s="106"/>
      <c r="B2136" s="107"/>
      <c r="D2136" s="151"/>
      <c r="E2136" s="142"/>
      <c r="F2136" s="176"/>
      <c r="G2136" s="176"/>
      <c r="H2136" s="176"/>
      <c r="I2136" s="172"/>
      <c r="J2136" s="173"/>
    </row>
    <row r="2137" spans="1:10" x14ac:dyDescent="0.25">
      <c r="A2137" s="106"/>
      <c r="B2137" s="107"/>
      <c r="D2137" s="151"/>
      <c r="E2137" s="142"/>
      <c r="F2137" s="176"/>
      <c r="G2137" s="176"/>
      <c r="H2137" s="176"/>
      <c r="I2137" s="172"/>
      <c r="J2137" s="173"/>
    </row>
    <row r="2138" spans="1:10" x14ac:dyDescent="0.25">
      <c r="A2138" s="106"/>
      <c r="B2138" s="107"/>
      <c r="D2138" s="151"/>
      <c r="E2138" s="142"/>
      <c r="F2138" s="176"/>
      <c r="G2138" s="176"/>
      <c r="H2138" s="176"/>
      <c r="I2138" s="172"/>
      <c r="J2138" s="173"/>
    </row>
    <row r="2139" spans="1:10" x14ac:dyDescent="0.25">
      <c r="A2139" s="106"/>
      <c r="B2139" s="107"/>
      <c r="D2139" s="151"/>
      <c r="E2139" s="142"/>
      <c r="F2139" s="176"/>
      <c r="G2139" s="176"/>
      <c r="H2139" s="176"/>
      <c r="I2139" s="172"/>
      <c r="J2139" s="173"/>
    </row>
    <row r="2140" spans="1:10" x14ac:dyDescent="0.25">
      <c r="A2140" s="106"/>
      <c r="B2140" s="107"/>
      <c r="D2140" s="151"/>
      <c r="E2140" s="142"/>
      <c r="F2140" s="176"/>
      <c r="G2140" s="176"/>
      <c r="H2140" s="176"/>
      <c r="I2140" s="172"/>
      <c r="J2140" s="173"/>
    </row>
    <row r="2141" spans="1:10" x14ac:dyDescent="0.25">
      <c r="A2141" s="106"/>
      <c r="B2141" s="107"/>
      <c r="D2141" s="151"/>
      <c r="E2141" s="142"/>
      <c r="F2141" s="176"/>
      <c r="G2141" s="176"/>
      <c r="H2141" s="176"/>
      <c r="I2141" s="172"/>
      <c r="J2141" s="173"/>
    </row>
    <row r="2142" spans="1:10" x14ac:dyDescent="0.25">
      <c r="A2142" s="106"/>
      <c r="B2142" s="107"/>
      <c r="D2142" s="151"/>
      <c r="E2142" s="142"/>
      <c r="F2142" s="176"/>
      <c r="G2142" s="176"/>
      <c r="H2142" s="176"/>
      <c r="I2142" s="172"/>
      <c r="J2142" s="173"/>
    </row>
    <row r="2143" spans="1:10" x14ac:dyDescent="0.25">
      <c r="A2143" s="106"/>
      <c r="B2143" s="107"/>
      <c r="D2143" s="151"/>
      <c r="E2143" s="142"/>
      <c r="F2143" s="176"/>
      <c r="G2143" s="176"/>
      <c r="H2143" s="176"/>
      <c r="I2143" s="172"/>
      <c r="J2143" s="173"/>
    </row>
    <row r="2144" spans="1:10" x14ac:dyDescent="0.25">
      <c r="A2144" s="106"/>
      <c r="B2144" s="107"/>
      <c r="D2144" s="151"/>
      <c r="E2144" s="142"/>
      <c r="F2144" s="176"/>
      <c r="G2144" s="176"/>
      <c r="H2144" s="176"/>
      <c r="I2144" s="172"/>
      <c r="J2144" s="173"/>
    </row>
    <row r="2145" spans="1:10" x14ac:dyDescent="0.25">
      <c r="A2145" s="106"/>
      <c r="B2145" s="107"/>
      <c r="D2145" s="151"/>
      <c r="E2145" s="142"/>
      <c r="F2145" s="176"/>
      <c r="G2145" s="176"/>
      <c r="H2145" s="176"/>
      <c r="I2145" s="172"/>
      <c r="J2145" s="173"/>
    </row>
    <row r="2146" spans="1:10" x14ac:dyDescent="0.25">
      <c r="A2146" s="106"/>
      <c r="B2146" s="107"/>
      <c r="D2146" s="151"/>
      <c r="E2146" s="142"/>
      <c r="F2146" s="176"/>
      <c r="G2146" s="176"/>
      <c r="H2146" s="176"/>
      <c r="I2146" s="172"/>
      <c r="J2146" s="173"/>
    </row>
    <row r="2147" spans="1:10" x14ac:dyDescent="0.25">
      <c r="A2147" s="106"/>
      <c r="B2147" s="107"/>
      <c r="D2147" s="151"/>
      <c r="E2147" s="142"/>
      <c r="F2147" s="176"/>
      <c r="G2147" s="176"/>
      <c r="H2147" s="176"/>
      <c r="I2147" s="172"/>
      <c r="J2147" s="173"/>
    </row>
    <row r="2148" spans="1:10" x14ac:dyDescent="0.25">
      <c r="A2148" s="106"/>
      <c r="B2148" s="107"/>
      <c r="D2148" s="151"/>
      <c r="E2148" s="142"/>
      <c r="F2148" s="176"/>
      <c r="G2148" s="176"/>
      <c r="H2148" s="176"/>
      <c r="I2148" s="172"/>
      <c r="J2148" s="173"/>
    </row>
    <row r="2149" spans="1:10" x14ac:dyDescent="0.25">
      <c r="A2149" s="106"/>
      <c r="B2149" s="107"/>
      <c r="D2149" s="151"/>
      <c r="E2149" s="142"/>
      <c r="F2149" s="176"/>
      <c r="G2149" s="176"/>
      <c r="H2149" s="176"/>
      <c r="I2149" s="172"/>
      <c r="J2149" s="173"/>
    </row>
    <row r="2150" spans="1:10" x14ac:dyDescent="0.25">
      <c r="A2150" s="106"/>
      <c r="B2150" s="107"/>
      <c r="D2150" s="151"/>
      <c r="E2150" s="142"/>
      <c r="F2150" s="176"/>
      <c r="G2150" s="176"/>
      <c r="H2150" s="176"/>
      <c r="I2150" s="172"/>
      <c r="J2150" s="173"/>
    </row>
    <row r="2151" spans="1:10" x14ac:dyDescent="0.25">
      <c r="A2151" s="106"/>
      <c r="B2151" s="107"/>
      <c r="D2151" s="151"/>
      <c r="E2151" s="142"/>
      <c r="F2151" s="176"/>
      <c r="G2151" s="176"/>
      <c r="H2151" s="176"/>
      <c r="I2151" s="172"/>
      <c r="J2151" s="173"/>
    </row>
    <row r="2152" spans="1:10" x14ac:dyDescent="0.25">
      <c r="A2152" s="106"/>
      <c r="B2152" s="107"/>
      <c r="D2152" s="151"/>
      <c r="E2152" s="142"/>
      <c r="F2152" s="176"/>
      <c r="G2152" s="176"/>
      <c r="H2152" s="176"/>
      <c r="I2152" s="172"/>
      <c r="J2152" s="173"/>
    </row>
    <row r="2153" spans="1:10" x14ac:dyDescent="0.25">
      <c r="A2153" s="106"/>
      <c r="B2153" s="107"/>
      <c r="D2153" s="151"/>
      <c r="E2153" s="142"/>
      <c r="F2153" s="176"/>
      <c r="G2153" s="176"/>
      <c r="H2153" s="176"/>
      <c r="I2153" s="172"/>
      <c r="J2153" s="173"/>
    </row>
    <row r="2154" spans="1:10" x14ac:dyDescent="0.25">
      <c r="A2154" s="106"/>
      <c r="B2154" s="107"/>
      <c r="D2154" s="151"/>
      <c r="E2154" s="142"/>
      <c r="F2154" s="176"/>
      <c r="G2154" s="176"/>
      <c r="H2154" s="176"/>
      <c r="I2154" s="172"/>
      <c r="J2154" s="173"/>
    </row>
    <row r="2155" spans="1:10" x14ac:dyDescent="0.25">
      <c r="A2155" s="106"/>
      <c r="B2155" s="107"/>
      <c r="D2155" s="151"/>
      <c r="E2155" s="142"/>
      <c r="F2155" s="176"/>
      <c r="G2155" s="176"/>
      <c r="H2155" s="176"/>
      <c r="I2155" s="172"/>
      <c r="J2155" s="173"/>
    </row>
    <row r="2156" spans="1:10" x14ac:dyDescent="0.25">
      <c r="A2156" s="106"/>
      <c r="B2156" s="107"/>
      <c r="D2156" s="151"/>
      <c r="E2156" s="142"/>
      <c r="F2156" s="176"/>
      <c r="G2156" s="176"/>
      <c r="H2156" s="176"/>
      <c r="I2156" s="172"/>
      <c r="J2156" s="173"/>
    </row>
    <row r="2157" spans="1:10" x14ac:dyDescent="0.25">
      <c r="A2157" s="106"/>
      <c r="B2157" s="107"/>
      <c r="D2157" s="151"/>
      <c r="E2157" s="142"/>
      <c r="F2157" s="176"/>
      <c r="G2157" s="176"/>
      <c r="H2157" s="176"/>
      <c r="I2157" s="172"/>
      <c r="J2157" s="173"/>
    </row>
    <row r="2158" spans="1:10" x14ac:dyDescent="0.25">
      <c r="A2158" s="106"/>
      <c r="B2158" s="107"/>
      <c r="D2158" s="151"/>
      <c r="E2158" s="142"/>
      <c r="F2158" s="176"/>
      <c r="G2158" s="176"/>
      <c r="H2158" s="176"/>
      <c r="I2158" s="172"/>
      <c r="J2158" s="173"/>
    </row>
    <row r="2159" spans="1:10" x14ac:dyDescent="0.25">
      <c r="A2159" s="106"/>
      <c r="B2159" s="107"/>
      <c r="D2159" s="151"/>
      <c r="E2159" s="142"/>
      <c r="F2159" s="176"/>
      <c r="G2159" s="176"/>
      <c r="H2159" s="176"/>
      <c r="I2159" s="172"/>
      <c r="J2159" s="173"/>
    </row>
    <row r="2160" spans="1:10" x14ac:dyDescent="0.25">
      <c r="A2160" s="106"/>
      <c r="B2160" s="107"/>
      <c r="D2160" s="151"/>
      <c r="E2160" s="142"/>
      <c r="F2160" s="176"/>
      <c r="G2160" s="176"/>
      <c r="H2160" s="176"/>
      <c r="I2160" s="172"/>
      <c r="J2160" s="173"/>
    </row>
    <row r="2161" spans="1:10" x14ac:dyDescent="0.25">
      <c r="A2161" s="106"/>
      <c r="B2161" s="107"/>
      <c r="D2161" s="151"/>
      <c r="E2161" s="142"/>
      <c r="F2161" s="176"/>
      <c r="G2161" s="176"/>
      <c r="H2161" s="176"/>
      <c r="I2161" s="172"/>
      <c r="J2161" s="173"/>
    </row>
    <row r="2162" spans="1:10" x14ac:dyDescent="0.25">
      <c r="A2162" s="106"/>
      <c r="B2162" s="107"/>
      <c r="D2162" s="151"/>
      <c r="E2162" s="142"/>
      <c r="F2162" s="176"/>
      <c r="G2162" s="176"/>
      <c r="H2162" s="176"/>
      <c r="I2162" s="172"/>
      <c r="J2162" s="173"/>
    </row>
    <row r="2163" spans="1:10" x14ac:dyDescent="0.25">
      <c r="A2163" s="106"/>
      <c r="B2163" s="107"/>
      <c r="D2163" s="151"/>
      <c r="E2163" s="142"/>
      <c r="F2163" s="176"/>
      <c r="G2163" s="176"/>
      <c r="H2163" s="176"/>
      <c r="I2163" s="172"/>
      <c r="J2163" s="173"/>
    </row>
    <row r="2164" spans="1:10" x14ac:dyDescent="0.25">
      <c r="A2164" s="106"/>
      <c r="B2164" s="107"/>
      <c r="D2164" s="151"/>
      <c r="E2164" s="142"/>
      <c r="F2164" s="176"/>
      <c r="G2164" s="176"/>
      <c r="H2164" s="176"/>
      <c r="I2164" s="172"/>
      <c r="J2164" s="173"/>
    </row>
    <row r="2165" spans="1:10" x14ac:dyDescent="0.25">
      <c r="A2165" s="106"/>
      <c r="B2165" s="107"/>
      <c r="D2165" s="151"/>
      <c r="E2165" s="142"/>
      <c r="F2165" s="176"/>
      <c r="G2165" s="176"/>
      <c r="H2165" s="176"/>
      <c r="I2165" s="172"/>
      <c r="J2165" s="173"/>
    </row>
    <row r="2166" spans="1:10" x14ac:dyDescent="0.25">
      <c r="A2166" s="106"/>
      <c r="B2166" s="107"/>
      <c r="D2166" s="151"/>
      <c r="E2166" s="142"/>
      <c r="F2166" s="176"/>
      <c r="G2166" s="176"/>
      <c r="H2166" s="176"/>
      <c r="I2166" s="172"/>
      <c r="J2166" s="173"/>
    </row>
    <row r="2167" spans="1:10" x14ac:dyDescent="0.25">
      <c r="A2167" s="106"/>
      <c r="B2167" s="107"/>
      <c r="D2167" s="151"/>
      <c r="E2167" s="142"/>
      <c r="F2167" s="176"/>
      <c r="G2167" s="176"/>
      <c r="H2167" s="176"/>
      <c r="I2167" s="172"/>
      <c r="J2167" s="173"/>
    </row>
    <row r="2168" spans="1:10" x14ac:dyDescent="0.25">
      <c r="A2168" s="106"/>
      <c r="B2168" s="107"/>
      <c r="D2168" s="151"/>
      <c r="E2168" s="142"/>
      <c r="F2168" s="176"/>
      <c r="G2168" s="176"/>
      <c r="H2168" s="176"/>
      <c r="I2168" s="172"/>
      <c r="J2168" s="173"/>
    </row>
    <row r="2169" spans="1:10" x14ac:dyDescent="0.25">
      <c r="A2169" s="106"/>
      <c r="B2169" s="107"/>
      <c r="D2169" s="151"/>
      <c r="E2169" s="142"/>
      <c r="F2169" s="176"/>
      <c r="G2169" s="176"/>
      <c r="H2169" s="176"/>
      <c r="I2169" s="172"/>
      <c r="J2169" s="173"/>
    </row>
    <row r="2170" spans="1:10" x14ac:dyDescent="0.25">
      <c r="A2170" s="106"/>
      <c r="B2170" s="107"/>
      <c r="D2170" s="151"/>
      <c r="E2170" s="142"/>
      <c r="F2170" s="176"/>
      <c r="G2170" s="176"/>
      <c r="H2170" s="176"/>
      <c r="I2170" s="172"/>
      <c r="J2170" s="173"/>
    </row>
    <row r="2171" spans="1:10" x14ac:dyDescent="0.25">
      <c r="A2171" s="106"/>
      <c r="B2171" s="107"/>
      <c r="D2171" s="151"/>
      <c r="E2171" s="142"/>
      <c r="F2171" s="176"/>
      <c r="G2171" s="176"/>
      <c r="H2171" s="176"/>
      <c r="I2171" s="172"/>
      <c r="J2171" s="173"/>
    </row>
    <row r="2172" spans="1:10" x14ac:dyDescent="0.25">
      <c r="A2172" s="106"/>
      <c r="B2172" s="107"/>
      <c r="D2172" s="151"/>
      <c r="E2172" s="142"/>
      <c r="F2172" s="176"/>
      <c r="G2172" s="176"/>
      <c r="H2172" s="176"/>
      <c r="I2172" s="172"/>
      <c r="J2172" s="173"/>
    </row>
    <row r="2173" spans="1:10" x14ac:dyDescent="0.25">
      <c r="A2173" s="106"/>
      <c r="B2173" s="107"/>
      <c r="D2173" s="151"/>
      <c r="E2173" s="142"/>
      <c r="F2173" s="176"/>
      <c r="G2173" s="176"/>
      <c r="H2173" s="176"/>
      <c r="I2173" s="172"/>
      <c r="J2173" s="173"/>
    </row>
    <row r="2174" spans="1:10" x14ac:dyDescent="0.25">
      <c r="A2174" s="106"/>
      <c r="B2174" s="107"/>
      <c r="D2174" s="151"/>
      <c r="E2174" s="142"/>
      <c r="F2174" s="176"/>
      <c r="G2174" s="176"/>
      <c r="H2174" s="176"/>
      <c r="I2174" s="172"/>
      <c r="J2174" s="173"/>
    </row>
    <row r="2175" spans="1:10" x14ac:dyDescent="0.25">
      <c r="A2175" s="106"/>
      <c r="B2175" s="107"/>
      <c r="D2175" s="151"/>
      <c r="E2175" s="142"/>
      <c r="F2175" s="176"/>
      <c r="G2175" s="176"/>
      <c r="H2175" s="176"/>
      <c r="I2175" s="172"/>
      <c r="J2175" s="173"/>
    </row>
    <row r="2176" spans="1:10" x14ac:dyDescent="0.25">
      <c r="A2176" s="106"/>
      <c r="B2176" s="107"/>
      <c r="D2176" s="151"/>
      <c r="E2176" s="142"/>
      <c r="F2176" s="176"/>
      <c r="G2176" s="176"/>
      <c r="H2176" s="176"/>
      <c r="I2176" s="172"/>
      <c r="J2176" s="173"/>
    </row>
    <row r="2177" spans="1:10" x14ac:dyDescent="0.25">
      <c r="A2177" s="106"/>
      <c r="B2177" s="107"/>
      <c r="D2177" s="151"/>
      <c r="E2177" s="142"/>
      <c r="F2177" s="176"/>
      <c r="G2177" s="176"/>
      <c r="H2177" s="176"/>
      <c r="I2177" s="172"/>
      <c r="J2177" s="173"/>
    </row>
    <row r="2178" spans="1:10" x14ac:dyDescent="0.25">
      <c r="A2178" s="106"/>
      <c r="B2178" s="107"/>
      <c r="D2178" s="151"/>
      <c r="E2178" s="142"/>
      <c r="F2178" s="176"/>
      <c r="G2178" s="176"/>
      <c r="H2178" s="176"/>
      <c r="I2178" s="172"/>
      <c r="J2178" s="173"/>
    </row>
    <row r="2179" spans="1:10" x14ac:dyDescent="0.25">
      <c r="A2179" s="106"/>
      <c r="B2179" s="107"/>
      <c r="D2179" s="151"/>
      <c r="E2179" s="142"/>
      <c r="F2179" s="176"/>
      <c r="G2179" s="176"/>
      <c r="H2179" s="176"/>
      <c r="I2179" s="172"/>
      <c r="J2179" s="173"/>
    </row>
    <row r="2180" spans="1:10" x14ac:dyDescent="0.25">
      <c r="A2180" s="106"/>
      <c r="B2180" s="107"/>
      <c r="D2180" s="151"/>
      <c r="E2180" s="142"/>
      <c r="F2180" s="176"/>
      <c r="G2180" s="176"/>
      <c r="H2180" s="176"/>
      <c r="I2180" s="172"/>
      <c r="J2180" s="173"/>
    </row>
    <row r="2181" spans="1:10" x14ac:dyDescent="0.25">
      <c r="A2181" s="106"/>
      <c r="B2181" s="107"/>
      <c r="D2181" s="151"/>
      <c r="E2181" s="142"/>
      <c r="F2181" s="176"/>
      <c r="G2181" s="176"/>
      <c r="H2181" s="176"/>
      <c r="I2181" s="172"/>
      <c r="J2181" s="173"/>
    </row>
    <row r="2182" spans="1:10" x14ac:dyDescent="0.25">
      <c r="A2182" s="106"/>
      <c r="B2182" s="107"/>
      <c r="D2182" s="151"/>
      <c r="E2182" s="142"/>
      <c r="F2182" s="176"/>
      <c r="G2182" s="176"/>
      <c r="H2182" s="176"/>
      <c r="I2182" s="172"/>
      <c r="J2182" s="173"/>
    </row>
    <row r="2183" spans="1:10" x14ac:dyDescent="0.25">
      <c r="A2183" s="106"/>
      <c r="B2183" s="107"/>
      <c r="D2183" s="151"/>
      <c r="E2183" s="142"/>
      <c r="F2183" s="176"/>
      <c r="G2183" s="176"/>
      <c r="H2183" s="176"/>
      <c r="I2183" s="172"/>
      <c r="J2183" s="173"/>
    </row>
    <row r="2184" spans="1:10" x14ac:dyDescent="0.25">
      <c r="A2184" s="106"/>
      <c r="B2184" s="107"/>
      <c r="D2184" s="151"/>
      <c r="E2184" s="142"/>
      <c r="F2184" s="176"/>
      <c r="G2184" s="176"/>
      <c r="H2184" s="176"/>
      <c r="I2184" s="172"/>
      <c r="J2184" s="173"/>
    </row>
    <row r="2185" spans="1:10" x14ac:dyDescent="0.25">
      <c r="A2185" s="106"/>
      <c r="B2185" s="107"/>
      <c r="D2185" s="151"/>
      <c r="E2185" s="142"/>
      <c r="F2185" s="176"/>
      <c r="G2185" s="176"/>
      <c r="H2185" s="176"/>
      <c r="I2185" s="172"/>
      <c r="J2185" s="173"/>
    </row>
    <row r="2186" spans="1:10" x14ac:dyDescent="0.25">
      <c r="A2186" s="106"/>
      <c r="B2186" s="107"/>
      <c r="D2186" s="151"/>
      <c r="E2186" s="142"/>
      <c r="F2186" s="176"/>
      <c r="G2186" s="176"/>
      <c r="H2186" s="176"/>
      <c r="I2186" s="172"/>
      <c r="J2186" s="173"/>
    </row>
    <row r="2187" spans="1:10" x14ac:dyDescent="0.25">
      <c r="A2187" s="106"/>
      <c r="B2187" s="107"/>
      <c r="D2187" s="151"/>
      <c r="E2187" s="142"/>
      <c r="F2187" s="176"/>
      <c r="G2187" s="176"/>
      <c r="H2187" s="176"/>
      <c r="I2187" s="172"/>
      <c r="J2187" s="173"/>
    </row>
    <row r="2188" spans="1:10" x14ac:dyDescent="0.25">
      <c r="A2188" s="106"/>
      <c r="B2188" s="107"/>
      <c r="D2188" s="151"/>
      <c r="E2188" s="142"/>
      <c r="F2188" s="176"/>
      <c r="G2188" s="176"/>
      <c r="H2188" s="176"/>
      <c r="I2188" s="172"/>
      <c r="J2188" s="173"/>
    </row>
    <row r="2189" spans="1:10" x14ac:dyDescent="0.25">
      <c r="A2189" s="106"/>
      <c r="B2189" s="107"/>
      <c r="D2189" s="151"/>
      <c r="E2189" s="142"/>
      <c r="F2189" s="176"/>
      <c r="G2189" s="176"/>
      <c r="H2189" s="176"/>
      <c r="I2189" s="172"/>
      <c r="J2189" s="173"/>
    </row>
    <row r="2190" spans="1:10" x14ac:dyDescent="0.25">
      <c r="A2190" s="106"/>
      <c r="B2190" s="107"/>
      <c r="D2190" s="151"/>
      <c r="E2190" s="142"/>
      <c r="F2190" s="176"/>
      <c r="G2190" s="176"/>
      <c r="H2190" s="176"/>
      <c r="I2190" s="172"/>
      <c r="J2190" s="173"/>
    </row>
    <row r="2191" spans="1:10" x14ac:dyDescent="0.25">
      <c r="A2191" s="106"/>
      <c r="B2191" s="107"/>
      <c r="D2191" s="151"/>
      <c r="E2191" s="142"/>
      <c r="F2191" s="176"/>
      <c r="G2191" s="176"/>
      <c r="H2191" s="176"/>
      <c r="I2191" s="172"/>
      <c r="J2191" s="173"/>
    </row>
    <row r="2192" spans="1:10" x14ac:dyDescent="0.25">
      <c r="A2192" s="106"/>
      <c r="B2192" s="107"/>
      <c r="D2192" s="151"/>
      <c r="E2192" s="142"/>
      <c r="F2192" s="176"/>
      <c r="G2192" s="176"/>
      <c r="H2192" s="176"/>
      <c r="I2192" s="172"/>
      <c r="J2192" s="173"/>
    </row>
    <row r="2193" spans="1:10" x14ac:dyDescent="0.25">
      <c r="A2193" s="106"/>
      <c r="B2193" s="107"/>
      <c r="D2193" s="151"/>
      <c r="E2193" s="142"/>
      <c r="F2193" s="176"/>
      <c r="G2193" s="176"/>
      <c r="H2193" s="176"/>
      <c r="I2193" s="172"/>
      <c r="J2193" s="173"/>
    </row>
    <row r="2194" spans="1:10" x14ac:dyDescent="0.25">
      <c r="A2194" s="106"/>
      <c r="B2194" s="107"/>
      <c r="D2194" s="151"/>
      <c r="E2194" s="142"/>
      <c r="F2194" s="176"/>
      <c r="G2194" s="176"/>
      <c r="H2194" s="176"/>
      <c r="I2194" s="172"/>
      <c r="J2194" s="173"/>
    </row>
    <row r="2195" spans="1:10" x14ac:dyDescent="0.25">
      <c r="A2195" s="106"/>
      <c r="B2195" s="107"/>
      <c r="D2195" s="151"/>
      <c r="E2195" s="142"/>
      <c r="F2195" s="176"/>
      <c r="G2195" s="176"/>
      <c r="H2195" s="176"/>
      <c r="I2195" s="172"/>
      <c r="J2195" s="173"/>
    </row>
    <row r="2196" spans="1:10" x14ac:dyDescent="0.25">
      <c r="A2196" s="106"/>
      <c r="B2196" s="107"/>
      <c r="D2196" s="151"/>
      <c r="E2196" s="142"/>
      <c r="F2196" s="176"/>
      <c r="G2196" s="176"/>
      <c r="H2196" s="176"/>
      <c r="I2196" s="172"/>
      <c r="J2196" s="173"/>
    </row>
    <row r="2197" spans="1:10" x14ac:dyDescent="0.25">
      <c r="A2197" s="106"/>
      <c r="B2197" s="107"/>
      <c r="D2197" s="151"/>
      <c r="E2197" s="142"/>
      <c r="F2197" s="176"/>
      <c r="G2197" s="176"/>
      <c r="H2197" s="176"/>
      <c r="I2197" s="172"/>
      <c r="J2197" s="173"/>
    </row>
    <row r="2198" spans="1:10" x14ac:dyDescent="0.25">
      <c r="A2198" s="106"/>
      <c r="B2198" s="107"/>
      <c r="D2198" s="151"/>
      <c r="E2198" s="142"/>
      <c r="F2198" s="176"/>
      <c r="G2198" s="176"/>
      <c r="H2198" s="176"/>
      <c r="I2198" s="172"/>
      <c r="J2198" s="173"/>
    </row>
    <row r="2199" spans="1:10" x14ac:dyDescent="0.25">
      <c r="A2199" s="106"/>
      <c r="B2199" s="107"/>
      <c r="D2199" s="151"/>
      <c r="E2199" s="142"/>
      <c r="F2199" s="176"/>
      <c r="G2199" s="176"/>
      <c r="H2199" s="176"/>
      <c r="I2199" s="172"/>
      <c r="J2199" s="173"/>
    </row>
    <row r="2200" spans="1:10" x14ac:dyDescent="0.25">
      <c r="A2200" s="106"/>
      <c r="B2200" s="107"/>
      <c r="D2200" s="151"/>
      <c r="E2200" s="142"/>
      <c r="F2200" s="176"/>
      <c r="G2200" s="176"/>
      <c r="H2200" s="176"/>
      <c r="I2200" s="172"/>
      <c r="J2200" s="173"/>
    </row>
    <row r="2201" spans="1:10" x14ac:dyDescent="0.25">
      <c r="A2201" s="106"/>
      <c r="B2201" s="107"/>
      <c r="D2201" s="151"/>
      <c r="E2201" s="142"/>
      <c r="F2201" s="176"/>
      <c r="G2201" s="176"/>
      <c r="H2201" s="176"/>
      <c r="I2201" s="172"/>
      <c r="J2201" s="173"/>
    </row>
    <row r="2202" spans="1:10" x14ac:dyDescent="0.25">
      <c r="A2202" s="106"/>
      <c r="B2202" s="107"/>
      <c r="D2202" s="151"/>
      <c r="E2202" s="142"/>
      <c r="F2202" s="176"/>
      <c r="G2202" s="176"/>
      <c r="H2202" s="176"/>
      <c r="I2202" s="172"/>
      <c r="J2202" s="173"/>
    </row>
    <row r="2203" spans="1:10" x14ac:dyDescent="0.25">
      <c r="A2203" s="106"/>
      <c r="B2203" s="107"/>
      <c r="D2203" s="151"/>
      <c r="E2203" s="142"/>
      <c r="F2203" s="176"/>
      <c r="G2203" s="179"/>
      <c r="H2203" s="180"/>
      <c r="I2203" s="172"/>
      <c r="J2203" s="173"/>
    </row>
    <row r="2204" spans="1:10" x14ac:dyDescent="0.25">
      <c r="A2204" s="106"/>
      <c r="B2204" s="107"/>
      <c r="D2204" s="151"/>
      <c r="E2204" s="142"/>
      <c r="F2204" s="176"/>
      <c r="G2204" s="176"/>
      <c r="H2204" s="176"/>
      <c r="I2204" s="172"/>
      <c r="J2204" s="173"/>
    </row>
    <row r="2205" spans="1:10" x14ac:dyDescent="0.25">
      <c r="A2205" s="106"/>
      <c r="B2205" s="107"/>
      <c r="D2205" s="151"/>
      <c r="E2205" s="142"/>
      <c r="F2205" s="176"/>
      <c r="G2205" s="179"/>
      <c r="H2205" s="180"/>
      <c r="I2205" s="172"/>
      <c r="J2205" s="173"/>
    </row>
    <row r="2206" spans="1:10" x14ac:dyDescent="0.25">
      <c r="A2206" s="106"/>
      <c r="B2206" s="107"/>
      <c r="D2206" s="151"/>
      <c r="E2206" s="142"/>
      <c r="F2206" s="176"/>
      <c r="G2206" s="176"/>
      <c r="H2206" s="176"/>
      <c r="I2206" s="172"/>
      <c r="J2206" s="173"/>
    </row>
    <row r="2207" spans="1:10" x14ac:dyDescent="0.25">
      <c r="A2207" s="106"/>
      <c r="B2207" s="107"/>
      <c r="D2207" s="151"/>
      <c r="E2207" s="142"/>
      <c r="F2207" s="176"/>
      <c r="G2207" s="179"/>
      <c r="H2207" s="180"/>
      <c r="I2207" s="172"/>
      <c r="J2207" s="173"/>
    </row>
    <row r="2208" spans="1:10" x14ac:dyDescent="0.25">
      <c r="A2208" s="106"/>
      <c r="B2208" s="107"/>
      <c r="D2208" s="151"/>
      <c r="E2208" s="142"/>
      <c r="F2208" s="176"/>
      <c r="G2208" s="176"/>
      <c r="H2208" s="176"/>
      <c r="I2208" s="172"/>
      <c r="J2208" s="173"/>
    </row>
    <row r="2209" spans="1:10" x14ac:dyDescent="0.25">
      <c r="A2209" s="106"/>
      <c r="B2209" s="107"/>
      <c r="D2209" s="151"/>
      <c r="E2209" s="142"/>
      <c r="F2209" s="176"/>
      <c r="G2209" s="176"/>
      <c r="H2209" s="176"/>
      <c r="I2209" s="172"/>
      <c r="J2209" s="173"/>
    </row>
    <row r="2210" spans="1:10" x14ac:dyDescent="0.25">
      <c r="A2210" s="106"/>
      <c r="B2210" s="107"/>
      <c r="D2210" s="151"/>
      <c r="E2210" s="142"/>
      <c r="F2210" s="176"/>
      <c r="G2210" s="176"/>
      <c r="H2210" s="176"/>
      <c r="I2210" s="172"/>
      <c r="J2210" s="173"/>
    </row>
    <row r="2211" spans="1:10" x14ac:dyDescent="0.25">
      <c r="A2211" s="106"/>
      <c r="B2211" s="107"/>
      <c r="D2211" s="151"/>
      <c r="E2211" s="142"/>
      <c r="F2211" s="176"/>
      <c r="G2211" s="176"/>
      <c r="H2211" s="176"/>
      <c r="I2211" s="172"/>
      <c r="J2211" s="173"/>
    </row>
    <row r="2212" spans="1:10" x14ac:dyDescent="0.25">
      <c r="A2212" s="106"/>
      <c r="B2212" s="107"/>
      <c r="D2212" s="151"/>
      <c r="E2212" s="142"/>
      <c r="F2212" s="176"/>
      <c r="G2212" s="176"/>
      <c r="H2212" s="176"/>
      <c r="I2212" s="172"/>
      <c r="J2212" s="173"/>
    </row>
    <row r="2213" spans="1:10" x14ac:dyDescent="0.25">
      <c r="A2213" s="106"/>
      <c r="B2213" s="107"/>
      <c r="D2213" s="151"/>
      <c r="E2213" s="142"/>
      <c r="F2213" s="176"/>
      <c r="G2213" s="176"/>
      <c r="H2213" s="176"/>
      <c r="I2213" s="172"/>
      <c r="J2213" s="173"/>
    </row>
    <row r="2214" spans="1:10" x14ac:dyDescent="0.25">
      <c r="A2214" s="106"/>
      <c r="B2214" s="107"/>
      <c r="D2214" s="151"/>
      <c r="E2214" s="142"/>
      <c r="F2214" s="176"/>
      <c r="G2214" s="176"/>
      <c r="H2214" s="176"/>
      <c r="I2214" s="172"/>
      <c r="J2214" s="173"/>
    </row>
    <row r="2215" spans="1:10" x14ac:dyDescent="0.25">
      <c r="A2215" s="106"/>
      <c r="B2215" s="107"/>
      <c r="D2215" s="151"/>
      <c r="E2215" s="142"/>
      <c r="F2215" s="176"/>
      <c r="G2215" s="176"/>
      <c r="H2215" s="176"/>
      <c r="I2215" s="172"/>
      <c r="J2215" s="173"/>
    </row>
    <row r="2216" spans="1:10" x14ac:dyDescent="0.25">
      <c r="A2216" s="106"/>
      <c r="B2216" s="107"/>
      <c r="D2216" s="151"/>
      <c r="E2216" s="142"/>
      <c r="F2216" s="176"/>
      <c r="G2216" s="176"/>
      <c r="H2216" s="176"/>
      <c r="I2216" s="172"/>
      <c r="J2216" s="173"/>
    </row>
    <row r="2217" spans="1:10" x14ac:dyDescent="0.25">
      <c r="A2217" s="106"/>
      <c r="B2217" s="107"/>
      <c r="D2217" s="151"/>
      <c r="E2217" s="142"/>
      <c r="F2217" s="176"/>
      <c r="G2217" s="176"/>
      <c r="H2217" s="176"/>
      <c r="I2217" s="172"/>
      <c r="J2217" s="173"/>
    </row>
    <row r="2218" spans="1:10" x14ac:dyDescent="0.25">
      <c r="A2218" s="106"/>
      <c r="B2218" s="107"/>
      <c r="D2218" s="151"/>
      <c r="E2218" s="142"/>
      <c r="F2218" s="176"/>
      <c r="G2218" s="179"/>
      <c r="H2218" s="180"/>
      <c r="I2218" s="172"/>
      <c r="J2218" s="173"/>
    </row>
    <row r="2219" spans="1:10" x14ac:dyDescent="0.25">
      <c r="A2219" s="106"/>
      <c r="B2219" s="107"/>
      <c r="D2219" s="151"/>
      <c r="E2219" s="142"/>
      <c r="F2219" s="176"/>
      <c r="G2219" s="176"/>
      <c r="H2219" s="176"/>
      <c r="I2219" s="172"/>
      <c r="J2219" s="173"/>
    </row>
    <row r="2220" spans="1:10" x14ac:dyDescent="0.25">
      <c r="A2220" s="106"/>
      <c r="B2220" s="107"/>
      <c r="D2220" s="151"/>
      <c r="E2220" s="142"/>
      <c r="F2220" s="176"/>
      <c r="G2220" s="176"/>
      <c r="H2220" s="176"/>
      <c r="I2220" s="172"/>
      <c r="J2220" s="173"/>
    </row>
    <row r="2221" spans="1:10" x14ac:dyDescent="0.25">
      <c r="A2221" s="106"/>
      <c r="B2221" s="107"/>
      <c r="D2221" s="151"/>
      <c r="E2221" s="142"/>
      <c r="F2221" s="176"/>
      <c r="G2221" s="176"/>
      <c r="H2221" s="176"/>
      <c r="I2221" s="172"/>
      <c r="J2221" s="173"/>
    </row>
    <row r="2222" spans="1:10" x14ac:dyDescent="0.25">
      <c r="A2222" s="106"/>
      <c r="B2222" s="107"/>
      <c r="D2222" s="151"/>
      <c r="E2222" s="142"/>
      <c r="F2222" s="176"/>
      <c r="G2222" s="176"/>
      <c r="H2222" s="176"/>
      <c r="I2222" s="172"/>
      <c r="J2222" s="173"/>
    </row>
    <row r="2223" spans="1:10" x14ac:dyDescent="0.25">
      <c r="A2223" s="106"/>
      <c r="B2223" s="107"/>
      <c r="D2223" s="151"/>
      <c r="E2223" s="142"/>
      <c r="F2223" s="176"/>
      <c r="G2223" s="176"/>
      <c r="H2223" s="176"/>
      <c r="I2223" s="172"/>
      <c r="J2223" s="173"/>
    </row>
    <row r="2224" spans="1:10" x14ac:dyDescent="0.25">
      <c r="A2224" s="106"/>
      <c r="B2224" s="107"/>
      <c r="D2224" s="151"/>
      <c r="E2224" s="142"/>
      <c r="F2224" s="176"/>
      <c r="G2224" s="176"/>
      <c r="H2224" s="176"/>
      <c r="I2224" s="172"/>
      <c r="J2224" s="173"/>
    </row>
    <row r="2225" spans="1:10" x14ac:dyDescent="0.25">
      <c r="A2225" s="106"/>
      <c r="B2225" s="107"/>
      <c r="D2225" s="151"/>
      <c r="E2225" s="142"/>
      <c r="F2225" s="176"/>
      <c r="G2225" s="132"/>
      <c r="H2225" s="176"/>
      <c r="I2225" s="133"/>
      <c r="J2225" s="173"/>
    </row>
    <row r="2226" spans="1:10" x14ac:dyDescent="0.25">
      <c r="A2226" s="106"/>
      <c r="B2226" s="107"/>
      <c r="D2226" s="151"/>
      <c r="E2226" s="142"/>
      <c r="F2226" s="176"/>
      <c r="G2226" s="134"/>
      <c r="H2226" s="135"/>
      <c r="I2226" s="136"/>
      <c r="J2226" s="173"/>
    </row>
    <row r="2227" spans="1:10" x14ac:dyDescent="0.25">
      <c r="A2227" s="106"/>
      <c r="B2227" s="107"/>
      <c r="D2227" s="151"/>
      <c r="E2227" s="142"/>
      <c r="F2227" s="176"/>
      <c r="G2227" s="176"/>
      <c r="H2227" s="176"/>
      <c r="I2227" s="172"/>
      <c r="J2227" s="173"/>
    </row>
    <row r="2228" spans="1:10" x14ac:dyDescent="0.25">
      <c r="A2228" s="106"/>
      <c r="B2228" s="107"/>
      <c r="D2228" s="151"/>
      <c r="E2228" s="142"/>
      <c r="F2228" s="176"/>
      <c r="G2228" s="176"/>
      <c r="H2228" s="176"/>
      <c r="I2228" s="172"/>
      <c r="J2228" s="173"/>
    </row>
    <row r="2229" spans="1:10" x14ac:dyDescent="0.25">
      <c r="A2229" s="106"/>
      <c r="B2229" s="107"/>
      <c r="D2229" s="151"/>
      <c r="E2229" s="142"/>
      <c r="F2229" s="176"/>
      <c r="G2229" s="132"/>
      <c r="H2229" s="176"/>
      <c r="I2229" s="133"/>
      <c r="J2229" s="173"/>
    </row>
    <row r="2230" spans="1:10" x14ac:dyDescent="0.25">
      <c r="A2230" s="106"/>
      <c r="B2230" s="107"/>
      <c r="D2230" s="151"/>
      <c r="E2230" s="142"/>
      <c r="F2230" s="176"/>
      <c r="G2230" s="134"/>
      <c r="H2230" s="135"/>
      <c r="I2230" s="136"/>
      <c r="J2230" s="173"/>
    </row>
    <row r="2231" spans="1:10" x14ac:dyDescent="0.25">
      <c r="A2231" s="106"/>
      <c r="B2231" s="107"/>
      <c r="D2231" s="151"/>
      <c r="E2231" s="142"/>
      <c r="F2231" s="176"/>
      <c r="G2231" s="176"/>
      <c r="H2231" s="176"/>
      <c r="I2231" s="172"/>
      <c r="J2231" s="173"/>
    </row>
    <row r="2232" spans="1:10" x14ac:dyDescent="0.25">
      <c r="A2232" s="106"/>
      <c r="B2232" s="107"/>
      <c r="D2232" s="151"/>
      <c r="E2232" s="142"/>
      <c r="F2232" s="176"/>
      <c r="G2232" s="176"/>
      <c r="H2232" s="176"/>
      <c r="I2232" s="172"/>
      <c r="J2232" s="173"/>
    </row>
    <row r="2233" spans="1:10" x14ac:dyDescent="0.25">
      <c r="A2233" s="106"/>
      <c r="B2233" s="107"/>
      <c r="D2233" s="151"/>
      <c r="E2233" s="142"/>
      <c r="F2233" s="176"/>
      <c r="G2233" s="176"/>
      <c r="H2233" s="176"/>
      <c r="I2233" s="133"/>
      <c r="J2233" s="173"/>
    </row>
    <row r="2234" spans="1:10" x14ac:dyDescent="0.25">
      <c r="A2234" s="106"/>
      <c r="B2234" s="107"/>
      <c r="D2234" s="151"/>
      <c r="E2234" s="142"/>
      <c r="F2234" s="176"/>
      <c r="G2234" s="176"/>
      <c r="H2234" s="135"/>
      <c r="I2234" s="136"/>
      <c r="J2234" s="173"/>
    </row>
    <row r="2235" spans="1:10" x14ac:dyDescent="0.25">
      <c r="A2235" s="106"/>
      <c r="B2235" s="107"/>
      <c r="D2235" s="151"/>
      <c r="E2235" s="142"/>
      <c r="F2235" s="176"/>
      <c r="G2235" s="176"/>
      <c r="H2235" s="176"/>
      <c r="I2235" s="172"/>
      <c r="J2235" s="173"/>
    </row>
    <row r="2236" spans="1:10" x14ac:dyDescent="0.25">
      <c r="A2236" s="106"/>
      <c r="B2236" s="107"/>
      <c r="D2236" s="151"/>
      <c r="E2236" s="142"/>
      <c r="F2236" s="176"/>
      <c r="G2236" s="176"/>
      <c r="H2236" s="180"/>
      <c r="I2236" s="172"/>
      <c r="J2236" s="173"/>
    </row>
    <row r="2237" spans="1:10" x14ac:dyDescent="0.25">
      <c r="A2237" s="106"/>
      <c r="B2237" s="107"/>
      <c r="D2237" s="151"/>
      <c r="E2237" s="142"/>
      <c r="F2237" s="176"/>
      <c r="G2237" s="176"/>
      <c r="H2237" s="176"/>
      <c r="I2237" s="172"/>
      <c r="J2237" s="173"/>
    </row>
    <row r="2238" spans="1:10" x14ac:dyDescent="0.25">
      <c r="A2238" s="106"/>
      <c r="B2238" s="107"/>
      <c r="D2238" s="151"/>
      <c r="E2238" s="142"/>
      <c r="F2238" s="176"/>
      <c r="G2238" s="176"/>
      <c r="H2238" s="176"/>
      <c r="I2238" s="172"/>
      <c r="J2238" s="173"/>
    </row>
    <row r="2239" spans="1:10" x14ac:dyDescent="0.25">
      <c r="A2239" s="106"/>
      <c r="B2239" s="107"/>
      <c r="D2239" s="151"/>
      <c r="E2239" s="142"/>
      <c r="F2239" s="176"/>
      <c r="G2239" s="176"/>
      <c r="H2239" s="176"/>
      <c r="I2239" s="172"/>
      <c r="J2239" s="173"/>
    </row>
    <row r="2240" spans="1:10" x14ac:dyDescent="0.25">
      <c r="A2240" s="106"/>
      <c r="B2240" s="107"/>
      <c r="D2240" s="151"/>
      <c r="E2240" s="142"/>
      <c r="F2240" s="176"/>
      <c r="G2240" s="176"/>
      <c r="H2240" s="176"/>
      <c r="I2240" s="172"/>
      <c r="J2240" s="173"/>
    </row>
    <row r="2241" spans="1:10" x14ac:dyDescent="0.25">
      <c r="A2241" s="106"/>
      <c r="B2241" s="107"/>
      <c r="D2241" s="151"/>
      <c r="E2241" s="142"/>
      <c r="F2241" s="176"/>
      <c r="G2241" s="176"/>
      <c r="H2241" s="176"/>
      <c r="I2241" s="172"/>
      <c r="J2241" s="173"/>
    </row>
    <row r="2242" spans="1:10" x14ac:dyDescent="0.25">
      <c r="A2242" s="106"/>
      <c r="B2242" s="107"/>
      <c r="D2242" s="151"/>
      <c r="E2242" s="142"/>
      <c r="F2242" s="176"/>
      <c r="G2242" s="176"/>
      <c r="H2242" s="176"/>
      <c r="I2242" s="172"/>
      <c r="J2242" s="173"/>
    </row>
    <row r="2243" spans="1:10" x14ac:dyDescent="0.25">
      <c r="A2243" s="106"/>
      <c r="B2243" s="107"/>
      <c r="D2243" s="151"/>
      <c r="E2243" s="142"/>
      <c r="F2243" s="176"/>
      <c r="G2243" s="176"/>
      <c r="H2243" s="176"/>
      <c r="I2243" s="133"/>
      <c r="J2243" s="173"/>
    </row>
    <row r="2244" spans="1:10" x14ac:dyDescent="0.25">
      <c r="A2244" s="106"/>
      <c r="B2244" s="107"/>
      <c r="D2244" s="151"/>
      <c r="E2244" s="142"/>
      <c r="F2244" s="176"/>
      <c r="G2244" s="176"/>
      <c r="H2244" s="135"/>
      <c r="I2244" s="136"/>
      <c r="J2244" s="173"/>
    </row>
    <row r="2245" spans="1:10" x14ac:dyDescent="0.25">
      <c r="A2245" s="106"/>
      <c r="B2245" s="107"/>
      <c r="D2245" s="151"/>
      <c r="E2245" s="142"/>
      <c r="F2245" s="176"/>
      <c r="G2245" s="176"/>
      <c r="H2245" s="176"/>
      <c r="I2245" s="172"/>
      <c r="J2245" s="173"/>
    </row>
    <row r="2246" spans="1:10" x14ac:dyDescent="0.25">
      <c r="A2246" s="106"/>
      <c r="B2246" s="107"/>
      <c r="D2246" s="151"/>
      <c r="E2246" s="142"/>
      <c r="F2246" s="176"/>
      <c r="G2246" s="176"/>
      <c r="H2246" s="180"/>
      <c r="I2246" s="172"/>
      <c r="J2246" s="173"/>
    </row>
    <row r="2247" spans="1:10" x14ac:dyDescent="0.25">
      <c r="A2247" s="106"/>
      <c r="B2247" s="107"/>
      <c r="D2247" s="151"/>
      <c r="E2247" s="142"/>
      <c r="F2247" s="176"/>
      <c r="G2247" s="176"/>
      <c r="H2247" s="176"/>
      <c r="I2247" s="172"/>
      <c r="J2247" s="173"/>
    </row>
    <row r="2248" spans="1:10" x14ac:dyDescent="0.25">
      <c r="A2248" s="106"/>
      <c r="B2248" s="107"/>
      <c r="D2248" s="151"/>
      <c r="E2248" s="142"/>
      <c r="F2248" s="176"/>
      <c r="G2248" s="176"/>
      <c r="H2248" s="176"/>
      <c r="I2248" s="172"/>
      <c r="J2248" s="173"/>
    </row>
    <row r="2249" spans="1:10" x14ac:dyDescent="0.25">
      <c r="A2249" s="106"/>
      <c r="B2249" s="107"/>
      <c r="D2249" s="151"/>
      <c r="E2249" s="142"/>
      <c r="F2249" s="176"/>
      <c r="G2249" s="176"/>
      <c r="H2249" s="176"/>
      <c r="I2249" s="172"/>
      <c r="J2249" s="173"/>
    </row>
    <row r="2250" spans="1:10" x14ac:dyDescent="0.25">
      <c r="A2250" s="106"/>
      <c r="B2250" s="107"/>
      <c r="D2250" s="151"/>
      <c r="E2250" s="142"/>
      <c r="F2250" s="176"/>
      <c r="G2250" s="176"/>
      <c r="H2250" s="176"/>
      <c r="I2250" s="172"/>
      <c r="J2250" s="173"/>
    </row>
    <row r="2251" spans="1:10" x14ac:dyDescent="0.25">
      <c r="A2251" s="106"/>
      <c r="B2251" s="107"/>
      <c r="D2251" s="151"/>
      <c r="E2251" s="142"/>
      <c r="F2251" s="176"/>
      <c r="G2251" s="176"/>
      <c r="H2251" s="176"/>
      <c r="I2251" s="172"/>
      <c r="J2251" s="173"/>
    </row>
    <row r="2252" spans="1:10" x14ac:dyDescent="0.25">
      <c r="A2252" s="106"/>
      <c r="B2252" s="107"/>
      <c r="D2252" s="151"/>
      <c r="E2252" s="142"/>
      <c r="F2252" s="176"/>
      <c r="G2252" s="176"/>
      <c r="H2252" s="176"/>
      <c r="I2252" s="172"/>
      <c r="J2252" s="173"/>
    </row>
    <row r="2253" spans="1:10" x14ac:dyDescent="0.25">
      <c r="A2253" s="106"/>
      <c r="B2253" s="107"/>
      <c r="D2253" s="151"/>
      <c r="E2253" s="142"/>
      <c r="F2253" s="176"/>
      <c r="G2253" s="176"/>
      <c r="H2253" s="176"/>
      <c r="I2253" s="172"/>
      <c r="J2253" s="173"/>
    </row>
    <row r="2254" spans="1:10" x14ac:dyDescent="0.25">
      <c r="A2254" s="106"/>
      <c r="B2254" s="107"/>
      <c r="D2254" s="151"/>
      <c r="E2254" s="142"/>
      <c r="F2254" s="176"/>
      <c r="G2254" s="176"/>
      <c r="H2254" s="176"/>
      <c r="I2254" s="172"/>
      <c r="J2254" s="173"/>
    </row>
    <row r="2255" spans="1:10" x14ac:dyDescent="0.25">
      <c r="A2255" s="106"/>
      <c r="B2255" s="107"/>
      <c r="D2255" s="151"/>
      <c r="E2255" s="142"/>
      <c r="F2255" s="176"/>
      <c r="G2255" s="176"/>
      <c r="H2255" s="176"/>
      <c r="I2255" s="172"/>
      <c r="J2255" s="173"/>
    </row>
    <row r="2256" spans="1:10" x14ac:dyDescent="0.25">
      <c r="A2256" s="106"/>
      <c r="B2256" s="107"/>
      <c r="D2256" s="151"/>
      <c r="E2256" s="142"/>
      <c r="F2256" s="176"/>
      <c r="G2256" s="176"/>
      <c r="H2256" s="176"/>
      <c r="I2256" s="172"/>
      <c r="J2256" s="173"/>
    </row>
    <row r="2257" spans="1:10" x14ac:dyDescent="0.25">
      <c r="A2257" s="106"/>
      <c r="B2257" s="107"/>
      <c r="D2257" s="151"/>
      <c r="E2257" s="142"/>
      <c r="F2257" s="176"/>
      <c r="G2257" s="176"/>
      <c r="H2257" s="176"/>
      <c r="I2257" s="172"/>
      <c r="J2257" s="173"/>
    </row>
    <row r="2258" spans="1:10" x14ac:dyDescent="0.25">
      <c r="A2258" s="106"/>
      <c r="B2258" s="107"/>
      <c r="D2258" s="151"/>
      <c r="E2258" s="142"/>
      <c r="F2258" s="176"/>
      <c r="G2258" s="176"/>
      <c r="H2258" s="176"/>
      <c r="I2258" s="172"/>
      <c r="J2258" s="173"/>
    </row>
    <row r="2259" spans="1:10" x14ac:dyDescent="0.25">
      <c r="A2259" s="106"/>
      <c r="B2259" s="107"/>
      <c r="D2259" s="151"/>
      <c r="E2259" s="142"/>
      <c r="F2259" s="176"/>
      <c r="G2259" s="176"/>
      <c r="H2259" s="176"/>
      <c r="I2259" s="172"/>
      <c r="J2259" s="173"/>
    </row>
    <row r="2260" spans="1:10" x14ac:dyDescent="0.25">
      <c r="A2260" s="106"/>
      <c r="B2260" s="107"/>
      <c r="D2260" s="151"/>
      <c r="E2260" s="142"/>
      <c r="F2260" s="176"/>
      <c r="G2260" s="176"/>
      <c r="H2260" s="176"/>
      <c r="I2260" s="172"/>
      <c r="J2260" s="173"/>
    </row>
    <row r="2261" spans="1:10" x14ac:dyDescent="0.25">
      <c r="A2261" s="106"/>
      <c r="B2261" s="107"/>
      <c r="D2261" s="151"/>
      <c r="E2261" s="142"/>
      <c r="F2261" s="176"/>
      <c r="G2261" s="176"/>
      <c r="H2261" s="176"/>
      <c r="I2261" s="172"/>
      <c r="J2261" s="173"/>
    </row>
    <row r="2262" spans="1:10" x14ac:dyDescent="0.25">
      <c r="A2262" s="106"/>
      <c r="B2262" s="107"/>
      <c r="D2262" s="151"/>
      <c r="E2262" s="142"/>
      <c r="F2262" s="176"/>
      <c r="G2262" s="176"/>
      <c r="H2262" s="176"/>
      <c r="I2262" s="172"/>
      <c r="J2262" s="173"/>
    </row>
    <row r="2263" spans="1:10" x14ac:dyDescent="0.25">
      <c r="A2263" s="106"/>
      <c r="B2263" s="107"/>
      <c r="D2263" s="151"/>
      <c r="E2263" s="142"/>
      <c r="F2263" s="176"/>
      <c r="G2263" s="176"/>
      <c r="H2263" s="176"/>
      <c r="I2263" s="172"/>
      <c r="J2263" s="173"/>
    </row>
    <row r="2264" spans="1:10" x14ac:dyDescent="0.25">
      <c r="A2264" s="106"/>
      <c r="B2264" s="107"/>
      <c r="D2264" s="151"/>
      <c r="E2264" s="142"/>
      <c r="F2264" s="176"/>
      <c r="G2264" s="176"/>
      <c r="H2264" s="176"/>
      <c r="I2264" s="172"/>
      <c r="J2264" s="173"/>
    </row>
    <row r="2265" spans="1:10" x14ac:dyDescent="0.25">
      <c r="A2265" s="106"/>
      <c r="B2265" s="107"/>
      <c r="D2265" s="151"/>
      <c r="E2265" s="142"/>
      <c r="F2265" s="176"/>
      <c r="G2265" s="176"/>
      <c r="H2265" s="176"/>
      <c r="I2265" s="172"/>
      <c r="J2265" s="173"/>
    </row>
    <row r="2266" spans="1:10" x14ac:dyDescent="0.25">
      <c r="A2266" s="106"/>
      <c r="B2266" s="107"/>
      <c r="D2266" s="151"/>
      <c r="E2266" s="142"/>
      <c r="F2266" s="176"/>
      <c r="G2266" s="176"/>
      <c r="H2266" s="176"/>
      <c r="I2266" s="172"/>
      <c r="J2266" s="173"/>
    </row>
    <row r="2267" spans="1:10" x14ac:dyDescent="0.25">
      <c r="A2267" s="106"/>
      <c r="B2267" s="107"/>
      <c r="D2267" s="151"/>
      <c r="E2267" s="142"/>
      <c r="F2267" s="176"/>
      <c r="G2267" s="176"/>
      <c r="H2267" s="176"/>
      <c r="I2267" s="172"/>
      <c r="J2267" s="173"/>
    </row>
    <row r="2268" spans="1:10" x14ac:dyDescent="0.25">
      <c r="A2268" s="106"/>
      <c r="B2268" s="107"/>
      <c r="D2268" s="151"/>
      <c r="E2268" s="142"/>
      <c r="F2268" s="176"/>
      <c r="G2268" s="176"/>
      <c r="H2268" s="176"/>
      <c r="I2268" s="172"/>
      <c r="J2268" s="173"/>
    </row>
    <row r="2269" spans="1:10" x14ac:dyDescent="0.25">
      <c r="A2269" s="106"/>
      <c r="B2269" s="107"/>
      <c r="D2269" s="151"/>
      <c r="E2269" s="142"/>
      <c r="F2269" s="176"/>
      <c r="G2269" s="176"/>
      <c r="H2269" s="176"/>
      <c r="I2269" s="172"/>
      <c r="J2269" s="173"/>
    </row>
    <row r="2270" spans="1:10" x14ac:dyDescent="0.25">
      <c r="A2270" s="106"/>
      <c r="B2270" s="107"/>
      <c r="D2270" s="151"/>
      <c r="E2270" s="142"/>
      <c r="F2270" s="176"/>
      <c r="G2270" s="176"/>
      <c r="H2270" s="176"/>
      <c r="I2270" s="172"/>
      <c r="J2270" s="173"/>
    </row>
    <row r="2271" spans="1:10" x14ac:dyDescent="0.25">
      <c r="A2271" s="106"/>
      <c r="B2271" s="107"/>
      <c r="D2271" s="151"/>
      <c r="E2271" s="142"/>
      <c r="F2271" s="176"/>
      <c r="G2271" s="176"/>
      <c r="H2271" s="176"/>
      <c r="I2271" s="172"/>
      <c r="J2271" s="173"/>
    </row>
    <row r="2272" spans="1:10" x14ac:dyDescent="0.25">
      <c r="A2272" s="106"/>
      <c r="B2272" s="107"/>
      <c r="D2272" s="151"/>
      <c r="E2272" s="142"/>
      <c r="F2272" s="176"/>
      <c r="G2272" s="176"/>
      <c r="H2272" s="176"/>
      <c r="I2272" s="172"/>
      <c r="J2272" s="173"/>
    </row>
    <row r="2273" spans="1:10" x14ac:dyDescent="0.25">
      <c r="A2273" s="106"/>
      <c r="B2273" s="107"/>
      <c r="D2273" s="151"/>
      <c r="E2273" s="142"/>
      <c r="F2273" s="176"/>
      <c r="G2273" s="176"/>
      <c r="H2273" s="176"/>
      <c r="I2273" s="172"/>
      <c r="J2273" s="173"/>
    </row>
    <row r="2274" spans="1:10" x14ac:dyDescent="0.25">
      <c r="A2274" s="106"/>
      <c r="B2274" s="107"/>
      <c r="D2274" s="151"/>
      <c r="E2274" s="142"/>
      <c r="F2274" s="176"/>
      <c r="G2274" s="176"/>
      <c r="H2274" s="176"/>
      <c r="I2274" s="172"/>
      <c r="J2274" s="173"/>
    </row>
    <row r="2275" spans="1:10" x14ac:dyDescent="0.25">
      <c r="A2275" s="106"/>
      <c r="B2275" s="107"/>
      <c r="D2275" s="151"/>
      <c r="E2275" s="142"/>
      <c r="F2275" s="176"/>
      <c r="G2275" s="176"/>
      <c r="H2275" s="176"/>
      <c r="I2275" s="172"/>
      <c r="J2275" s="173"/>
    </row>
    <row r="2276" spans="1:10" x14ac:dyDescent="0.25">
      <c r="A2276" s="106"/>
      <c r="B2276" s="107"/>
      <c r="D2276" s="151"/>
      <c r="E2276" s="142"/>
      <c r="F2276" s="176"/>
      <c r="G2276" s="176"/>
      <c r="H2276" s="176"/>
      <c r="I2276" s="172"/>
      <c r="J2276" s="173"/>
    </row>
    <row r="2277" spans="1:10" x14ac:dyDescent="0.25">
      <c r="A2277" s="106"/>
      <c r="B2277" s="107"/>
      <c r="D2277" s="151"/>
      <c r="E2277" s="142"/>
      <c r="F2277" s="176"/>
      <c r="G2277" s="176"/>
      <c r="H2277" s="176"/>
      <c r="I2277" s="172"/>
      <c r="J2277" s="173"/>
    </row>
    <row r="2278" spans="1:10" x14ac:dyDescent="0.25">
      <c r="A2278" s="106"/>
      <c r="B2278" s="107"/>
      <c r="D2278" s="151"/>
      <c r="E2278" s="142"/>
      <c r="F2278" s="176"/>
      <c r="G2278" s="176"/>
      <c r="H2278" s="176"/>
      <c r="I2278" s="172"/>
      <c r="J2278" s="173"/>
    </row>
    <row r="2279" spans="1:10" x14ac:dyDescent="0.25">
      <c r="A2279" s="106"/>
      <c r="B2279" s="107"/>
      <c r="D2279" s="151"/>
      <c r="E2279" s="142"/>
      <c r="F2279" s="176"/>
      <c r="G2279" s="176"/>
      <c r="H2279" s="180"/>
      <c r="I2279" s="172"/>
      <c r="J2279" s="173"/>
    </row>
    <row r="2280" spans="1:10" x14ac:dyDescent="0.25">
      <c r="A2280" s="106"/>
      <c r="B2280" s="107"/>
      <c r="D2280" s="151"/>
      <c r="E2280" s="142"/>
      <c r="F2280" s="176"/>
      <c r="G2280" s="176"/>
      <c r="H2280" s="178"/>
      <c r="I2280" s="172"/>
      <c r="J2280" s="173"/>
    </row>
    <row r="2281" spans="1:10" x14ac:dyDescent="0.25">
      <c r="A2281" s="106"/>
      <c r="B2281" s="107"/>
      <c r="D2281" s="151"/>
      <c r="E2281" s="142"/>
      <c r="F2281" s="176"/>
      <c r="G2281" s="176"/>
      <c r="H2281" s="180"/>
      <c r="I2281" s="172"/>
      <c r="J2281" s="173"/>
    </row>
    <row r="2282" spans="1:10" x14ac:dyDescent="0.25">
      <c r="A2282" s="106"/>
      <c r="B2282" s="107"/>
      <c r="D2282" s="151"/>
      <c r="E2282" s="142"/>
      <c r="F2282" s="176"/>
      <c r="G2282" s="176"/>
      <c r="H2282" s="180"/>
      <c r="I2282" s="172"/>
      <c r="J2282" s="173"/>
    </row>
    <row r="2283" spans="1:10" x14ac:dyDescent="0.25">
      <c r="A2283" s="106"/>
      <c r="B2283" s="107"/>
      <c r="D2283" s="151"/>
      <c r="E2283" s="142"/>
      <c r="F2283" s="176"/>
      <c r="G2283" s="176"/>
      <c r="H2283" s="180"/>
      <c r="I2283" s="172"/>
      <c r="J2283" s="173"/>
    </row>
    <row r="2284" spans="1:10" x14ac:dyDescent="0.25">
      <c r="A2284" s="106"/>
      <c r="B2284" s="107"/>
      <c r="D2284" s="151"/>
      <c r="E2284" s="142"/>
      <c r="F2284" s="176"/>
      <c r="G2284" s="176"/>
      <c r="H2284" s="180"/>
      <c r="I2284" s="172"/>
      <c r="J2284" s="173"/>
    </row>
    <row r="2285" spans="1:10" x14ac:dyDescent="0.25">
      <c r="A2285" s="106"/>
      <c r="B2285" s="107"/>
      <c r="D2285" s="151"/>
      <c r="E2285" s="142"/>
      <c r="F2285" s="176"/>
      <c r="G2285" s="176"/>
      <c r="H2285" s="176"/>
      <c r="I2285" s="172"/>
      <c r="J2285" s="173"/>
    </row>
    <row r="2286" spans="1:10" x14ac:dyDescent="0.25">
      <c r="A2286" s="106"/>
      <c r="B2286" s="107"/>
      <c r="D2286" s="151"/>
      <c r="E2286" s="142"/>
      <c r="F2286" s="176"/>
      <c r="G2286" s="176"/>
      <c r="H2286" s="180"/>
      <c r="I2286" s="172"/>
      <c r="J2286" s="173"/>
    </row>
    <row r="2287" spans="1:10" x14ac:dyDescent="0.25">
      <c r="A2287" s="106"/>
      <c r="B2287" s="107"/>
      <c r="D2287" s="151"/>
      <c r="E2287" s="142"/>
      <c r="F2287" s="176"/>
      <c r="G2287" s="176"/>
      <c r="H2287" s="178"/>
      <c r="I2287" s="172"/>
      <c r="J2287" s="173"/>
    </row>
    <row r="2288" spans="1:10" x14ac:dyDescent="0.25">
      <c r="A2288" s="106"/>
      <c r="B2288" s="107"/>
      <c r="D2288" s="151"/>
      <c r="E2288" s="142"/>
      <c r="F2288" s="176"/>
      <c r="G2288" s="176"/>
      <c r="H2288" s="180"/>
      <c r="I2288" s="172"/>
      <c r="J2288" s="173"/>
    </row>
    <row r="2289" spans="1:10" x14ac:dyDescent="0.25">
      <c r="A2289" s="106"/>
      <c r="B2289" s="107"/>
      <c r="D2289" s="151"/>
      <c r="E2289" s="142"/>
      <c r="F2289" s="176"/>
      <c r="G2289" s="176"/>
      <c r="H2289" s="180"/>
      <c r="I2289" s="172"/>
      <c r="J2289" s="173"/>
    </row>
    <row r="2290" spans="1:10" x14ac:dyDescent="0.25">
      <c r="A2290" s="106"/>
      <c r="B2290" s="107"/>
      <c r="D2290" s="151"/>
      <c r="E2290" s="142"/>
      <c r="F2290" s="176"/>
      <c r="G2290" s="176"/>
      <c r="H2290" s="180"/>
      <c r="I2290" s="172"/>
      <c r="J2290" s="173"/>
    </row>
    <row r="2291" spans="1:10" x14ac:dyDescent="0.25">
      <c r="A2291" s="106"/>
      <c r="B2291" s="107"/>
      <c r="D2291" s="151"/>
      <c r="E2291" s="142"/>
      <c r="F2291" s="176"/>
      <c r="G2291" s="179"/>
      <c r="H2291" s="180"/>
      <c r="I2291" s="172"/>
      <c r="J2291" s="173"/>
    </row>
    <row r="2292" spans="1:10" x14ac:dyDescent="0.25">
      <c r="A2292" s="106"/>
      <c r="B2292" s="107"/>
      <c r="D2292" s="151"/>
      <c r="E2292" s="142"/>
      <c r="F2292" s="176"/>
      <c r="G2292" s="176"/>
      <c r="H2292" s="176"/>
      <c r="I2292" s="172"/>
      <c r="J2292" s="173"/>
    </row>
    <row r="2293" spans="1:10" x14ac:dyDescent="0.25">
      <c r="A2293" s="106"/>
      <c r="B2293" s="107"/>
      <c r="D2293" s="151"/>
      <c r="E2293" s="142"/>
      <c r="F2293" s="176"/>
      <c r="G2293" s="179"/>
      <c r="H2293" s="180"/>
      <c r="I2293" s="172"/>
      <c r="J2293" s="173"/>
    </row>
    <row r="2294" spans="1:10" x14ac:dyDescent="0.25">
      <c r="A2294" s="106"/>
      <c r="B2294" s="107"/>
      <c r="D2294" s="151"/>
      <c r="E2294" s="142"/>
      <c r="F2294" s="176"/>
      <c r="G2294" s="132"/>
      <c r="H2294" s="178"/>
      <c r="I2294" s="172"/>
      <c r="J2294" s="173"/>
    </row>
    <row r="2295" spans="1:10" x14ac:dyDescent="0.25">
      <c r="A2295" s="106"/>
      <c r="B2295" s="107"/>
      <c r="D2295" s="151"/>
      <c r="E2295" s="142"/>
      <c r="F2295" s="176"/>
      <c r="G2295" s="179"/>
      <c r="H2295" s="180"/>
      <c r="I2295" s="172"/>
      <c r="J2295" s="173"/>
    </row>
    <row r="2296" spans="1:10" x14ac:dyDescent="0.25">
      <c r="A2296" s="106"/>
      <c r="B2296" s="107"/>
      <c r="D2296" s="151"/>
      <c r="E2296" s="142"/>
      <c r="F2296" s="176"/>
      <c r="G2296" s="179"/>
      <c r="H2296" s="180"/>
      <c r="I2296" s="172"/>
      <c r="J2296" s="173"/>
    </row>
    <row r="2297" spans="1:10" x14ac:dyDescent="0.25">
      <c r="A2297" s="106"/>
      <c r="B2297" s="107"/>
      <c r="D2297" s="151"/>
      <c r="E2297" s="142"/>
      <c r="F2297" s="176"/>
      <c r="G2297" s="179"/>
      <c r="H2297" s="180"/>
      <c r="I2297" s="172"/>
      <c r="J2297" s="173"/>
    </row>
    <row r="2298" spans="1:10" x14ac:dyDescent="0.25">
      <c r="A2298" s="106"/>
      <c r="B2298" s="107"/>
      <c r="D2298" s="151"/>
      <c r="E2298" s="142"/>
      <c r="F2298" s="176"/>
      <c r="G2298" s="179"/>
      <c r="H2298" s="180"/>
      <c r="I2298" s="172"/>
      <c r="J2298" s="173"/>
    </row>
    <row r="2299" spans="1:10" x14ac:dyDescent="0.25">
      <c r="A2299" s="106"/>
      <c r="B2299" s="107"/>
      <c r="D2299" s="151"/>
      <c r="E2299" s="142"/>
      <c r="F2299" s="176"/>
      <c r="G2299" s="176"/>
      <c r="H2299" s="176"/>
      <c r="I2299" s="172"/>
      <c r="J2299" s="173"/>
    </row>
    <row r="2300" spans="1:10" x14ac:dyDescent="0.25">
      <c r="A2300" s="106"/>
      <c r="B2300" s="107"/>
      <c r="D2300" s="151"/>
      <c r="E2300" s="142"/>
      <c r="F2300" s="176"/>
      <c r="G2300" s="176"/>
      <c r="H2300" s="176"/>
      <c r="I2300" s="172"/>
      <c r="J2300" s="173"/>
    </row>
    <row r="2301" spans="1:10" x14ac:dyDescent="0.25">
      <c r="A2301" s="106"/>
      <c r="B2301" s="107"/>
      <c r="D2301" s="151"/>
      <c r="E2301" s="142"/>
      <c r="F2301" s="176"/>
      <c r="G2301" s="176"/>
      <c r="H2301" s="176"/>
      <c r="I2301" s="172"/>
      <c r="J2301" s="173"/>
    </row>
    <row r="2302" spans="1:10" x14ac:dyDescent="0.25">
      <c r="A2302" s="106"/>
      <c r="B2302" s="107"/>
      <c r="D2302" s="151"/>
      <c r="E2302" s="142"/>
      <c r="F2302" s="176"/>
      <c r="G2302" s="176"/>
      <c r="H2302" s="176"/>
      <c r="I2302" s="172"/>
      <c r="J2302" s="173"/>
    </row>
    <row r="2303" spans="1:10" x14ac:dyDescent="0.25">
      <c r="A2303" s="106"/>
      <c r="B2303" s="107"/>
      <c r="D2303" s="151"/>
      <c r="E2303" s="142"/>
      <c r="F2303" s="176"/>
      <c r="G2303" s="176"/>
      <c r="H2303" s="176"/>
      <c r="I2303" s="172"/>
      <c r="J2303" s="173"/>
    </row>
    <row r="2304" spans="1:10" x14ac:dyDescent="0.25">
      <c r="A2304" s="106"/>
      <c r="B2304" s="107"/>
      <c r="D2304" s="151"/>
      <c r="E2304" s="142"/>
      <c r="F2304" s="176"/>
      <c r="G2304" s="179"/>
      <c r="H2304" s="180"/>
      <c r="I2304" s="172"/>
      <c r="J2304" s="173"/>
    </row>
    <row r="2305" spans="1:10" x14ac:dyDescent="0.25">
      <c r="A2305" s="106"/>
      <c r="B2305" s="107"/>
      <c r="D2305" s="151"/>
      <c r="E2305" s="142"/>
      <c r="F2305" s="176"/>
      <c r="G2305" s="132"/>
      <c r="H2305" s="178"/>
      <c r="I2305" s="172"/>
      <c r="J2305" s="173"/>
    </row>
    <row r="2306" spans="1:10" x14ac:dyDescent="0.25">
      <c r="A2306" s="106"/>
      <c r="B2306" s="107"/>
      <c r="D2306" s="151"/>
      <c r="E2306" s="142"/>
      <c r="F2306" s="176"/>
      <c r="G2306" s="179"/>
      <c r="H2306" s="180"/>
      <c r="I2306" s="172"/>
      <c r="J2306" s="173"/>
    </row>
    <row r="2307" spans="1:10" x14ac:dyDescent="0.25">
      <c r="A2307" s="106"/>
      <c r="B2307" s="107"/>
      <c r="D2307" s="151"/>
      <c r="E2307" s="142"/>
      <c r="F2307" s="176"/>
      <c r="G2307" s="179"/>
      <c r="H2307" s="180"/>
      <c r="I2307" s="172"/>
      <c r="J2307" s="173"/>
    </row>
    <row r="2308" spans="1:10" x14ac:dyDescent="0.25">
      <c r="A2308" s="106"/>
      <c r="B2308" s="107"/>
      <c r="D2308" s="151"/>
      <c r="E2308" s="142"/>
      <c r="F2308" s="176"/>
      <c r="G2308" s="179"/>
      <c r="H2308" s="180"/>
      <c r="I2308" s="172"/>
      <c r="J2308" s="173"/>
    </row>
    <row r="2309" spans="1:10" x14ac:dyDescent="0.25">
      <c r="A2309" s="106"/>
      <c r="B2309" s="107"/>
      <c r="D2309" s="151"/>
      <c r="E2309" s="142"/>
      <c r="F2309" s="176"/>
      <c r="G2309" s="179"/>
      <c r="H2309" s="180"/>
      <c r="I2309" s="172"/>
      <c r="J2309" s="173"/>
    </row>
    <row r="2310" spans="1:10" x14ac:dyDescent="0.25">
      <c r="A2310" s="106"/>
      <c r="B2310" s="107"/>
      <c r="D2310" s="151"/>
      <c r="E2310" s="142"/>
      <c r="F2310" s="176"/>
      <c r="G2310" s="176"/>
      <c r="H2310" s="176"/>
      <c r="I2310" s="172"/>
      <c r="J2310" s="173"/>
    </row>
    <row r="2311" spans="1:10" x14ac:dyDescent="0.25">
      <c r="A2311" s="106"/>
      <c r="B2311" s="107"/>
      <c r="D2311" s="151"/>
      <c r="E2311" s="142"/>
      <c r="F2311" s="176"/>
      <c r="G2311" s="179"/>
      <c r="H2311" s="180"/>
      <c r="I2311" s="172"/>
      <c r="J2311" s="173"/>
    </row>
    <row r="2312" spans="1:10" x14ac:dyDescent="0.25">
      <c r="A2312" s="106"/>
      <c r="B2312" s="107"/>
      <c r="D2312" s="151"/>
      <c r="E2312" s="142"/>
      <c r="F2312" s="176"/>
      <c r="G2312" s="132"/>
      <c r="H2312" s="178"/>
      <c r="I2312" s="172"/>
      <c r="J2312" s="173"/>
    </row>
    <row r="2313" spans="1:10" x14ac:dyDescent="0.25">
      <c r="A2313" s="106"/>
      <c r="B2313" s="107"/>
      <c r="D2313" s="151"/>
      <c r="E2313" s="142"/>
      <c r="F2313" s="176"/>
      <c r="G2313" s="179"/>
      <c r="H2313" s="180"/>
      <c r="I2313" s="172"/>
      <c r="J2313" s="173"/>
    </row>
    <row r="2314" spans="1:10" x14ac:dyDescent="0.25">
      <c r="A2314" s="106"/>
      <c r="B2314" s="107"/>
      <c r="D2314" s="151"/>
      <c r="E2314" s="142"/>
      <c r="F2314" s="176"/>
      <c r="G2314" s="179"/>
      <c r="H2314" s="180"/>
      <c r="I2314" s="172"/>
      <c r="J2314" s="173"/>
    </row>
    <row r="2315" spans="1:10" x14ac:dyDescent="0.25">
      <c r="A2315" s="106"/>
      <c r="B2315" s="107"/>
      <c r="D2315" s="151"/>
      <c r="E2315" s="142"/>
      <c r="F2315" s="176"/>
      <c r="G2315" s="179"/>
      <c r="H2315" s="180"/>
      <c r="I2315" s="172"/>
      <c r="J2315" s="173"/>
    </row>
    <row r="2316" spans="1:10" x14ac:dyDescent="0.25">
      <c r="A2316" s="106"/>
      <c r="B2316" s="107"/>
      <c r="D2316" s="151"/>
      <c r="E2316" s="142"/>
      <c r="F2316" s="176"/>
      <c r="G2316" s="179"/>
      <c r="H2316" s="180"/>
      <c r="I2316" s="172"/>
      <c r="J2316" s="173"/>
    </row>
    <row r="2317" spans="1:10" x14ac:dyDescent="0.25">
      <c r="A2317" s="106"/>
      <c r="B2317" s="107"/>
      <c r="D2317" s="151"/>
      <c r="E2317" s="142"/>
      <c r="F2317" s="176"/>
      <c r="G2317" s="176"/>
      <c r="H2317" s="176"/>
      <c r="I2317" s="172"/>
      <c r="J2317" s="173"/>
    </row>
    <row r="2318" spans="1:10" x14ac:dyDescent="0.25">
      <c r="A2318" s="106"/>
      <c r="B2318" s="107"/>
      <c r="D2318" s="151"/>
      <c r="E2318" s="142"/>
      <c r="F2318" s="176"/>
      <c r="G2318" s="179"/>
      <c r="H2318" s="180"/>
      <c r="I2318" s="172"/>
      <c r="J2318" s="173"/>
    </row>
    <row r="2319" spans="1:10" x14ac:dyDescent="0.25">
      <c r="A2319" s="106"/>
      <c r="B2319" s="107"/>
      <c r="D2319" s="151"/>
      <c r="E2319" s="142"/>
      <c r="F2319" s="176"/>
      <c r="G2319" s="132"/>
      <c r="H2319" s="178"/>
      <c r="I2319" s="172"/>
      <c r="J2319" s="173"/>
    </row>
    <row r="2320" spans="1:10" x14ac:dyDescent="0.25">
      <c r="A2320" s="106"/>
      <c r="B2320" s="107"/>
      <c r="D2320" s="151"/>
      <c r="E2320" s="142"/>
      <c r="F2320" s="176"/>
      <c r="G2320" s="179"/>
      <c r="H2320" s="180"/>
      <c r="I2320" s="172"/>
      <c r="J2320" s="173"/>
    </row>
    <row r="2321" spans="1:10" x14ac:dyDescent="0.25">
      <c r="A2321" s="106"/>
      <c r="B2321" s="107"/>
      <c r="D2321" s="151"/>
      <c r="E2321" s="142"/>
      <c r="F2321" s="176"/>
      <c r="G2321" s="179"/>
      <c r="H2321" s="180"/>
      <c r="I2321" s="172"/>
      <c r="J2321" s="173"/>
    </row>
    <row r="2322" spans="1:10" x14ac:dyDescent="0.25">
      <c r="A2322" s="106"/>
      <c r="B2322" s="107"/>
      <c r="D2322" s="151"/>
      <c r="E2322" s="142"/>
      <c r="F2322" s="176"/>
      <c r="G2322" s="179"/>
      <c r="H2322" s="180"/>
      <c r="I2322" s="172"/>
      <c r="J2322" s="173"/>
    </row>
    <row r="2323" spans="1:10" x14ac:dyDescent="0.25">
      <c r="A2323" s="106"/>
      <c r="B2323" s="107"/>
      <c r="D2323" s="151"/>
      <c r="E2323" s="142"/>
      <c r="F2323" s="176"/>
      <c r="G2323" s="179"/>
      <c r="H2323" s="180"/>
      <c r="I2323" s="172"/>
      <c r="J2323" s="173"/>
    </row>
    <row r="2324" spans="1:10" x14ac:dyDescent="0.25">
      <c r="A2324" s="106"/>
      <c r="B2324" s="107"/>
      <c r="D2324" s="151"/>
      <c r="E2324" s="142"/>
      <c r="F2324" s="176"/>
      <c r="G2324" s="176"/>
      <c r="H2324" s="176"/>
      <c r="I2324" s="172"/>
      <c r="J2324" s="173"/>
    </row>
    <row r="2325" spans="1:10" x14ac:dyDescent="0.25">
      <c r="A2325" s="106"/>
      <c r="B2325" s="107"/>
      <c r="D2325" s="151"/>
      <c r="E2325" s="142"/>
      <c r="F2325" s="176"/>
      <c r="G2325" s="176"/>
      <c r="H2325" s="176"/>
      <c r="I2325" s="172"/>
      <c r="J2325" s="173"/>
    </row>
    <row r="2326" spans="1:10" x14ac:dyDescent="0.25">
      <c r="A2326" s="106"/>
      <c r="B2326" s="107"/>
      <c r="D2326" s="151"/>
      <c r="E2326" s="142"/>
      <c r="F2326" s="176"/>
      <c r="G2326" s="176"/>
      <c r="H2326" s="176"/>
      <c r="I2326" s="172"/>
      <c r="J2326" s="173"/>
    </row>
    <row r="2327" spans="1:10" x14ac:dyDescent="0.25">
      <c r="A2327" s="106"/>
      <c r="B2327" s="107"/>
      <c r="D2327" s="151"/>
      <c r="E2327" s="142"/>
      <c r="F2327" s="176"/>
      <c r="G2327" s="176"/>
      <c r="H2327" s="176"/>
      <c r="I2327" s="172"/>
      <c r="J2327" s="173"/>
    </row>
    <row r="2328" spans="1:10" x14ac:dyDescent="0.25">
      <c r="A2328" s="106"/>
      <c r="B2328" s="107"/>
      <c r="D2328" s="151"/>
      <c r="E2328" s="142"/>
      <c r="F2328" s="176"/>
      <c r="G2328" s="176"/>
      <c r="H2328" s="176"/>
      <c r="I2328" s="172"/>
      <c r="J2328" s="173"/>
    </row>
    <row r="2329" spans="1:10" x14ac:dyDescent="0.25">
      <c r="A2329" s="106"/>
      <c r="B2329" s="107"/>
      <c r="D2329" s="151"/>
      <c r="E2329" s="142"/>
      <c r="F2329" s="176"/>
      <c r="G2329" s="176"/>
      <c r="H2329" s="176"/>
      <c r="I2329" s="172"/>
      <c r="J2329" s="173"/>
    </row>
    <row r="2330" spans="1:10" x14ac:dyDescent="0.25">
      <c r="A2330" s="106"/>
      <c r="B2330" s="107"/>
      <c r="D2330" s="151"/>
      <c r="E2330" s="142"/>
      <c r="F2330" s="176"/>
      <c r="G2330" s="176"/>
      <c r="H2330" s="176"/>
      <c r="I2330" s="172"/>
      <c r="J2330" s="173"/>
    </row>
    <row r="2331" spans="1:10" x14ac:dyDescent="0.25">
      <c r="A2331" s="106"/>
      <c r="B2331" s="107"/>
      <c r="D2331" s="151"/>
      <c r="E2331" s="142"/>
      <c r="F2331" s="176"/>
      <c r="G2331" s="176"/>
      <c r="H2331" s="176"/>
      <c r="I2331" s="172"/>
      <c r="J2331" s="173"/>
    </row>
    <row r="2332" spans="1:10" x14ac:dyDescent="0.25">
      <c r="A2332" s="106"/>
      <c r="B2332" s="107"/>
      <c r="D2332" s="151"/>
      <c r="E2332" s="142"/>
      <c r="F2332" s="176"/>
      <c r="G2332" s="176"/>
      <c r="H2332" s="176"/>
      <c r="I2332" s="172"/>
      <c r="J2332" s="173"/>
    </row>
    <row r="2333" spans="1:10" x14ac:dyDescent="0.25">
      <c r="A2333" s="106"/>
      <c r="B2333" s="107"/>
      <c r="D2333" s="151"/>
      <c r="E2333" s="142"/>
      <c r="F2333" s="176"/>
      <c r="G2333" s="176"/>
      <c r="H2333" s="176"/>
      <c r="I2333" s="172"/>
      <c r="J2333" s="173"/>
    </row>
    <row r="2334" spans="1:10" x14ac:dyDescent="0.25">
      <c r="A2334" s="106"/>
      <c r="B2334" s="107"/>
      <c r="D2334" s="151"/>
      <c r="E2334" s="142"/>
      <c r="F2334" s="176"/>
      <c r="G2334" s="176"/>
      <c r="H2334" s="176"/>
      <c r="I2334" s="172"/>
      <c r="J2334" s="173"/>
    </row>
    <row r="2335" spans="1:10" x14ac:dyDescent="0.25">
      <c r="A2335" s="106"/>
      <c r="B2335" s="107"/>
      <c r="D2335" s="151"/>
      <c r="E2335" s="142"/>
      <c r="F2335" s="176"/>
      <c r="G2335" s="176"/>
      <c r="H2335" s="176"/>
      <c r="I2335" s="172"/>
      <c r="J2335" s="173"/>
    </row>
    <row r="2336" spans="1:10" x14ac:dyDescent="0.25">
      <c r="A2336" s="106"/>
      <c r="B2336" s="107"/>
      <c r="D2336" s="151"/>
      <c r="E2336" s="142"/>
      <c r="F2336" s="176"/>
      <c r="G2336" s="176"/>
      <c r="H2336" s="176"/>
      <c r="I2336" s="172"/>
      <c r="J2336" s="173"/>
    </row>
    <row r="2337" spans="1:10" x14ac:dyDescent="0.25">
      <c r="A2337" s="106"/>
      <c r="B2337" s="107"/>
      <c r="D2337" s="151"/>
      <c r="E2337" s="142"/>
      <c r="F2337" s="176"/>
      <c r="G2337" s="176"/>
      <c r="H2337" s="176"/>
      <c r="I2337" s="172"/>
      <c r="J2337" s="173"/>
    </row>
    <row r="2338" spans="1:10" x14ac:dyDescent="0.25">
      <c r="A2338" s="106"/>
      <c r="B2338" s="107"/>
      <c r="D2338" s="151"/>
      <c r="E2338" s="142"/>
      <c r="F2338" s="176"/>
      <c r="G2338" s="176"/>
      <c r="H2338" s="176"/>
      <c r="I2338" s="172"/>
      <c r="J2338" s="173"/>
    </row>
    <row r="2339" spans="1:10" x14ac:dyDescent="0.25">
      <c r="A2339" s="106"/>
      <c r="B2339" s="107"/>
      <c r="D2339" s="151"/>
      <c r="E2339" s="142"/>
      <c r="F2339" s="176"/>
      <c r="G2339" s="176"/>
      <c r="H2339" s="176"/>
      <c r="I2339" s="172"/>
      <c r="J2339" s="173"/>
    </row>
    <row r="2340" spans="1:10" x14ac:dyDescent="0.25">
      <c r="A2340" s="106"/>
      <c r="B2340" s="107"/>
      <c r="D2340" s="151"/>
      <c r="E2340" s="142"/>
      <c r="F2340" s="176"/>
      <c r="G2340" s="176"/>
      <c r="H2340" s="176"/>
      <c r="I2340" s="172"/>
      <c r="J2340" s="173"/>
    </row>
    <row r="2341" spans="1:10" x14ac:dyDescent="0.25">
      <c r="A2341" s="106"/>
      <c r="B2341" s="107"/>
      <c r="D2341" s="151"/>
      <c r="E2341" s="142"/>
      <c r="F2341" s="176"/>
      <c r="G2341" s="176"/>
      <c r="H2341" s="176"/>
      <c r="I2341" s="172"/>
      <c r="J2341" s="173"/>
    </row>
    <row r="2342" spans="1:10" x14ac:dyDescent="0.25">
      <c r="A2342" s="106"/>
      <c r="B2342" s="107"/>
      <c r="D2342" s="151"/>
      <c r="E2342" s="142"/>
      <c r="F2342" s="176"/>
      <c r="G2342" s="176"/>
      <c r="H2342" s="176"/>
      <c r="I2342" s="172"/>
      <c r="J2342" s="173"/>
    </row>
    <row r="2343" spans="1:10" x14ac:dyDescent="0.25">
      <c r="A2343" s="106"/>
      <c r="B2343" s="107"/>
      <c r="D2343" s="151"/>
      <c r="E2343" s="142"/>
      <c r="F2343" s="176"/>
      <c r="G2343" s="176"/>
      <c r="H2343" s="176"/>
      <c r="I2343" s="172"/>
      <c r="J2343" s="173"/>
    </row>
    <row r="2344" spans="1:10" x14ac:dyDescent="0.25">
      <c r="A2344" s="106"/>
      <c r="B2344" s="107"/>
      <c r="D2344" s="151"/>
      <c r="E2344" s="142"/>
      <c r="F2344" s="176"/>
      <c r="G2344" s="176"/>
      <c r="H2344" s="176"/>
      <c r="I2344" s="172"/>
      <c r="J2344" s="173"/>
    </row>
    <row r="2345" spans="1:10" x14ac:dyDescent="0.25">
      <c r="A2345" s="106"/>
      <c r="B2345" s="107"/>
      <c r="D2345" s="151"/>
      <c r="E2345" s="142"/>
      <c r="F2345" s="176"/>
      <c r="G2345" s="176"/>
      <c r="H2345" s="176"/>
      <c r="I2345" s="172"/>
      <c r="J2345" s="173"/>
    </row>
    <row r="2346" spans="1:10" x14ac:dyDescent="0.25">
      <c r="A2346" s="106"/>
      <c r="B2346" s="107"/>
      <c r="D2346" s="151"/>
      <c r="E2346" s="142"/>
      <c r="F2346" s="176"/>
      <c r="G2346" s="176"/>
      <c r="H2346" s="176"/>
      <c r="I2346" s="172"/>
      <c r="J2346" s="173"/>
    </row>
    <row r="2347" spans="1:10" x14ac:dyDescent="0.25">
      <c r="A2347" s="106"/>
      <c r="B2347" s="107"/>
      <c r="D2347" s="151"/>
      <c r="E2347" s="142"/>
      <c r="F2347" s="176"/>
      <c r="G2347" s="176"/>
      <c r="H2347" s="176"/>
      <c r="I2347" s="172"/>
      <c r="J2347" s="173"/>
    </row>
    <row r="2348" spans="1:10" x14ac:dyDescent="0.25">
      <c r="A2348" s="106"/>
      <c r="B2348" s="107"/>
      <c r="D2348" s="151"/>
      <c r="E2348" s="142"/>
      <c r="F2348" s="176"/>
      <c r="G2348" s="176"/>
      <c r="H2348" s="176"/>
      <c r="I2348" s="172"/>
      <c r="J2348" s="173"/>
    </row>
    <row r="2349" spans="1:10" x14ac:dyDescent="0.25">
      <c r="A2349" s="106"/>
      <c r="B2349" s="107"/>
      <c r="D2349" s="151"/>
      <c r="E2349" s="142"/>
      <c r="F2349" s="176"/>
      <c r="G2349" s="176"/>
      <c r="H2349" s="176"/>
      <c r="I2349" s="172"/>
      <c r="J2349" s="173"/>
    </row>
    <row r="2350" spans="1:10" x14ac:dyDescent="0.25">
      <c r="A2350" s="106"/>
      <c r="B2350" s="107"/>
      <c r="D2350" s="151"/>
      <c r="E2350" s="142"/>
      <c r="F2350" s="176"/>
      <c r="G2350" s="176"/>
      <c r="H2350" s="176"/>
      <c r="I2350" s="172"/>
      <c r="J2350" s="173"/>
    </row>
    <row r="2351" spans="1:10" x14ac:dyDescent="0.25">
      <c r="A2351" s="106"/>
      <c r="B2351" s="107"/>
      <c r="D2351" s="151"/>
      <c r="E2351" s="142"/>
      <c r="F2351" s="176"/>
      <c r="G2351" s="176"/>
      <c r="H2351" s="176"/>
      <c r="I2351" s="172"/>
      <c r="J2351" s="173"/>
    </row>
    <row r="2352" spans="1:10" x14ac:dyDescent="0.25">
      <c r="A2352" s="106"/>
      <c r="B2352" s="107"/>
      <c r="D2352" s="151"/>
      <c r="E2352" s="142"/>
      <c r="F2352" s="176"/>
      <c r="G2352" s="176"/>
      <c r="H2352" s="176"/>
      <c r="I2352" s="172"/>
      <c r="J2352" s="173"/>
    </row>
    <row r="2353" spans="1:10" x14ac:dyDescent="0.25">
      <c r="A2353" s="106"/>
      <c r="B2353" s="107"/>
      <c r="D2353" s="151"/>
      <c r="E2353" s="142"/>
      <c r="F2353" s="176"/>
      <c r="G2353" s="176"/>
      <c r="H2353" s="176"/>
      <c r="I2353" s="172"/>
      <c r="J2353" s="173"/>
    </row>
    <row r="2354" spans="1:10" x14ac:dyDescent="0.25">
      <c r="A2354" s="106"/>
      <c r="B2354" s="107"/>
      <c r="D2354" s="151"/>
      <c r="E2354" s="142"/>
      <c r="F2354" s="176"/>
      <c r="G2354" s="176"/>
      <c r="H2354" s="176"/>
      <c r="I2354" s="172"/>
      <c r="J2354" s="173"/>
    </row>
    <row r="2355" spans="1:10" x14ac:dyDescent="0.25">
      <c r="A2355" s="106"/>
      <c r="B2355" s="107"/>
      <c r="D2355" s="151"/>
      <c r="E2355" s="142"/>
      <c r="F2355" s="176"/>
      <c r="G2355" s="176"/>
      <c r="H2355" s="176"/>
      <c r="I2355" s="172"/>
      <c r="J2355" s="173"/>
    </row>
    <row r="2356" spans="1:10" x14ac:dyDescent="0.25">
      <c r="A2356" s="106"/>
      <c r="B2356" s="107"/>
      <c r="D2356" s="151"/>
      <c r="E2356" s="142"/>
      <c r="F2356" s="176"/>
      <c r="G2356" s="176"/>
      <c r="H2356" s="176"/>
      <c r="I2356" s="172"/>
      <c r="J2356" s="173"/>
    </row>
    <row r="2357" spans="1:10" x14ac:dyDescent="0.25">
      <c r="A2357" s="106"/>
      <c r="B2357" s="107"/>
      <c r="D2357" s="151"/>
      <c r="E2357" s="142"/>
      <c r="F2357" s="176"/>
      <c r="G2357" s="176"/>
      <c r="H2357" s="176"/>
      <c r="I2357" s="172"/>
      <c r="J2357" s="173"/>
    </row>
    <row r="2358" spans="1:10" x14ac:dyDescent="0.25">
      <c r="A2358" s="106"/>
      <c r="B2358" s="107"/>
      <c r="D2358" s="151"/>
      <c r="E2358" s="142"/>
      <c r="F2358" s="176"/>
      <c r="G2358" s="176"/>
      <c r="H2358" s="176"/>
      <c r="I2358" s="172"/>
      <c r="J2358" s="173"/>
    </row>
    <row r="2359" spans="1:10" x14ac:dyDescent="0.25">
      <c r="A2359" s="106"/>
      <c r="B2359" s="107"/>
      <c r="D2359" s="151"/>
      <c r="E2359" s="142"/>
      <c r="F2359" s="176"/>
      <c r="G2359" s="176"/>
      <c r="H2359" s="176"/>
      <c r="I2359" s="172"/>
      <c r="J2359" s="173"/>
    </row>
    <row r="2360" spans="1:10" x14ac:dyDescent="0.25">
      <c r="A2360" s="106"/>
      <c r="B2360" s="107"/>
      <c r="D2360" s="151"/>
      <c r="E2360" s="142"/>
      <c r="F2360" s="176"/>
      <c r="G2360" s="176"/>
      <c r="H2360" s="176"/>
      <c r="I2360" s="172"/>
      <c r="J2360" s="173"/>
    </row>
    <row r="2361" spans="1:10" x14ac:dyDescent="0.25">
      <c r="A2361" s="106"/>
      <c r="B2361" s="107"/>
      <c r="D2361" s="151"/>
      <c r="E2361" s="142"/>
      <c r="F2361" s="176"/>
      <c r="G2361" s="176"/>
      <c r="H2361" s="176"/>
      <c r="I2361" s="172"/>
      <c r="J2361" s="173"/>
    </row>
    <row r="2362" spans="1:10" x14ac:dyDescent="0.25">
      <c r="A2362" s="106"/>
      <c r="B2362" s="107"/>
      <c r="D2362" s="151"/>
      <c r="E2362" s="142"/>
      <c r="F2362" s="176"/>
      <c r="G2362" s="176"/>
      <c r="H2362" s="176"/>
      <c r="I2362" s="172"/>
      <c r="J2362" s="173"/>
    </row>
    <row r="2363" spans="1:10" x14ac:dyDescent="0.25">
      <c r="A2363" s="106"/>
      <c r="B2363" s="107"/>
      <c r="D2363" s="151"/>
      <c r="E2363" s="142"/>
      <c r="F2363" s="176"/>
      <c r="G2363" s="176"/>
      <c r="H2363" s="176"/>
      <c r="I2363" s="172"/>
      <c r="J2363" s="173"/>
    </row>
    <row r="2364" spans="1:10" x14ac:dyDescent="0.25">
      <c r="A2364" s="106"/>
      <c r="B2364" s="107"/>
      <c r="D2364" s="151"/>
      <c r="E2364" s="142"/>
      <c r="F2364" s="176"/>
      <c r="G2364" s="176"/>
      <c r="H2364" s="176"/>
      <c r="I2364" s="172"/>
      <c r="J2364" s="173"/>
    </row>
    <row r="2365" spans="1:10" x14ac:dyDescent="0.25">
      <c r="A2365" s="106"/>
      <c r="B2365" s="107"/>
      <c r="D2365" s="151"/>
      <c r="E2365" s="142"/>
      <c r="F2365" s="176"/>
      <c r="G2365" s="176"/>
      <c r="H2365" s="176"/>
      <c r="I2365" s="172"/>
      <c r="J2365" s="173"/>
    </row>
    <row r="2366" spans="1:10" x14ac:dyDescent="0.25">
      <c r="A2366" s="106"/>
      <c r="B2366" s="107"/>
      <c r="D2366" s="151"/>
      <c r="E2366" s="142"/>
      <c r="F2366" s="176"/>
      <c r="G2366" s="176"/>
      <c r="H2366" s="176"/>
      <c r="I2366" s="172"/>
      <c r="J2366" s="173"/>
    </row>
    <row r="2367" spans="1:10" x14ac:dyDescent="0.25">
      <c r="A2367" s="106"/>
      <c r="B2367" s="107"/>
      <c r="D2367" s="151"/>
      <c r="E2367" s="142"/>
      <c r="F2367" s="176"/>
      <c r="G2367" s="176"/>
      <c r="H2367" s="176"/>
      <c r="I2367" s="172"/>
      <c r="J2367" s="173"/>
    </row>
    <row r="2368" spans="1:10" x14ac:dyDescent="0.25">
      <c r="A2368" s="106"/>
      <c r="B2368" s="107"/>
      <c r="D2368" s="151"/>
      <c r="E2368" s="142"/>
      <c r="F2368" s="176"/>
      <c r="G2368" s="176"/>
      <c r="H2368" s="176"/>
      <c r="I2368" s="172"/>
      <c r="J2368" s="173"/>
    </row>
    <row r="2369" spans="1:10" x14ac:dyDescent="0.25">
      <c r="A2369" s="106"/>
      <c r="B2369" s="107"/>
      <c r="D2369" s="151"/>
      <c r="E2369" s="142"/>
      <c r="F2369" s="176"/>
      <c r="G2369" s="179"/>
      <c r="H2369" s="180"/>
      <c r="I2369" s="172"/>
      <c r="J2369" s="173"/>
    </row>
    <row r="2370" spans="1:10" x14ac:dyDescent="0.25">
      <c r="A2370" s="106"/>
      <c r="B2370" s="107"/>
      <c r="D2370" s="151"/>
      <c r="E2370" s="142"/>
      <c r="F2370" s="176"/>
      <c r="G2370" s="176"/>
      <c r="H2370" s="176"/>
      <c r="I2370" s="172"/>
      <c r="J2370" s="173"/>
    </row>
    <row r="2371" spans="1:10" x14ac:dyDescent="0.25">
      <c r="A2371" s="106"/>
      <c r="B2371" s="107"/>
      <c r="D2371" s="151"/>
      <c r="E2371" s="142"/>
      <c r="F2371" s="176"/>
      <c r="G2371" s="132"/>
      <c r="H2371" s="178"/>
      <c r="I2371" s="172"/>
      <c r="J2371" s="173"/>
    </row>
    <row r="2372" spans="1:10" x14ac:dyDescent="0.25">
      <c r="A2372" s="106"/>
      <c r="B2372" s="107"/>
      <c r="D2372" s="151"/>
      <c r="E2372" s="142"/>
      <c r="F2372" s="176"/>
      <c r="G2372" s="132"/>
      <c r="H2372" s="178"/>
      <c r="I2372" s="172"/>
      <c r="J2372" s="173"/>
    </row>
    <row r="2373" spans="1:10" x14ac:dyDescent="0.25">
      <c r="A2373" s="106"/>
      <c r="B2373" s="107"/>
      <c r="D2373" s="151"/>
      <c r="E2373" s="142"/>
      <c r="F2373" s="176"/>
      <c r="G2373" s="176"/>
      <c r="H2373" s="176"/>
      <c r="I2373" s="172"/>
      <c r="J2373" s="173"/>
    </row>
    <row r="2374" spans="1:10" x14ac:dyDescent="0.25">
      <c r="A2374" s="106"/>
      <c r="B2374" s="107"/>
      <c r="D2374" s="151"/>
      <c r="E2374" s="142"/>
      <c r="F2374" s="176"/>
      <c r="G2374" s="179"/>
      <c r="H2374" s="180"/>
      <c r="I2374" s="172"/>
      <c r="J2374" s="173"/>
    </row>
    <row r="2375" spans="1:10" x14ac:dyDescent="0.25">
      <c r="A2375" s="106"/>
      <c r="B2375" s="107"/>
      <c r="D2375" s="151"/>
      <c r="E2375" s="142"/>
      <c r="F2375" s="176"/>
      <c r="G2375" s="176"/>
      <c r="H2375" s="176"/>
      <c r="I2375" s="172"/>
      <c r="J2375" s="173"/>
    </row>
    <row r="2376" spans="1:10" x14ac:dyDescent="0.25">
      <c r="A2376" s="106"/>
      <c r="B2376" s="107"/>
      <c r="D2376" s="151"/>
      <c r="E2376" s="142"/>
      <c r="F2376" s="176"/>
      <c r="G2376" s="176"/>
      <c r="H2376" s="176"/>
      <c r="I2376" s="172"/>
      <c r="J2376" s="173"/>
    </row>
    <row r="2377" spans="1:10" x14ac:dyDescent="0.25">
      <c r="A2377" s="106"/>
      <c r="B2377" s="107"/>
      <c r="D2377" s="151"/>
      <c r="E2377" s="142"/>
      <c r="F2377" s="176"/>
      <c r="G2377" s="179"/>
      <c r="H2377" s="180"/>
      <c r="I2377" s="172"/>
      <c r="J2377" s="173"/>
    </row>
    <row r="2378" spans="1:10" x14ac:dyDescent="0.25">
      <c r="A2378" s="106"/>
      <c r="B2378" s="107"/>
      <c r="D2378" s="151"/>
      <c r="E2378" s="142"/>
      <c r="F2378" s="176"/>
      <c r="G2378" s="179"/>
      <c r="H2378" s="180"/>
      <c r="I2378" s="172"/>
      <c r="J2378" s="173"/>
    </row>
    <row r="2379" spans="1:10" x14ac:dyDescent="0.25">
      <c r="A2379" s="106"/>
      <c r="B2379" s="107"/>
      <c r="D2379" s="151"/>
      <c r="E2379" s="142"/>
      <c r="F2379" s="176"/>
      <c r="G2379" s="179"/>
      <c r="H2379" s="180"/>
      <c r="I2379" s="172"/>
      <c r="J2379" s="173"/>
    </row>
    <row r="2380" spans="1:10" x14ac:dyDescent="0.25">
      <c r="A2380" s="106"/>
      <c r="B2380" s="107"/>
      <c r="D2380" s="151"/>
      <c r="E2380" s="142"/>
      <c r="F2380" s="176"/>
      <c r="G2380" s="176"/>
      <c r="H2380" s="176"/>
      <c r="I2380" s="172"/>
      <c r="J2380" s="173"/>
    </row>
    <row r="2381" spans="1:10" x14ac:dyDescent="0.25">
      <c r="A2381" s="106"/>
      <c r="B2381" s="107"/>
      <c r="D2381" s="151"/>
      <c r="E2381" s="142"/>
      <c r="F2381" s="176"/>
      <c r="G2381" s="176"/>
      <c r="H2381" s="176"/>
      <c r="I2381" s="172"/>
      <c r="J2381" s="173"/>
    </row>
    <row r="2382" spans="1:10" x14ac:dyDescent="0.25">
      <c r="A2382" s="106"/>
      <c r="B2382" s="107"/>
      <c r="D2382" s="151"/>
      <c r="E2382" s="142"/>
      <c r="F2382" s="176"/>
      <c r="G2382" s="179"/>
      <c r="H2382" s="180"/>
      <c r="I2382" s="172"/>
      <c r="J2382" s="173"/>
    </row>
    <row r="2383" spans="1:10" x14ac:dyDescent="0.25">
      <c r="A2383" s="106"/>
      <c r="B2383" s="107"/>
      <c r="D2383" s="151"/>
      <c r="E2383" s="142"/>
      <c r="F2383" s="176"/>
      <c r="G2383" s="176"/>
      <c r="H2383" s="176"/>
      <c r="I2383" s="172"/>
      <c r="J2383" s="173"/>
    </row>
    <row r="2384" spans="1:10" x14ac:dyDescent="0.25">
      <c r="A2384" s="106"/>
      <c r="B2384" s="107"/>
      <c r="D2384" s="151"/>
      <c r="E2384" s="142"/>
      <c r="F2384" s="176"/>
      <c r="G2384" s="132"/>
      <c r="H2384" s="178"/>
      <c r="I2384" s="172"/>
      <c r="J2384" s="173"/>
    </row>
    <row r="2385" spans="1:10" x14ac:dyDescent="0.25">
      <c r="A2385" s="106"/>
      <c r="B2385" s="107"/>
      <c r="D2385" s="151"/>
      <c r="E2385" s="142"/>
      <c r="F2385" s="176"/>
      <c r="G2385" s="132"/>
      <c r="H2385" s="178"/>
      <c r="I2385" s="172"/>
      <c r="J2385" s="173"/>
    </row>
    <row r="2386" spans="1:10" x14ac:dyDescent="0.25">
      <c r="A2386" s="106"/>
      <c r="B2386" s="107"/>
      <c r="D2386" s="151"/>
      <c r="E2386" s="142"/>
      <c r="F2386" s="176"/>
      <c r="G2386" s="176"/>
      <c r="H2386" s="176"/>
      <c r="I2386" s="172"/>
      <c r="J2386" s="173"/>
    </row>
    <row r="2387" spans="1:10" x14ac:dyDescent="0.25">
      <c r="A2387" s="106"/>
      <c r="B2387" s="107"/>
      <c r="D2387" s="151"/>
      <c r="E2387" s="142"/>
      <c r="F2387" s="176"/>
      <c r="G2387" s="179"/>
      <c r="H2387" s="180"/>
      <c r="I2387" s="172"/>
      <c r="J2387" s="173"/>
    </row>
    <row r="2388" spans="1:10" x14ac:dyDescent="0.25">
      <c r="A2388" s="106"/>
      <c r="B2388" s="107"/>
      <c r="D2388" s="151"/>
      <c r="E2388" s="142"/>
      <c r="F2388" s="176"/>
      <c r="G2388" s="176"/>
      <c r="H2388" s="176"/>
      <c r="I2388" s="172"/>
      <c r="J2388" s="173"/>
    </row>
    <row r="2389" spans="1:10" x14ac:dyDescent="0.25">
      <c r="A2389" s="106"/>
      <c r="B2389" s="107"/>
      <c r="D2389" s="151"/>
      <c r="E2389" s="142"/>
      <c r="F2389" s="176"/>
      <c r="G2389" s="176"/>
      <c r="H2389" s="176"/>
      <c r="I2389" s="172"/>
      <c r="J2389" s="173"/>
    </row>
    <row r="2390" spans="1:10" x14ac:dyDescent="0.25">
      <c r="A2390" s="106"/>
      <c r="B2390" s="107"/>
      <c r="D2390" s="151"/>
      <c r="E2390" s="142"/>
      <c r="F2390" s="176"/>
      <c r="G2390" s="179"/>
      <c r="H2390" s="180"/>
      <c r="I2390" s="172"/>
      <c r="J2390" s="173"/>
    </row>
    <row r="2391" spans="1:10" x14ac:dyDescent="0.25">
      <c r="A2391" s="106"/>
      <c r="B2391" s="107"/>
      <c r="D2391" s="151"/>
      <c r="E2391" s="142"/>
      <c r="F2391" s="176"/>
      <c r="G2391" s="179"/>
      <c r="H2391" s="180"/>
      <c r="I2391" s="172"/>
      <c r="J2391" s="173"/>
    </row>
    <row r="2392" spans="1:10" x14ac:dyDescent="0.25">
      <c r="A2392" s="106"/>
      <c r="B2392" s="107"/>
      <c r="D2392" s="151"/>
      <c r="E2392" s="142"/>
      <c r="F2392" s="176"/>
      <c r="G2392" s="179"/>
      <c r="H2392" s="180"/>
      <c r="I2392" s="172"/>
      <c r="J2392" s="173"/>
    </row>
    <row r="2393" spans="1:10" x14ac:dyDescent="0.25">
      <c r="A2393" s="106"/>
      <c r="B2393" s="107"/>
      <c r="D2393" s="151"/>
      <c r="E2393" s="142"/>
      <c r="F2393" s="176"/>
      <c r="G2393" s="176"/>
      <c r="H2393" s="176"/>
      <c r="I2393" s="172"/>
      <c r="J2393" s="173"/>
    </row>
    <row r="2394" spans="1:10" x14ac:dyDescent="0.25">
      <c r="A2394" s="106"/>
      <c r="B2394" s="107"/>
      <c r="D2394" s="151"/>
      <c r="E2394" s="142"/>
      <c r="F2394" s="176"/>
      <c r="G2394" s="176"/>
      <c r="H2394" s="176"/>
      <c r="I2394" s="172"/>
      <c r="J2394" s="173"/>
    </row>
    <row r="2395" spans="1:10" x14ac:dyDescent="0.25">
      <c r="A2395" s="106"/>
      <c r="B2395" s="107"/>
      <c r="D2395" s="151"/>
      <c r="E2395" s="142"/>
      <c r="F2395" s="176"/>
      <c r="G2395" s="179"/>
      <c r="H2395" s="180"/>
      <c r="I2395" s="172"/>
      <c r="J2395" s="173"/>
    </row>
    <row r="2396" spans="1:10" x14ac:dyDescent="0.25">
      <c r="A2396" s="106"/>
      <c r="B2396" s="107"/>
      <c r="D2396" s="151"/>
      <c r="E2396" s="142"/>
      <c r="F2396" s="176"/>
      <c r="G2396" s="176"/>
      <c r="H2396" s="176"/>
      <c r="I2396" s="172"/>
      <c r="J2396" s="173"/>
    </row>
    <row r="2397" spans="1:10" x14ac:dyDescent="0.25">
      <c r="A2397" s="106"/>
      <c r="B2397" s="107"/>
      <c r="D2397" s="151"/>
      <c r="E2397" s="142"/>
      <c r="F2397" s="176"/>
      <c r="G2397" s="132"/>
      <c r="H2397" s="178"/>
      <c r="I2397" s="172"/>
      <c r="J2397" s="173"/>
    </row>
    <row r="2398" spans="1:10" x14ac:dyDescent="0.25">
      <c r="A2398" s="106"/>
      <c r="B2398" s="107"/>
      <c r="D2398" s="151"/>
      <c r="E2398" s="142"/>
      <c r="F2398" s="176"/>
      <c r="G2398" s="132"/>
      <c r="H2398" s="178"/>
      <c r="I2398" s="172"/>
      <c r="J2398" s="173"/>
    </row>
    <row r="2399" spans="1:10" x14ac:dyDescent="0.25">
      <c r="A2399" s="106"/>
      <c r="B2399" s="107"/>
      <c r="D2399" s="151"/>
      <c r="E2399" s="142"/>
      <c r="F2399" s="176"/>
      <c r="G2399" s="176"/>
      <c r="H2399" s="176"/>
      <c r="I2399" s="172"/>
      <c r="J2399" s="173"/>
    </row>
    <row r="2400" spans="1:10" x14ac:dyDescent="0.25">
      <c r="A2400" s="106"/>
      <c r="B2400" s="107"/>
      <c r="D2400" s="151"/>
      <c r="E2400" s="142"/>
      <c r="F2400" s="176"/>
      <c r="G2400" s="179"/>
      <c r="H2400" s="180"/>
      <c r="I2400" s="172"/>
      <c r="J2400" s="173"/>
    </row>
    <row r="2401" spans="1:10" x14ac:dyDescent="0.25">
      <c r="A2401" s="106"/>
      <c r="B2401" s="107"/>
      <c r="D2401" s="151"/>
      <c r="E2401" s="142"/>
      <c r="F2401" s="176"/>
      <c r="G2401" s="176"/>
      <c r="H2401" s="176"/>
      <c r="I2401" s="172"/>
      <c r="J2401" s="173"/>
    </row>
    <row r="2402" spans="1:10" x14ac:dyDescent="0.25">
      <c r="A2402" s="106"/>
      <c r="B2402" s="107"/>
      <c r="D2402" s="151"/>
      <c r="E2402" s="142"/>
      <c r="F2402" s="176"/>
      <c r="G2402" s="176"/>
      <c r="H2402" s="176"/>
      <c r="I2402" s="172"/>
      <c r="J2402" s="173"/>
    </row>
    <row r="2403" spans="1:10" x14ac:dyDescent="0.25">
      <c r="A2403" s="106"/>
      <c r="B2403" s="107"/>
      <c r="D2403" s="151"/>
      <c r="E2403" s="142"/>
      <c r="F2403" s="176"/>
      <c r="G2403" s="179"/>
      <c r="H2403" s="180"/>
      <c r="I2403" s="172"/>
      <c r="J2403" s="173"/>
    </row>
    <row r="2404" spans="1:10" x14ac:dyDescent="0.25">
      <c r="A2404" s="106"/>
      <c r="B2404" s="107"/>
      <c r="D2404" s="151"/>
      <c r="E2404" s="142"/>
      <c r="F2404" s="176"/>
      <c r="G2404" s="179"/>
      <c r="H2404" s="180"/>
      <c r="I2404" s="172"/>
      <c r="J2404" s="173"/>
    </row>
    <row r="2405" spans="1:10" x14ac:dyDescent="0.25">
      <c r="A2405" s="106"/>
      <c r="B2405" s="107"/>
      <c r="D2405" s="151"/>
      <c r="E2405" s="142"/>
      <c r="F2405" s="176"/>
      <c r="G2405" s="179"/>
      <c r="H2405" s="180"/>
      <c r="I2405" s="172"/>
      <c r="J2405" s="173"/>
    </row>
    <row r="2406" spans="1:10" x14ac:dyDescent="0.25">
      <c r="A2406" s="106"/>
      <c r="B2406" s="107"/>
      <c r="D2406" s="151"/>
      <c r="E2406" s="142"/>
      <c r="F2406" s="176"/>
      <c r="G2406" s="176"/>
      <c r="H2406" s="176"/>
      <c r="I2406" s="172"/>
      <c r="J2406" s="173"/>
    </row>
    <row r="2407" spans="1:10" x14ac:dyDescent="0.25">
      <c r="A2407" s="106"/>
      <c r="B2407" s="107"/>
      <c r="D2407" s="151"/>
      <c r="E2407" s="142"/>
      <c r="F2407" s="176"/>
      <c r="G2407" s="176"/>
      <c r="H2407" s="176"/>
      <c r="I2407" s="172"/>
      <c r="J2407" s="173"/>
    </row>
    <row r="2408" spans="1:10" x14ac:dyDescent="0.25">
      <c r="A2408" s="106"/>
      <c r="B2408" s="107"/>
      <c r="D2408" s="151"/>
      <c r="E2408" s="142"/>
      <c r="F2408" s="176"/>
      <c r="G2408" s="176"/>
      <c r="H2408" s="176"/>
      <c r="I2408" s="172"/>
      <c r="J2408" s="173"/>
    </row>
    <row r="2409" spans="1:10" x14ac:dyDescent="0.25">
      <c r="A2409" s="106"/>
      <c r="B2409" s="107"/>
      <c r="D2409" s="151"/>
      <c r="E2409" s="142"/>
      <c r="F2409" s="176"/>
      <c r="G2409" s="176"/>
      <c r="H2409" s="176"/>
      <c r="I2409" s="172"/>
      <c r="J2409" s="173"/>
    </row>
    <row r="2410" spans="1:10" x14ac:dyDescent="0.25">
      <c r="A2410" s="106"/>
      <c r="B2410" s="107"/>
      <c r="D2410" s="151"/>
      <c r="E2410" s="142"/>
      <c r="F2410" s="176"/>
      <c r="G2410" s="176"/>
      <c r="H2410" s="176"/>
      <c r="I2410" s="172"/>
      <c r="J2410" s="173"/>
    </row>
    <row r="2411" spans="1:10" x14ac:dyDescent="0.25">
      <c r="A2411" s="106"/>
      <c r="B2411" s="107"/>
      <c r="D2411" s="151"/>
      <c r="E2411" s="142"/>
      <c r="F2411" s="176"/>
      <c r="G2411" s="176"/>
      <c r="H2411" s="176"/>
      <c r="I2411" s="172"/>
      <c r="J2411" s="173"/>
    </row>
    <row r="2412" spans="1:10" x14ac:dyDescent="0.25">
      <c r="A2412" s="106"/>
      <c r="B2412" s="107"/>
      <c r="D2412" s="151"/>
      <c r="E2412" s="142"/>
      <c r="F2412" s="176"/>
      <c r="G2412" s="176"/>
      <c r="H2412" s="176"/>
      <c r="I2412" s="172"/>
      <c r="J2412" s="173"/>
    </row>
    <row r="2413" spans="1:10" x14ac:dyDescent="0.25">
      <c r="A2413" s="106"/>
      <c r="B2413" s="107"/>
      <c r="D2413" s="151"/>
      <c r="E2413" s="142"/>
      <c r="F2413" s="176"/>
      <c r="G2413" s="176"/>
      <c r="H2413" s="176"/>
      <c r="I2413" s="172"/>
      <c r="J2413" s="173"/>
    </row>
    <row r="2414" spans="1:10" x14ac:dyDescent="0.25">
      <c r="A2414" s="106"/>
      <c r="B2414" s="107"/>
      <c r="D2414" s="151"/>
      <c r="E2414" s="142"/>
      <c r="F2414" s="176"/>
      <c r="G2414" s="176"/>
      <c r="H2414" s="176"/>
      <c r="I2414" s="172"/>
      <c r="J2414" s="173"/>
    </row>
    <row r="2415" spans="1:10" x14ac:dyDescent="0.25">
      <c r="A2415" s="106"/>
      <c r="B2415" s="107"/>
      <c r="D2415" s="151"/>
      <c r="E2415" s="142"/>
      <c r="F2415" s="176"/>
      <c r="G2415" s="176"/>
      <c r="H2415" s="176"/>
      <c r="I2415" s="172"/>
      <c r="J2415" s="173"/>
    </row>
    <row r="2416" spans="1:10" x14ac:dyDescent="0.25">
      <c r="A2416" s="106"/>
      <c r="B2416" s="107"/>
      <c r="D2416" s="151"/>
      <c r="E2416" s="142"/>
      <c r="F2416" s="176"/>
      <c r="G2416" s="176"/>
      <c r="H2416" s="176"/>
      <c r="I2416" s="172"/>
      <c r="J2416" s="173"/>
    </row>
    <row r="2417" spans="1:10" x14ac:dyDescent="0.25">
      <c r="A2417" s="106"/>
      <c r="B2417" s="107"/>
      <c r="D2417" s="151"/>
      <c r="E2417" s="142"/>
      <c r="F2417" s="176"/>
      <c r="G2417" s="176"/>
      <c r="H2417" s="176"/>
      <c r="I2417" s="172"/>
      <c r="J2417" s="173"/>
    </row>
    <row r="2418" spans="1:10" x14ac:dyDescent="0.25">
      <c r="A2418" s="106"/>
      <c r="B2418" s="107"/>
      <c r="D2418" s="151"/>
      <c r="E2418" s="142"/>
      <c r="F2418" s="176"/>
      <c r="G2418" s="176"/>
      <c r="H2418" s="176"/>
      <c r="I2418" s="172"/>
      <c r="J2418" s="173"/>
    </row>
    <row r="2419" spans="1:10" x14ac:dyDescent="0.25">
      <c r="A2419" s="106"/>
      <c r="B2419" s="107"/>
      <c r="D2419" s="151"/>
      <c r="E2419" s="142"/>
      <c r="F2419" s="176"/>
      <c r="G2419" s="176"/>
      <c r="H2419" s="176"/>
      <c r="I2419" s="172"/>
      <c r="J2419" s="173"/>
    </row>
    <row r="2420" spans="1:10" x14ac:dyDescent="0.25">
      <c r="A2420" s="106"/>
      <c r="B2420" s="107"/>
      <c r="D2420" s="151"/>
      <c r="E2420" s="142"/>
      <c r="F2420" s="176"/>
      <c r="G2420" s="176"/>
      <c r="H2420" s="176"/>
      <c r="I2420" s="172"/>
      <c r="J2420" s="173"/>
    </row>
    <row r="2421" spans="1:10" x14ac:dyDescent="0.25">
      <c r="A2421" s="106"/>
      <c r="B2421" s="107"/>
      <c r="D2421" s="151"/>
      <c r="E2421" s="142"/>
      <c r="F2421" s="176"/>
      <c r="G2421" s="176"/>
      <c r="H2421" s="176"/>
      <c r="I2421" s="172"/>
      <c r="J2421" s="173"/>
    </row>
    <row r="2422" spans="1:10" x14ac:dyDescent="0.25">
      <c r="A2422" s="106"/>
      <c r="B2422" s="107"/>
      <c r="D2422" s="151"/>
      <c r="E2422" s="142"/>
      <c r="F2422" s="176"/>
      <c r="G2422" s="176"/>
      <c r="H2422" s="176"/>
      <c r="I2422" s="172"/>
      <c r="J2422" s="173"/>
    </row>
    <row r="2423" spans="1:10" x14ac:dyDescent="0.25">
      <c r="A2423" s="106"/>
      <c r="B2423" s="107"/>
      <c r="D2423" s="151"/>
      <c r="E2423" s="142"/>
      <c r="F2423" s="176"/>
      <c r="G2423" s="176"/>
      <c r="H2423" s="176"/>
      <c r="I2423" s="172"/>
      <c r="J2423" s="173"/>
    </row>
    <row r="2424" spans="1:10" x14ac:dyDescent="0.25">
      <c r="A2424" s="106"/>
      <c r="B2424" s="107"/>
      <c r="D2424" s="151"/>
      <c r="E2424" s="142"/>
      <c r="F2424" s="176"/>
      <c r="G2424" s="176"/>
      <c r="H2424" s="176"/>
      <c r="I2424" s="172"/>
      <c r="J2424" s="173"/>
    </row>
    <row r="2425" spans="1:10" x14ac:dyDescent="0.25">
      <c r="A2425" s="106"/>
      <c r="B2425" s="107"/>
      <c r="D2425" s="151"/>
      <c r="E2425" s="142"/>
      <c r="F2425" s="176"/>
      <c r="G2425" s="176"/>
      <c r="H2425" s="176"/>
      <c r="I2425" s="172"/>
      <c r="J2425" s="173"/>
    </row>
    <row r="2426" spans="1:10" x14ac:dyDescent="0.25">
      <c r="A2426" s="106"/>
      <c r="B2426" s="107"/>
      <c r="D2426" s="151"/>
      <c r="E2426" s="142"/>
      <c r="F2426" s="176"/>
      <c r="G2426" s="176"/>
      <c r="H2426" s="176"/>
      <c r="I2426" s="172"/>
      <c r="J2426" s="173"/>
    </row>
    <row r="2427" spans="1:10" x14ac:dyDescent="0.25">
      <c r="A2427" s="106"/>
      <c r="B2427" s="107"/>
      <c r="D2427" s="151"/>
      <c r="E2427" s="142"/>
      <c r="F2427" s="176"/>
      <c r="G2427" s="176"/>
      <c r="H2427" s="176"/>
      <c r="I2427" s="172"/>
      <c r="J2427" s="173"/>
    </row>
    <row r="2428" spans="1:10" x14ac:dyDescent="0.25">
      <c r="A2428" s="106"/>
      <c r="B2428" s="107"/>
      <c r="D2428" s="151"/>
      <c r="E2428" s="142"/>
      <c r="F2428" s="176"/>
      <c r="G2428" s="176"/>
      <c r="H2428" s="176"/>
      <c r="I2428" s="172"/>
      <c r="J2428" s="173"/>
    </row>
    <row r="2429" spans="1:10" x14ac:dyDescent="0.25">
      <c r="A2429" s="106"/>
      <c r="B2429" s="107"/>
      <c r="D2429" s="151"/>
      <c r="E2429" s="142"/>
      <c r="F2429" s="176"/>
      <c r="G2429" s="176"/>
      <c r="H2429" s="176"/>
      <c r="I2429" s="172"/>
      <c r="J2429" s="173"/>
    </row>
    <row r="2430" spans="1:10" x14ac:dyDescent="0.25">
      <c r="A2430" s="106"/>
      <c r="B2430" s="107"/>
      <c r="D2430" s="151"/>
      <c r="E2430" s="142"/>
      <c r="F2430" s="176"/>
      <c r="G2430" s="176"/>
      <c r="H2430" s="176"/>
      <c r="I2430" s="172"/>
      <c r="J2430" s="173"/>
    </row>
    <row r="2431" spans="1:10" x14ac:dyDescent="0.25">
      <c r="A2431" s="106"/>
      <c r="B2431" s="107"/>
      <c r="D2431" s="151"/>
      <c r="E2431" s="142"/>
      <c r="F2431" s="176"/>
      <c r="G2431" s="176"/>
      <c r="H2431" s="176"/>
      <c r="I2431" s="172"/>
      <c r="J2431" s="173"/>
    </row>
    <row r="2432" spans="1:10" x14ac:dyDescent="0.25">
      <c r="A2432" s="106"/>
      <c r="B2432" s="107"/>
      <c r="D2432" s="151"/>
      <c r="E2432" s="142"/>
      <c r="F2432" s="176"/>
      <c r="G2432" s="176"/>
      <c r="H2432" s="176"/>
      <c r="I2432" s="172"/>
      <c r="J2432" s="173"/>
    </row>
    <row r="2433" spans="1:10" x14ac:dyDescent="0.25">
      <c r="A2433" s="106"/>
      <c r="B2433" s="107"/>
      <c r="D2433" s="151"/>
      <c r="E2433" s="142"/>
      <c r="F2433" s="176"/>
      <c r="G2433" s="176"/>
      <c r="H2433" s="176"/>
      <c r="I2433" s="172"/>
      <c r="J2433" s="173"/>
    </row>
    <row r="2434" spans="1:10" x14ac:dyDescent="0.25">
      <c r="A2434" s="106"/>
      <c r="B2434" s="107"/>
      <c r="D2434" s="151"/>
      <c r="E2434" s="142"/>
      <c r="F2434" s="176"/>
      <c r="G2434" s="176"/>
      <c r="H2434" s="176"/>
      <c r="I2434" s="172"/>
      <c r="J2434" s="173"/>
    </row>
    <row r="2435" spans="1:10" x14ac:dyDescent="0.25">
      <c r="A2435" s="106"/>
      <c r="B2435" s="107"/>
      <c r="D2435" s="151"/>
      <c r="E2435" s="142"/>
      <c r="F2435" s="176"/>
      <c r="G2435" s="176"/>
      <c r="H2435" s="176"/>
      <c r="I2435" s="172"/>
      <c r="J2435" s="173"/>
    </row>
    <row r="2436" spans="1:10" x14ac:dyDescent="0.25">
      <c r="A2436" s="106"/>
      <c r="B2436" s="107"/>
      <c r="D2436" s="151"/>
      <c r="E2436" s="142"/>
      <c r="F2436" s="176"/>
      <c r="G2436" s="176"/>
      <c r="H2436" s="176"/>
      <c r="I2436" s="172"/>
      <c r="J2436" s="173"/>
    </row>
    <row r="2437" spans="1:10" x14ac:dyDescent="0.25">
      <c r="A2437" s="106"/>
      <c r="B2437" s="107"/>
      <c r="D2437" s="151"/>
      <c r="E2437" s="142"/>
      <c r="F2437" s="176"/>
      <c r="G2437" s="176"/>
      <c r="H2437" s="176"/>
      <c r="I2437" s="172"/>
      <c r="J2437" s="173"/>
    </row>
    <row r="2438" spans="1:10" x14ac:dyDescent="0.25">
      <c r="A2438" s="106"/>
      <c r="B2438" s="107"/>
      <c r="D2438" s="151"/>
      <c r="E2438" s="142"/>
      <c r="F2438" s="176"/>
      <c r="G2438" s="176"/>
      <c r="H2438" s="176"/>
      <c r="I2438" s="172"/>
      <c r="J2438" s="173"/>
    </row>
    <row r="2439" spans="1:10" x14ac:dyDescent="0.25">
      <c r="A2439" s="106"/>
      <c r="B2439" s="107"/>
      <c r="D2439" s="151"/>
      <c r="E2439" s="142"/>
      <c r="F2439" s="176"/>
      <c r="G2439" s="176"/>
      <c r="H2439" s="176"/>
      <c r="I2439" s="172"/>
      <c r="J2439" s="173"/>
    </row>
    <row r="2440" spans="1:10" x14ac:dyDescent="0.25">
      <c r="A2440" s="106"/>
      <c r="B2440" s="107"/>
      <c r="D2440" s="151"/>
      <c r="E2440" s="142"/>
      <c r="F2440" s="176"/>
      <c r="G2440" s="176"/>
      <c r="H2440" s="176"/>
      <c r="I2440" s="172"/>
      <c r="J2440" s="173"/>
    </row>
    <row r="2441" spans="1:10" x14ac:dyDescent="0.25">
      <c r="A2441" s="106"/>
      <c r="B2441" s="107"/>
      <c r="D2441" s="151"/>
      <c r="E2441" s="142"/>
      <c r="F2441" s="176"/>
      <c r="G2441" s="176"/>
      <c r="H2441" s="176"/>
      <c r="I2441" s="172"/>
      <c r="J2441" s="173"/>
    </row>
    <row r="2442" spans="1:10" x14ac:dyDescent="0.25">
      <c r="A2442" s="106"/>
      <c r="B2442" s="107"/>
      <c r="D2442" s="151"/>
      <c r="E2442" s="142"/>
      <c r="F2442" s="176"/>
      <c r="G2442" s="176"/>
      <c r="H2442" s="176"/>
      <c r="I2442" s="172"/>
      <c r="J2442" s="173"/>
    </row>
    <row r="2443" spans="1:10" x14ac:dyDescent="0.25">
      <c r="A2443" s="106"/>
      <c r="B2443" s="107"/>
      <c r="D2443" s="151"/>
      <c r="E2443" s="142"/>
      <c r="F2443" s="176"/>
      <c r="G2443" s="176"/>
      <c r="H2443" s="176"/>
      <c r="I2443" s="172"/>
      <c r="J2443" s="173"/>
    </row>
    <row r="2444" spans="1:10" x14ac:dyDescent="0.25">
      <c r="A2444" s="106"/>
      <c r="B2444" s="107"/>
      <c r="D2444" s="151"/>
      <c r="E2444" s="142"/>
      <c r="F2444" s="176"/>
      <c r="G2444" s="176"/>
      <c r="H2444" s="176"/>
      <c r="I2444" s="172"/>
      <c r="J2444" s="173"/>
    </row>
    <row r="2445" spans="1:10" x14ac:dyDescent="0.25">
      <c r="A2445" s="106"/>
      <c r="B2445" s="107"/>
      <c r="D2445" s="151"/>
      <c r="E2445" s="142"/>
      <c r="F2445" s="176"/>
      <c r="G2445" s="176"/>
      <c r="H2445" s="176"/>
      <c r="I2445" s="172"/>
      <c r="J2445" s="173"/>
    </row>
    <row r="2446" spans="1:10" x14ac:dyDescent="0.25">
      <c r="A2446" s="106"/>
      <c r="B2446" s="107"/>
      <c r="D2446" s="151"/>
      <c r="E2446" s="142"/>
      <c r="F2446" s="176"/>
      <c r="G2446" s="176"/>
      <c r="H2446" s="176"/>
      <c r="I2446" s="172"/>
      <c r="J2446" s="173"/>
    </row>
    <row r="2447" spans="1:10" x14ac:dyDescent="0.25">
      <c r="A2447" s="106"/>
      <c r="B2447" s="107"/>
      <c r="D2447" s="151"/>
      <c r="E2447" s="142"/>
      <c r="F2447" s="176"/>
      <c r="G2447" s="176"/>
      <c r="H2447" s="176"/>
      <c r="I2447" s="172"/>
      <c r="J2447" s="173"/>
    </row>
    <row r="2448" spans="1:10" x14ac:dyDescent="0.25">
      <c r="A2448" s="106"/>
      <c r="B2448" s="107"/>
      <c r="D2448" s="151"/>
      <c r="E2448" s="142"/>
      <c r="F2448" s="176"/>
      <c r="G2448" s="176"/>
      <c r="H2448" s="176"/>
      <c r="I2448" s="172"/>
      <c r="J2448" s="173"/>
    </row>
    <row r="2449" spans="1:10" x14ac:dyDescent="0.25">
      <c r="A2449" s="106"/>
      <c r="B2449" s="107"/>
      <c r="D2449" s="151"/>
      <c r="E2449" s="142"/>
      <c r="F2449" s="176"/>
      <c r="G2449" s="176"/>
      <c r="H2449" s="176"/>
      <c r="I2449" s="172"/>
      <c r="J2449" s="173"/>
    </row>
    <row r="2450" spans="1:10" x14ac:dyDescent="0.25">
      <c r="A2450" s="106"/>
      <c r="B2450" s="107"/>
      <c r="D2450" s="151"/>
      <c r="E2450" s="142"/>
      <c r="F2450" s="176"/>
      <c r="G2450" s="176"/>
      <c r="H2450" s="176"/>
      <c r="I2450" s="172"/>
      <c r="J2450" s="173"/>
    </row>
    <row r="2451" spans="1:10" x14ac:dyDescent="0.25">
      <c r="A2451" s="106"/>
      <c r="B2451" s="107"/>
      <c r="D2451" s="151"/>
      <c r="E2451" s="142"/>
      <c r="F2451" s="176"/>
      <c r="G2451" s="176"/>
      <c r="H2451" s="176"/>
      <c r="I2451" s="172"/>
      <c r="J2451" s="173"/>
    </row>
    <row r="2452" spans="1:10" x14ac:dyDescent="0.25">
      <c r="A2452" s="106"/>
      <c r="B2452" s="107"/>
      <c r="D2452" s="151"/>
      <c r="E2452" s="142"/>
      <c r="F2452" s="176"/>
      <c r="G2452" s="179"/>
      <c r="H2452" s="180"/>
      <c r="I2452" s="172"/>
      <c r="J2452" s="173"/>
    </row>
    <row r="2453" spans="1:10" x14ac:dyDescent="0.25">
      <c r="A2453" s="106"/>
      <c r="B2453" s="107"/>
      <c r="D2453" s="151"/>
      <c r="E2453" s="142"/>
      <c r="F2453" s="176"/>
      <c r="G2453" s="176"/>
      <c r="H2453" s="176"/>
      <c r="I2453" s="172"/>
      <c r="J2453" s="173"/>
    </row>
    <row r="2454" spans="1:10" x14ac:dyDescent="0.25">
      <c r="A2454" s="106"/>
      <c r="B2454" s="107"/>
      <c r="D2454" s="151"/>
      <c r="E2454" s="142"/>
      <c r="F2454" s="176"/>
      <c r="G2454" s="132"/>
      <c r="H2454" s="178"/>
      <c r="I2454" s="172"/>
      <c r="J2454" s="173"/>
    </row>
    <row r="2455" spans="1:10" x14ac:dyDescent="0.25">
      <c r="A2455" s="106"/>
      <c r="B2455" s="107"/>
      <c r="D2455" s="151"/>
      <c r="E2455" s="142"/>
      <c r="F2455" s="176"/>
      <c r="G2455" s="132"/>
      <c r="H2455" s="178"/>
      <c r="I2455" s="172"/>
      <c r="J2455" s="173"/>
    </row>
    <row r="2456" spans="1:10" x14ac:dyDescent="0.25">
      <c r="A2456" s="106"/>
      <c r="B2456" s="107"/>
      <c r="D2456" s="151"/>
      <c r="E2456" s="142"/>
      <c r="F2456" s="176"/>
      <c r="G2456" s="176"/>
      <c r="H2456" s="176"/>
      <c r="I2456" s="172"/>
      <c r="J2456" s="173"/>
    </row>
    <row r="2457" spans="1:10" x14ac:dyDescent="0.25">
      <c r="A2457" s="106"/>
      <c r="B2457" s="107"/>
      <c r="D2457" s="151"/>
      <c r="E2457" s="142"/>
      <c r="F2457" s="176"/>
      <c r="G2457" s="179"/>
      <c r="H2457" s="180"/>
      <c r="I2457" s="172"/>
      <c r="J2457" s="173"/>
    </row>
    <row r="2458" spans="1:10" x14ac:dyDescent="0.25">
      <c r="A2458" s="106"/>
      <c r="B2458" s="107"/>
      <c r="D2458" s="151"/>
      <c r="E2458" s="142"/>
      <c r="F2458" s="176"/>
      <c r="G2458" s="176"/>
      <c r="H2458" s="176"/>
      <c r="I2458" s="172"/>
      <c r="J2458" s="173"/>
    </row>
    <row r="2459" spans="1:10" x14ac:dyDescent="0.25">
      <c r="A2459" s="106"/>
      <c r="B2459" s="107"/>
      <c r="D2459" s="151"/>
      <c r="E2459" s="142"/>
      <c r="F2459" s="176"/>
      <c r="G2459" s="176"/>
      <c r="H2459" s="176"/>
      <c r="I2459" s="172"/>
      <c r="J2459" s="173"/>
    </row>
    <row r="2460" spans="1:10" x14ac:dyDescent="0.25">
      <c r="A2460" s="106"/>
      <c r="B2460" s="107"/>
      <c r="D2460" s="151"/>
      <c r="E2460" s="142"/>
      <c r="F2460" s="176"/>
      <c r="G2460" s="179"/>
      <c r="H2460" s="180"/>
      <c r="I2460" s="172"/>
      <c r="J2460" s="173"/>
    </row>
    <row r="2461" spans="1:10" x14ac:dyDescent="0.25">
      <c r="A2461" s="106"/>
      <c r="B2461" s="107"/>
      <c r="D2461" s="151"/>
      <c r="E2461" s="142"/>
      <c r="F2461" s="176"/>
      <c r="G2461" s="179"/>
      <c r="H2461" s="180"/>
      <c r="I2461" s="172"/>
      <c r="J2461" s="173"/>
    </row>
    <row r="2462" spans="1:10" x14ac:dyDescent="0.25">
      <c r="A2462" s="106"/>
      <c r="B2462" s="107"/>
      <c r="D2462" s="151"/>
      <c r="E2462" s="142"/>
      <c r="F2462" s="176"/>
      <c r="G2462" s="179"/>
      <c r="H2462" s="180"/>
      <c r="I2462" s="172"/>
      <c r="J2462" s="173"/>
    </row>
    <row r="2463" spans="1:10" x14ac:dyDescent="0.25">
      <c r="A2463" s="106"/>
      <c r="B2463" s="107"/>
      <c r="D2463" s="151"/>
      <c r="E2463" s="142"/>
      <c r="F2463" s="176"/>
      <c r="G2463" s="176"/>
      <c r="H2463" s="176"/>
      <c r="I2463" s="172"/>
      <c r="J2463" s="173"/>
    </row>
    <row r="2464" spans="1:10" x14ac:dyDescent="0.25">
      <c r="A2464" s="106"/>
      <c r="B2464" s="107"/>
      <c r="D2464" s="151"/>
      <c r="E2464" s="142"/>
      <c r="F2464" s="176"/>
      <c r="G2464" s="176"/>
      <c r="H2464" s="176"/>
      <c r="I2464" s="172"/>
      <c r="J2464" s="173"/>
    </row>
    <row r="2465" spans="1:10" x14ac:dyDescent="0.25">
      <c r="A2465" s="106"/>
      <c r="B2465" s="107"/>
      <c r="D2465" s="151"/>
      <c r="E2465" s="142"/>
      <c r="F2465" s="176"/>
      <c r="G2465" s="179"/>
      <c r="H2465" s="180"/>
      <c r="I2465" s="172"/>
      <c r="J2465" s="173"/>
    </row>
    <row r="2466" spans="1:10" x14ac:dyDescent="0.25">
      <c r="A2466" s="106"/>
      <c r="B2466" s="107"/>
      <c r="D2466" s="151"/>
      <c r="E2466" s="142"/>
      <c r="F2466" s="176"/>
      <c r="G2466" s="176"/>
      <c r="H2466" s="176"/>
      <c r="I2466" s="172"/>
      <c r="J2466" s="173"/>
    </row>
    <row r="2467" spans="1:10" x14ac:dyDescent="0.25">
      <c r="A2467" s="106"/>
      <c r="B2467" s="107"/>
      <c r="D2467" s="151"/>
      <c r="E2467" s="142"/>
      <c r="F2467" s="176"/>
      <c r="G2467" s="132"/>
      <c r="H2467" s="178"/>
      <c r="I2467" s="172"/>
      <c r="J2467" s="173"/>
    </row>
    <row r="2468" spans="1:10" x14ac:dyDescent="0.25">
      <c r="A2468" s="106"/>
      <c r="B2468" s="107"/>
      <c r="D2468" s="151"/>
      <c r="E2468" s="142"/>
      <c r="F2468" s="176"/>
      <c r="G2468" s="132"/>
      <c r="H2468" s="178"/>
      <c r="I2468" s="172"/>
      <c r="J2468" s="173"/>
    </row>
    <row r="2469" spans="1:10" x14ac:dyDescent="0.25">
      <c r="A2469" s="106"/>
      <c r="B2469" s="107"/>
      <c r="D2469" s="151"/>
      <c r="E2469" s="142"/>
      <c r="F2469" s="176"/>
      <c r="G2469" s="176"/>
      <c r="H2469" s="176"/>
      <c r="I2469" s="172"/>
      <c r="J2469" s="173"/>
    </row>
    <row r="2470" spans="1:10" x14ac:dyDescent="0.25">
      <c r="A2470" s="106"/>
      <c r="B2470" s="107"/>
      <c r="D2470" s="151"/>
      <c r="E2470" s="142"/>
      <c r="F2470" s="176"/>
      <c r="G2470" s="179"/>
      <c r="H2470" s="180"/>
      <c r="I2470" s="172"/>
      <c r="J2470" s="173"/>
    </row>
    <row r="2471" spans="1:10" x14ac:dyDescent="0.25">
      <c r="A2471" s="106"/>
      <c r="B2471" s="107"/>
      <c r="D2471" s="151"/>
      <c r="E2471" s="142"/>
      <c r="F2471" s="176"/>
      <c r="G2471" s="176"/>
      <c r="H2471" s="176"/>
      <c r="I2471" s="172"/>
      <c r="J2471" s="173"/>
    </row>
    <row r="2472" spans="1:10" x14ac:dyDescent="0.25">
      <c r="A2472" s="106"/>
      <c r="B2472" s="107"/>
      <c r="D2472" s="151"/>
      <c r="E2472" s="142"/>
      <c r="F2472" s="176"/>
      <c r="G2472" s="176"/>
      <c r="H2472" s="176"/>
      <c r="I2472" s="172"/>
      <c r="J2472" s="173"/>
    </row>
    <row r="2473" spans="1:10" x14ac:dyDescent="0.25">
      <c r="A2473" s="106"/>
      <c r="B2473" s="107"/>
      <c r="D2473" s="151"/>
      <c r="E2473" s="142"/>
      <c r="F2473" s="176"/>
      <c r="G2473" s="179"/>
      <c r="H2473" s="180"/>
      <c r="I2473" s="172"/>
      <c r="J2473" s="173"/>
    </row>
    <row r="2474" spans="1:10" x14ac:dyDescent="0.25">
      <c r="A2474" s="106"/>
      <c r="B2474" s="107"/>
      <c r="D2474" s="151"/>
      <c r="E2474" s="142"/>
      <c r="F2474" s="176"/>
      <c r="G2474" s="179"/>
      <c r="H2474" s="180"/>
      <c r="I2474" s="172"/>
      <c r="J2474" s="173"/>
    </row>
    <row r="2475" spans="1:10" x14ac:dyDescent="0.25">
      <c r="A2475" s="106"/>
      <c r="B2475" s="107"/>
      <c r="D2475" s="151"/>
      <c r="E2475" s="142"/>
      <c r="F2475" s="176"/>
      <c r="G2475" s="179"/>
      <c r="H2475" s="180"/>
      <c r="I2475" s="172"/>
      <c r="J2475" s="173"/>
    </row>
    <row r="2476" spans="1:10" x14ac:dyDescent="0.25">
      <c r="A2476" s="106"/>
      <c r="B2476" s="107"/>
      <c r="D2476" s="151"/>
      <c r="E2476" s="142"/>
      <c r="F2476" s="176"/>
      <c r="G2476" s="176"/>
      <c r="H2476" s="176"/>
      <c r="I2476" s="172"/>
      <c r="J2476" s="173"/>
    </row>
    <row r="2477" spans="1:10" x14ac:dyDescent="0.25">
      <c r="A2477" s="106"/>
      <c r="B2477" s="107"/>
      <c r="D2477" s="151"/>
      <c r="E2477" s="142"/>
      <c r="F2477" s="176"/>
      <c r="G2477" s="176"/>
      <c r="H2477" s="176"/>
      <c r="I2477" s="172"/>
      <c r="J2477" s="173"/>
    </row>
    <row r="2478" spans="1:10" x14ac:dyDescent="0.25">
      <c r="A2478" s="106"/>
      <c r="B2478" s="107"/>
      <c r="D2478" s="151"/>
      <c r="E2478" s="142"/>
      <c r="F2478" s="176"/>
      <c r="G2478" s="179"/>
      <c r="H2478" s="180"/>
      <c r="I2478" s="172"/>
      <c r="J2478" s="173"/>
    </row>
    <row r="2479" spans="1:10" x14ac:dyDescent="0.25">
      <c r="A2479" s="106"/>
      <c r="B2479" s="107"/>
      <c r="D2479" s="151"/>
      <c r="E2479" s="142"/>
      <c r="F2479" s="176"/>
      <c r="G2479" s="176"/>
      <c r="H2479" s="176"/>
      <c r="I2479" s="172"/>
      <c r="J2479" s="173"/>
    </row>
    <row r="2480" spans="1:10" x14ac:dyDescent="0.25">
      <c r="A2480" s="106"/>
      <c r="B2480" s="107"/>
      <c r="D2480" s="151"/>
      <c r="E2480" s="142"/>
      <c r="F2480" s="176"/>
      <c r="G2480" s="132"/>
      <c r="H2480" s="178"/>
      <c r="I2480" s="172"/>
      <c r="J2480" s="173"/>
    </row>
    <row r="2481" spans="1:10" x14ac:dyDescent="0.25">
      <c r="A2481" s="106"/>
      <c r="B2481" s="107"/>
      <c r="D2481" s="151"/>
      <c r="E2481" s="142"/>
      <c r="F2481" s="176"/>
      <c r="G2481" s="132"/>
      <c r="H2481" s="178"/>
      <c r="I2481" s="172"/>
      <c r="J2481" s="173"/>
    </row>
    <row r="2482" spans="1:10" x14ac:dyDescent="0.25">
      <c r="A2482" s="106"/>
      <c r="B2482" s="107"/>
      <c r="D2482" s="151"/>
      <c r="E2482" s="142"/>
      <c r="F2482" s="176"/>
      <c r="G2482" s="176"/>
      <c r="H2482" s="176"/>
      <c r="I2482" s="172"/>
      <c r="J2482" s="173"/>
    </row>
    <row r="2483" spans="1:10" x14ac:dyDescent="0.25">
      <c r="A2483" s="106"/>
      <c r="B2483" s="107"/>
      <c r="D2483" s="151"/>
      <c r="E2483" s="142"/>
      <c r="F2483" s="176"/>
      <c r="G2483" s="179"/>
      <c r="H2483" s="180"/>
      <c r="I2483" s="172"/>
      <c r="J2483" s="173"/>
    </row>
    <row r="2484" spans="1:10" x14ac:dyDescent="0.25">
      <c r="A2484" s="106"/>
      <c r="B2484" s="107"/>
      <c r="D2484" s="151"/>
      <c r="E2484" s="142"/>
      <c r="F2484" s="176"/>
      <c r="G2484" s="176"/>
      <c r="H2484" s="176"/>
      <c r="I2484" s="172"/>
      <c r="J2484" s="173"/>
    </row>
    <row r="2485" spans="1:10" x14ac:dyDescent="0.25">
      <c r="A2485" s="106"/>
      <c r="B2485" s="107"/>
      <c r="D2485" s="151"/>
      <c r="E2485" s="142"/>
      <c r="F2485" s="176"/>
      <c r="G2485" s="176"/>
      <c r="H2485" s="176"/>
      <c r="I2485" s="172"/>
      <c r="J2485" s="173"/>
    </row>
    <row r="2486" spans="1:10" x14ac:dyDescent="0.25">
      <c r="A2486" s="106"/>
      <c r="B2486" s="107"/>
      <c r="D2486" s="151"/>
      <c r="E2486" s="142"/>
      <c r="F2486" s="176"/>
      <c r="G2486" s="179"/>
      <c r="H2486" s="180"/>
      <c r="I2486" s="172"/>
      <c r="J2486" s="173"/>
    </row>
    <row r="2487" spans="1:10" x14ac:dyDescent="0.25">
      <c r="A2487" s="106"/>
      <c r="B2487" s="107"/>
      <c r="D2487" s="151"/>
      <c r="E2487" s="142"/>
      <c r="F2487" s="176"/>
      <c r="G2487" s="179"/>
      <c r="H2487" s="180"/>
      <c r="I2487" s="172"/>
      <c r="J2487" s="173"/>
    </row>
    <row r="2488" spans="1:10" x14ac:dyDescent="0.25">
      <c r="A2488" s="106"/>
      <c r="B2488" s="107"/>
      <c r="D2488" s="151"/>
      <c r="E2488" s="142"/>
      <c r="F2488" s="176"/>
      <c r="G2488" s="179"/>
      <c r="H2488" s="180"/>
      <c r="I2488" s="172"/>
      <c r="J2488" s="173"/>
    </row>
    <row r="2489" spans="1:10" x14ac:dyDescent="0.25">
      <c r="A2489" s="106"/>
      <c r="B2489" s="107"/>
      <c r="D2489" s="151"/>
      <c r="E2489" s="142"/>
      <c r="F2489" s="176"/>
      <c r="G2489" s="176"/>
      <c r="H2489" s="176"/>
      <c r="I2489" s="172"/>
      <c r="J2489" s="173"/>
    </row>
    <row r="2490" spans="1:10" x14ac:dyDescent="0.25">
      <c r="A2490" s="106"/>
      <c r="B2490" s="107"/>
      <c r="D2490" s="151"/>
      <c r="E2490" s="142"/>
      <c r="F2490" s="176"/>
      <c r="G2490" s="176"/>
      <c r="H2490" s="176"/>
      <c r="I2490" s="172"/>
      <c r="J2490" s="173"/>
    </row>
    <row r="2491" spans="1:10" x14ac:dyDescent="0.25">
      <c r="A2491" s="106"/>
      <c r="B2491" s="107"/>
      <c r="D2491" s="151"/>
      <c r="E2491" s="142"/>
      <c r="F2491" s="176"/>
      <c r="G2491" s="176"/>
      <c r="H2491" s="176"/>
      <c r="I2491" s="172"/>
      <c r="J2491" s="173"/>
    </row>
    <row r="2492" spans="1:10" x14ac:dyDescent="0.25">
      <c r="A2492" s="106"/>
      <c r="B2492" s="107"/>
      <c r="D2492" s="151"/>
      <c r="E2492" s="142"/>
      <c r="F2492" s="176"/>
      <c r="G2492" s="179"/>
      <c r="H2492" s="180"/>
      <c r="I2492" s="172"/>
      <c r="J2492" s="173"/>
    </row>
    <row r="2493" spans="1:10" x14ac:dyDescent="0.25">
      <c r="A2493" s="106"/>
      <c r="B2493" s="107"/>
      <c r="D2493" s="151"/>
      <c r="E2493" s="142"/>
      <c r="F2493" s="176"/>
      <c r="G2493" s="176"/>
      <c r="H2493" s="176"/>
      <c r="I2493" s="172"/>
      <c r="J2493" s="173"/>
    </row>
    <row r="2494" spans="1:10" x14ac:dyDescent="0.25">
      <c r="A2494" s="106"/>
      <c r="B2494" s="107"/>
      <c r="D2494" s="151"/>
      <c r="E2494" s="142"/>
      <c r="F2494" s="176"/>
      <c r="G2494" s="132"/>
      <c r="H2494" s="178"/>
      <c r="I2494" s="172"/>
      <c r="J2494" s="173"/>
    </row>
    <row r="2495" spans="1:10" x14ac:dyDescent="0.25">
      <c r="A2495" s="106"/>
      <c r="B2495" s="107"/>
      <c r="D2495" s="151"/>
      <c r="E2495" s="142"/>
      <c r="F2495" s="176"/>
      <c r="G2495" s="132"/>
      <c r="H2495" s="178"/>
      <c r="I2495" s="172"/>
      <c r="J2495" s="173"/>
    </row>
    <row r="2496" spans="1:10" x14ac:dyDescent="0.25">
      <c r="A2496" s="106"/>
      <c r="B2496" s="107"/>
      <c r="D2496" s="151"/>
      <c r="E2496" s="142"/>
      <c r="F2496" s="176"/>
      <c r="G2496" s="176"/>
      <c r="H2496" s="176"/>
      <c r="I2496" s="172"/>
      <c r="J2496" s="173"/>
    </row>
    <row r="2497" spans="1:10" x14ac:dyDescent="0.25">
      <c r="A2497" s="106"/>
      <c r="B2497" s="107"/>
      <c r="D2497" s="151"/>
      <c r="E2497" s="142"/>
      <c r="F2497" s="176"/>
      <c r="G2497" s="179"/>
      <c r="H2497" s="180"/>
      <c r="I2497" s="172"/>
      <c r="J2497" s="173"/>
    </row>
    <row r="2498" spans="1:10" x14ac:dyDescent="0.25">
      <c r="A2498" s="106"/>
      <c r="B2498" s="107"/>
      <c r="D2498" s="151"/>
      <c r="E2498" s="142"/>
      <c r="F2498" s="176"/>
      <c r="G2498" s="176"/>
      <c r="H2498" s="176"/>
      <c r="I2498" s="172"/>
      <c r="J2498" s="173"/>
    </row>
    <row r="2499" spans="1:10" x14ac:dyDescent="0.25">
      <c r="A2499" s="106"/>
      <c r="B2499" s="107"/>
      <c r="D2499" s="151"/>
      <c r="E2499" s="142"/>
      <c r="F2499" s="176"/>
      <c r="G2499" s="176"/>
      <c r="H2499" s="176"/>
      <c r="I2499" s="172"/>
      <c r="J2499" s="173"/>
    </row>
    <row r="2500" spans="1:10" x14ac:dyDescent="0.25">
      <c r="A2500" s="106"/>
      <c r="B2500" s="107"/>
      <c r="D2500" s="151"/>
      <c r="E2500" s="142"/>
      <c r="F2500" s="176"/>
      <c r="G2500" s="179"/>
      <c r="H2500" s="180"/>
      <c r="I2500" s="172"/>
      <c r="J2500" s="173"/>
    </row>
    <row r="2501" spans="1:10" x14ac:dyDescent="0.25">
      <c r="A2501" s="106"/>
      <c r="B2501" s="107"/>
      <c r="D2501" s="151"/>
      <c r="E2501" s="142"/>
      <c r="F2501" s="176"/>
      <c r="G2501" s="179"/>
      <c r="H2501" s="180"/>
      <c r="I2501" s="172"/>
      <c r="J2501" s="173"/>
    </row>
    <row r="2502" spans="1:10" x14ac:dyDescent="0.25">
      <c r="A2502" s="106"/>
      <c r="B2502" s="107"/>
      <c r="D2502" s="151"/>
      <c r="E2502" s="142"/>
      <c r="F2502" s="176"/>
      <c r="G2502" s="179"/>
      <c r="H2502" s="180"/>
      <c r="I2502" s="172"/>
      <c r="J2502" s="173"/>
    </row>
    <row r="2503" spans="1:10" x14ac:dyDescent="0.25">
      <c r="A2503" s="106"/>
      <c r="B2503" s="107"/>
      <c r="D2503" s="151"/>
      <c r="E2503" s="142"/>
      <c r="F2503" s="176"/>
      <c r="G2503" s="176"/>
      <c r="H2503" s="176"/>
      <c r="I2503" s="172"/>
      <c r="J2503" s="173"/>
    </row>
    <row r="2504" spans="1:10" x14ac:dyDescent="0.25">
      <c r="A2504" s="106"/>
      <c r="B2504" s="107"/>
      <c r="D2504" s="151"/>
      <c r="E2504" s="142"/>
      <c r="F2504" s="176"/>
      <c r="G2504" s="176"/>
      <c r="H2504" s="176"/>
      <c r="I2504" s="172"/>
      <c r="J2504" s="173"/>
    </row>
    <row r="2505" spans="1:10" x14ac:dyDescent="0.25">
      <c r="A2505" s="106"/>
      <c r="B2505" s="107"/>
      <c r="D2505" s="151"/>
      <c r="E2505" s="142"/>
      <c r="F2505" s="176"/>
      <c r="G2505" s="179"/>
      <c r="H2505" s="180"/>
      <c r="I2505" s="172"/>
      <c r="J2505" s="173"/>
    </row>
    <row r="2506" spans="1:10" x14ac:dyDescent="0.25">
      <c r="A2506" s="106"/>
      <c r="B2506" s="107"/>
      <c r="D2506" s="151"/>
      <c r="E2506" s="142"/>
      <c r="F2506" s="176"/>
      <c r="G2506" s="176"/>
      <c r="H2506" s="176"/>
      <c r="I2506" s="172"/>
      <c r="J2506" s="173"/>
    </row>
    <row r="2507" spans="1:10" x14ac:dyDescent="0.25">
      <c r="A2507" s="106"/>
      <c r="B2507" s="107"/>
      <c r="D2507" s="151"/>
      <c r="E2507" s="142"/>
      <c r="F2507" s="176"/>
      <c r="G2507" s="132"/>
      <c r="H2507" s="178"/>
      <c r="I2507" s="172"/>
      <c r="J2507" s="173"/>
    </row>
    <row r="2508" spans="1:10" x14ac:dyDescent="0.25">
      <c r="A2508" s="106"/>
      <c r="B2508" s="107"/>
      <c r="D2508" s="151"/>
      <c r="E2508" s="142"/>
      <c r="F2508" s="176"/>
      <c r="G2508" s="132"/>
      <c r="H2508" s="178"/>
      <c r="I2508" s="172"/>
      <c r="J2508" s="173"/>
    </row>
    <row r="2509" spans="1:10" x14ac:dyDescent="0.25">
      <c r="A2509" s="106"/>
      <c r="B2509" s="107"/>
      <c r="D2509" s="151"/>
      <c r="E2509" s="142"/>
      <c r="F2509" s="176"/>
      <c r="G2509" s="176"/>
      <c r="H2509" s="176"/>
      <c r="I2509" s="172"/>
      <c r="J2509" s="173"/>
    </row>
    <row r="2510" spans="1:10" x14ac:dyDescent="0.25">
      <c r="A2510" s="106"/>
      <c r="B2510" s="107"/>
      <c r="D2510" s="151"/>
      <c r="E2510" s="142"/>
      <c r="F2510" s="176"/>
      <c r="G2510" s="179"/>
      <c r="H2510" s="180"/>
      <c r="I2510" s="172"/>
      <c r="J2510" s="173"/>
    </row>
    <row r="2511" spans="1:10" x14ac:dyDescent="0.25">
      <c r="A2511" s="106"/>
      <c r="B2511" s="107"/>
      <c r="D2511" s="151"/>
      <c r="E2511" s="142"/>
      <c r="F2511" s="176"/>
      <c r="G2511" s="176"/>
      <c r="H2511" s="176"/>
      <c r="I2511" s="172"/>
      <c r="J2511" s="173"/>
    </row>
    <row r="2512" spans="1:10" x14ac:dyDescent="0.25">
      <c r="A2512" s="106"/>
      <c r="B2512" s="107"/>
      <c r="D2512" s="151"/>
      <c r="E2512" s="142"/>
      <c r="F2512" s="176"/>
      <c r="G2512" s="176"/>
      <c r="H2512" s="176"/>
      <c r="I2512" s="172"/>
      <c r="J2512" s="173"/>
    </row>
    <row r="2513" spans="1:10" x14ac:dyDescent="0.25">
      <c r="A2513" s="106"/>
      <c r="B2513" s="107"/>
      <c r="D2513" s="151"/>
      <c r="E2513" s="142"/>
      <c r="F2513" s="176"/>
      <c r="G2513" s="179"/>
      <c r="H2513" s="180"/>
      <c r="I2513" s="172"/>
      <c r="J2513" s="173"/>
    </row>
    <row r="2514" spans="1:10" x14ac:dyDescent="0.25">
      <c r="A2514" s="106"/>
      <c r="B2514" s="107"/>
      <c r="D2514" s="151"/>
      <c r="E2514" s="142"/>
      <c r="F2514" s="176"/>
      <c r="G2514" s="179"/>
      <c r="H2514" s="180"/>
      <c r="I2514" s="172"/>
      <c r="J2514" s="173"/>
    </row>
    <row r="2515" spans="1:10" x14ac:dyDescent="0.25">
      <c r="A2515" s="106"/>
      <c r="B2515" s="107"/>
      <c r="D2515" s="151"/>
      <c r="E2515" s="142"/>
      <c r="F2515" s="176"/>
      <c r="G2515" s="179"/>
      <c r="H2515" s="180"/>
      <c r="I2515" s="172"/>
      <c r="J2515" s="173"/>
    </row>
    <row r="2516" spans="1:10" x14ac:dyDescent="0.25">
      <c r="A2516" s="106"/>
      <c r="B2516" s="107"/>
      <c r="D2516" s="151"/>
      <c r="E2516" s="142"/>
      <c r="F2516" s="176"/>
      <c r="G2516" s="176"/>
      <c r="H2516" s="176"/>
      <c r="I2516" s="172"/>
      <c r="J2516" s="173"/>
    </row>
    <row r="2517" spans="1:10" x14ac:dyDescent="0.25">
      <c r="A2517" s="106"/>
      <c r="B2517" s="107"/>
      <c r="D2517" s="151"/>
      <c r="E2517" s="142"/>
      <c r="F2517" s="176"/>
      <c r="G2517" s="176"/>
      <c r="H2517" s="176"/>
      <c r="I2517" s="172"/>
      <c r="J2517" s="173"/>
    </row>
    <row r="2518" spans="1:10" x14ac:dyDescent="0.25">
      <c r="A2518" s="106"/>
      <c r="B2518" s="107"/>
      <c r="D2518" s="151"/>
      <c r="E2518" s="142"/>
      <c r="F2518" s="176"/>
      <c r="G2518" s="179"/>
      <c r="H2518" s="180"/>
      <c r="I2518" s="172"/>
      <c r="J2518" s="173"/>
    </row>
    <row r="2519" spans="1:10" x14ac:dyDescent="0.25">
      <c r="A2519" s="106"/>
      <c r="B2519" s="107"/>
      <c r="D2519" s="151"/>
      <c r="E2519" s="142"/>
      <c r="F2519" s="176"/>
      <c r="G2519" s="176"/>
      <c r="H2519" s="176"/>
      <c r="I2519" s="172"/>
      <c r="J2519" s="173"/>
    </row>
    <row r="2520" spans="1:10" x14ac:dyDescent="0.25">
      <c r="A2520" s="106"/>
      <c r="B2520" s="107"/>
      <c r="D2520" s="151"/>
      <c r="E2520" s="142"/>
      <c r="F2520" s="176"/>
      <c r="G2520" s="132"/>
      <c r="H2520" s="178"/>
      <c r="I2520" s="172"/>
      <c r="J2520" s="173"/>
    </row>
    <row r="2521" spans="1:10" x14ac:dyDescent="0.25">
      <c r="A2521" s="106"/>
      <c r="B2521" s="107"/>
      <c r="D2521" s="151"/>
      <c r="E2521" s="142"/>
      <c r="F2521" s="176"/>
      <c r="G2521" s="132"/>
      <c r="H2521" s="178"/>
      <c r="I2521" s="172"/>
      <c r="J2521" s="173"/>
    </row>
    <row r="2522" spans="1:10" x14ac:dyDescent="0.25">
      <c r="A2522" s="106"/>
      <c r="B2522" s="107"/>
      <c r="D2522" s="151"/>
      <c r="E2522" s="142"/>
      <c r="F2522" s="176"/>
      <c r="G2522" s="176"/>
      <c r="H2522" s="176"/>
      <c r="I2522" s="172"/>
      <c r="J2522" s="173"/>
    </row>
    <row r="2523" spans="1:10" x14ac:dyDescent="0.25">
      <c r="A2523" s="106"/>
      <c r="B2523" s="107"/>
      <c r="D2523" s="151"/>
      <c r="E2523" s="142"/>
      <c r="F2523" s="176"/>
      <c r="G2523" s="179"/>
      <c r="H2523" s="180"/>
      <c r="I2523" s="172"/>
      <c r="J2523" s="173"/>
    </row>
    <row r="2524" spans="1:10" x14ac:dyDescent="0.25">
      <c r="A2524" s="106"/>
      <c r="B2524" s="107"/>
      <c r="D2524" s="151"/>
      <c r="E2524" s="142"/>
      <c r="F2524" s="176"/>
      <c r="G2524" s="176"/>
      <c r="H2524" s="176"/>
      <c r="I2524" s="172"/>
      <c r="J2524" s="173"/>
    </row>
    <row r="2525" spans="1:10" x14ac:dyDescent="0.25">
      <c r="A2525" s="106"/>
      <c r="B2525" s="107"/>
      <c r="D2525" s="151"/>
      <c r="E2525" s="142"/>
      <c r="F2525" s="176"/>
      <c r="G2525" s="176"/>
      <c r="H2525" s="176"/>
      <c r="I2525" s="172"/>
      <c r="J2525" s="173"/>
    </row>
    <row r="2526" spans="1:10" x14ac:dyDescent="0.25">
      <c r="A2526" s="106"/>
      <c r="B2526" s="107"/>
      <c r="D2526" s="151"/>
      <c r="E2526" s="142"/>
      <c r="F2526" s="176"/>
      <c r="G2526" s="179"/>
      <c r="H2526" s="180"/>
      <c r="I2526" s="172"/>
      <c r="J2526" s="173"/>
    </row>
    <row r="2527" spans="1:10" x14ac:dyDescent="0.25">
      <c r="A2527" s="106"/>
      <c r="B2527" s="107"/>
      <c r="D2527" s="151"/>
      <c r="E2527" s="142"/>
      <c r="F2527" s="176"/>
      <c r="G2527" s="179"/>
      <c r="H2527" s="180"/>
      <c r="I2527" s="172"/>
      <c r="J2527" s="173"/>
    </row>
    <row r="2528" spans="1:10" x14ac:dyDescent="0.25">
      <c r="A2528" s="106"/>
      <c r="B2528" s="107"/>
      <c r="D2528" s="151"/>
      <c r="E2528" s="142"/>
      <c r="F2528" s="176"/>
      <c r="G2528" s="179"/>
      <c r="H2528" s="180"/>
      <c r="I2528" s="172"/>
      <c r="J2528" s="173"/>
    </row>
    <row r="2529" spans="1:10" x14ac:dyDescent="0.25">
      <c r="A2529" s="106"/>
      <c r="B2529" s="107"/>
      <c r="D2529" s="151"/>
      <c r="E2529" s="142"/>
      <c r="F2529" s="176"/>
      <c r="G2529" s="176"/>
      <c r="H2529" s="176"/>
      <c r="I2529" s="172"/>
      <c r="J2529" s="173"/>
    </row>
    <row r="2530" spans="1:10" x14ac:dyDescent="0.25">
      <c r="A2530" s="106"/>
      <c r="B2530" s="107"/>
      <c r="D2530" s="151"/>
      <c r="E2530" s="142"/>
      <c r="F2530" s="176"/>
      <c r="G2530" s="176"/>
      <c r="H2530" s="176"/>
      <c r="I2530" s="172"/>
      <c r="J2530" s="173"/>
    </row>
    <row r="2531" spans="1:10" x14ac:dyDescent="0.25">
      <c r="A2531" s="106"/>
      <c r="B2531" s="107"/>
      <c r="D2531" s="151"/>
      <c r="E2531" s="142"/>
      <c r="F2531" s="176"/>
      <c r="G2531" s="176"/>
      <c r="H2531" s="176"/>
      <c r="I2531" s="172"/>
      <c r="J2531" s="173"/>
    </row>
    <row r="2532" spans="1:10" x14ac:dyDescent="0.25">
      <c r="A2532" s="106"/>
      <c r="B2532" s="107"/>
      <c r="D2532" s="151"/>
      <c r="E2532" s="142"/>
      <c r="F2532" s="176"/>
      <c r="G2532" s="176"/>
      <c r="H2532" s="176"/>
      <c r="I2532" s="172"/>
      <c r="J2532" s="173"/>
    </row>
    <row r="2533" spans="1:10" x14ac:dyDescent="0.25">
      <c r="A2533" s="106"/>
      <c r="B2533" s="107"/>
      <c r="D2533" s="151"/>
      <c r="E2533" s="142"/>
      <c r="F2533" s="176"/>
      <c r="G2533" s="176"/>
      <c r="H2533" s="176"/>
      <c r="I2533" s="172"/>
      <c r="J2533" s="173"/>
    </row>
    <row r="2534" spans="1:10" x14ac:dyDescent="0.25">
      <c r="A2534" s="106"/>
      <c r="B2534" s="107"/>
      <c r="D2534" s="151"/>
      <c r="E2534" s="142"/>
      <c r="F2534" s="176"/>
      <c r="G2534" s="176"/>
      <c r="H2534" s="176"/>
      <c r="I2534" s="172"/>
      <c r="J2534" s="173"/>
    </row>
    <row r="2535" spans="1:10" x14ac:dyDescent="0.25">
      <c r="A2535" s="106"/>
      <c r="B2535" s="107"/>
      <c r="D2535" s="151"/>
      <c r="E2535" s="142"/>
      <c r="F2535" s="176"/>
      <c r="G2535" s="176"/>
      <c r="H2535" s="176"/>
      <c r="I2535" s="172"/>
      <c r="J2535" s="173"/>
    </row>
    <row r="2536" spans="1:10" x14ac:dyDescent="0.25">
      <c r="A2536" s="106"/>
      <c r="B2536" s="107"/>
      <c r="D2536" s="151"/>
      <c r="E2536" s="142"/>
      <c r="F2536" s="176"/>
      <c r="G2536" s="176"/>
      <c r="H2536" s="176"/>
      <c r="I2536" s="172"/>
      <c r="J2536" s="173"/>
    </row>
    <row r="2537" spans="1:10" x14ac:dyDescent="0.25">
      <c r="A2537" s="106"/>
      <c r="B2537" s="107"/>
      <c r="D2537" s="151"/>
      <c r="E2537" s="142"/>
      <c r="F2537" s="176"/>
      <c r="G2537" s="176"/>
      <c r="H2537" s="176"/>
      <c r="I2537" s="172"/>
      <c r="J2537" s="173"/>
    </row>
    <row r="2538" spans="1:10" x14ac:dyDescent="0.25">
      <c r="A2538" s="106"/>
      <c r="B2538" s="107"/>
      <c r="D2538" s="151"/>
      <c r="E2538" s="142"/>
      <c r="F2538" s="176"/>
      <c r="G2538" s="176"/>
      <c r="H2538" s="176"/>
      <c r="I2538" s="172"/>
      <c r="J2538" s="173"/>
    </row>
    <row r="2539" spans="1:10" x14ac:dyDescent="0.25">
      <c r="A2539" s="106"/>
      <c r="B2539" s="107"/>
      <c r="D2539" s="151"/>
      <c r="E2539" s="142"/>
      <c r="F2539" s="176"/>
      <c r="G2539" s="176"/>
      <c r="H2539" s="176"/>
      <c r="I2539" s="172"/>
      <c r="J2539" s="173"/>
    </row>
    <row r="2540" spans="1:10" x14ac:dyDescent="0.25">
      <c r="A2540" s="106"/>
      <c r="B2540" s="107"/>
      <c r="D2540" s="151"/>
      <c r="E2540" s="142"/>
      <c r="F2540" s="176"/>
      <c r="G2540" s="176"/>
      <c r="H2540" s="176"/>
      <c r="I2540" s="172"/>
      <c r="J2540" s="173"/>
    </row>
    <row r="2541" spans="1:10" x14ac:dyDescent="0.25">
      <c r="A2541" s="106"/>
      <c r="B2541" s="107"/>
      <c r="D2541" s="151"/>
      <c r="E2541" s="142"/>
      <c r="F2541" s="176"/>
      <c r="G2541" s="176"/>
      <c r="H2541" s="176"/>
      <c r="I2541" s="172"/>
      <c r="J2541" s="173"/>
    </row>
    <row r="2542" spans="1:10" x14ac:dyDescent="0.25">
      <c r="A2542" s="106"/>
      <c r="B2542" s="107"/>
      <c r="D2542" s="151"/>
      <c r="E2542" s="142"/>
      <c r="F2542" s="176"/>
      <c r="G2542" s="176"/>
      <c r="H2542" s="176"/>
      <c r="I2542" s="172"/>
      <c r="J2542" s="173"/>
    </row>
    <row r="2543" spans="1:10" x14ac:dyDescent="0.25">
      <c r="A2543" s="106"/>
      <c r="B2543" s="107"/>
      <c r="D2543" s="151"/>
      <c r="E2543" s="142"/>
      <c r="F2543" s="176"/>
      <c r="G2543" s="176"/>
      <c r="H2543" s="176"/>
      <c r="I2543" s="172"/>
      <c r="J2543" s="173"/>
    </row>
    <row r="2544" spans="1:10" x14ac:dyDescent="0.25">
      <c r="A2544" s="106"/>
      <c r="B2544" s="107"/>
      <c r="D2544" s="151"/>
      <c r="E2544" s="142"/>
      <c r="F2544" s="176"/>
      <c r="G2544" s="176"/>
      <c r="H2544" s="176"/>
      <c r="I2544" s="172"/>
      <c r="J2544" s="173"/>
    </row>
    <row r="2545" spans="1:10" x14ac:dyDescent="0.25">
      <c r="A2545" s="106"/>
      <c r="B2545" s="107"/>
      <c r="D2545" s="151"/>
      <c r="E2545" s="142"/>
      <c r="F2545" s="176"/>
      <c r="G2545" s="176"/>
      <c r="H2545" s="176"/>
      <c r="I2545" s="172"/>
      <c r="J2545" s="173"/>
    </row>
    <row r="2546" spans="1:10" x14ac:dyDescent="0.25">
      <c r="A2546" s="106"/>
      <c r="B2546" s="107"/>
      <c r="D2546" s="151"/>
      <c r="E2546" s="142"/>
      <c r="F2546" s="176"/>
      <c r="G2546" s="176"/>
      <c r="H2546" s="176"/>
      <c r="I2546" s="172"/>
      <c r="J2546" s="173"/>
    </row>
    <row r="2547" spans="1:10" x14ac:dyDescent="0.25">
      <c r="A2547" s="106"/>
      <c r="B2547" s="107"/>
      <c r="D2547" s="151"/>
      <c r="E2547" s="142"/>
      <c r="F2547" s="176"/>
      <c r="G2547" s="176"/>
      <c r="H2547" s="176"/>
      <c r="I2547" s="172"/>
      <c r="J2547" s="173"/>
    </row>
    <row r="2548" spans="1:10" x14ac:dyDescent="0.25">
      <c r="A2548" s="106"/>
      <c r="B2548" s="107"/>
      <c r="D2548" s="151"/>
      <c r="E2548" s="142"/>
      <c r="F2548" s="176"/>
      <c r="G2548" s="176"/>
      <c r="H2548" s="176"/>
      <c r="I2548" s="172"/>
      <c r="J2548" s="173"/>
    </row>
    <row r="2549" spans="1:10" x14ac:dyDescent="0.25">
      <c r="A2549" s="106"/>
      <c r="B2549" s="107"/>
      <c r="D2549" s="151"/>
      <c r="E2549" s="142"/>
      <c r="F2549" s="176"/>
      <c r="G2549" s="176"/>
      <c r="H2549" s="176"/>
      <c r="I2549" s="172"/>
      <c r="J2549" s="173"/>
    </row>
    <row r="2550" spans="1:10" x14ac:dyDescent="0.25">
      <c r="A2550" s="106"/>
      <c r="B2550" s="107"/>
      <c r="D2550" s="151"/>
      <c r="E2550" s="142"/>
      <c r="F2550" s="176"/>
      <c r="G2550" s="176"/>
      <c r="H2550" s="176"/>
      <c r="I2550" s="172"/>
      <c r="J2550" s="173"/>
    </row>
    <row r="2551" spans="1:10" x14ac:dyDescent="0.25">
      <c r="A2551" s="106"/>
      <c r="B2551" s="107"/>
      <c r="D2551" s="151"/>
      <c r="E2551" s="142"/>
      <c r="F2551" s="176"/>
      <c r="G2551" s="176"/>
      <c r="H2551" s="176"/>
      <c r="I2551" s="172"/>
      <c r="J2551" s="173"/>
    </row>
    <row r="2552" spans="1:10" x14ac:dyDescent="0.25">
      <c r="A2552" s="106"/>
      <c r="B2552" s="107"/>
      <c r="D2552" s="151"/>
      <c r="E2552" s="142"/>
      <c r="F2552" s="176"/>
      <c r="G2552" s="176"/>
      <c r="H2552" s="176"/>
      <c r="I2552" s="172"/>
      <c r="J2552" s="173"/>
    </row>
    <row r="2553" spans="1:10" x14ac:dyDescent="0.25">
      <c r="A2553" s="106"/>
      <c r="B2553" s="107"/>
      <c r="D2553" s="151"/>
      <c r="E2553" s="142"/>
      <c r="F2553" s="176"/>
      <c r="G2553" s="176"/>
      <c r="H2553" s="176"/>
      <c r="I2553" s="172"/>
      <c r="J2553" s="173"/>
    </row>
    <row r="2554" spans="1:10" x14ac:dyDescent="0.25">
      <c r="A2554" s="106"/>
      <c r="B2554" s="107"/>
      <c r="D2554" s="151"/>
      <c r="E2554" s="142"/>
      <c r="F2554" s="176"/>
      <c r="G2554" s="176"/>
      <c r="H2554" s="176"/>
      <c r="I2554" s="172"/>
      <c r="J2554" s="173"/>
    </row>
    <row r="2555" spans="1:10" x14ac:dyDescent="0.25">
      <c r="A2555" s="106"/>
      <c r="B2555" s="107"/>
      <c r="D2555" s="151"/>
      <c r="E2555" s="142"/>
      <c r="F2555" s="176"/>
      <c r="G2555" s="176"/>
      <c r="H2555" s="176"/>
      <c r="I2555" s="172"/>
      <c r="J2555" s="173"/>
    </row>
    <row r="2556" spans="1:10" x14ac:dyDescent="0.25">
      <c r="A2556" s="106"/>
      <c r="B2556" s="107"/>
      <c r="D2556" s="151"/>
      <c r="E2556" s="142"/>
      <c r="F2556" s="176"/>
      <c r="G2556" s="176"/>
      <c r="H2556" s="176"/>
      <c r="I2556" s="172"/>
      <c r="J2556" s="173"/>
    </row>
    <row r="2557" spans="1:10" x14ac:dyDescent="0.25">
      <c r="A2557" s="106"/>
      <c r="B2557" s="107"/>
      <c r="D2557" s="151"/>
      <c r="E2557" s="142"/>
      <c r="F2557" s="176"/>
      <c r="G2557" s="176"/>
      <c r="H2557" s="176"/>
      <c r="I2557" s="172"/>
      <c r="J2557" s="173"/>
    </row>
    <row r="2558" spans="1:10" x14ac:dyDescent="0.25">
      <c r="A2558" s="106"/>
      <c r="B2558" s="107"/>
      <c r="D2558" s="151"/>
      <c r="E2558" s="142"/>
      <c r="F2558" s="176"/>
      <c r="G2558" s="176"/>
      <c r="H2558" s="176"/>
      <c r="I2558" s="172"/>
      <c r="J2558" s="173"/>
    </row>
    <row r="2559" spans="1:10" x14ac:dyDescent="0.25">
      <c r="A2559" s="106"/>
      <c r="B2559" s="107"/>
      <c r="D2559" s="151"/>
      <c r="E2559" s="142"/>
      <c r="F2559" s="176"/>
      <c r="G2559" s="176"/>
      <c r="H2559" s="176"/>
      <c r="I2559" s="172"/>
      <c r="J2559" s="173"/>
    </row>
    <row r="2560" spans="1:10" x14ac:dyDescent="0.25">
      <c r="A2560" s="106"/>
      <c r="B2560" s="107"/>
      <c r="D2560" s="151"/>
      <c r="E2560" s="142"/>
      <c r="F2560" s="176"/>
      <c r="G2560" s="176"/>
      <c r="H2560" s="176"/>
      <c r="I2560" s="172"/>
      <c r="J2560" s="173"/>
    </row>
    <row r="2561" spans="1:10" x14ac:dyDescent="0.25">
      <c r="A2561" s="106"/>
      <c r="B2561" s="107"/>
      <c r="D2561" s="151"/>
      <c r="E2561" s="142"/>
      <c r="F2561" s="176"/>
      <c r="G2561" s="176"/>
      <c r="H2561" s="176"/>
      <c r="I2561" s="172"/>
      <c r="J2561" s="173"/>
    </row>
    <row r="2562" spans="1:10" x14ac:dyDescent="0.25">
      <c r="A2562" s="106"/>
      <c r="B2562" s="107"/>
      <c r="D2562" s="151"/>
      <c r="E2562" s="142"/>
      <c r="F2562" s="176"/>
      <c r="G2562" s="176"/>
      <c r="H2562" s="176"/>
      <c r="I2562" s="172"/>
      <c r="J2562" s="173"/>
    </row>
    <row r="2563" spans="1:10" x14ac:dyDescent="0.25">
      <c r="A2563" s="106"/>
      <c r="B2563" s="107"/>
      <c r="D2563" s="151"/>
      <c r="E2563" s="142"/>
      <c r="F2563" s="176"/>
      <c r="G2563" s="176"/>
      <c r="H2563" s="176"/>
      <c r="I2563" s="172"/>
      <c r="J2563" s="173"/>
    </row>
    <row r="2564" spans="1:10" x14ac:dyDescent="0.25">
      <c r="A2564" s="106"/>
      <c r="B2564" s="107"/>
      <c r="D2564" s="151"/>
      <c r="E2564" s="142"/>
      <c r="F2564" s="176"/>
      <c r="G2564" s="176"/>
      <c r="H2564" s="176"/>
      <c r="I2564" s="172"/>
      <c r="J2564" s="173"/>
    </row>
    <row r="2565" spans="1:10" x14ac:dyDescent="0.25">
      <c r="A2565" s="106"/>
      <c r="B2565" s="107"/>
      <c r="D2565" s="151"/>
      <c r="E2565" s="142"/>
      <c r="F2565" s="176"/>
      <c r="G2565" s="176"/>
      <c r="H2565" s="176"/>
      <c r="I2565" s="172"/>
      <c r="J2565" s="173"/>
    </row>
    <row r="2566" spans="1:10" x14ac:dyDescent="0.25">
      <c r="A2566" s="106"/>
      <c r="B2566" s="107"/>
      <c r="D2566" s="151"/>
      <c r="E2566" s="142"/>
      <c r="F2566" s="176"/>
      <c r="G2566" s="176"/>
      <c r="H2566" s="176"/>
      <c r="I2566" s="172"/>
      <c r="J2566" s="173"/>
    </row>
    <row r="2567" spans="1:10" x14ac:dyDescent="0.25">
      <c r="A2567" s="106"/>
      <c r="B2567" s="107"/>
      <c r="D2567" s="151"/>
      <c r="E2567" s="142"/>
      <c r="F2567" s="176"/>
      <c r="G2567" s="176"/>
      <c r="H2567" s="176"/>
      <c r="I2567" s="172"/>
      <c r="J2567" s="173"/>
    </row>
    <row r="2568" spans="1:10" x14ac:dyDescent="0.25">
      <c r="A2568" s="106"/>
      <c r="B2568" s="107"/>
      <c r="D2568" s="151"/>
      <c r="E2568" s="142"/>
      <c r="F2568" s="176"/>
      <c r="G2568" s="176"/>
      <c r="H2568" s="176"/>
      <c r="I2568" s="172"/>
      <c r="J2568" s="173"/>
    </row>
    <row r="2569" spans="1:10" x14ac:dyDescent="0.25">
      <c r="A2569" s="106"/>
      <c r="B2569" s="107"/>
      <c r="D2569" s="151"/>
      <c r="E2569" s="142"/>
      <c r="F2569" s="176"/>
      <c r="G2569" s="176"/>
      <c r="H2569" s="176"/>
      <c r="I2569" s="172"/>
      <c r="J2569" s="173"/>
    </row>
    <row r="2570" spans="1:10" x14ac:dyDescent="0.25">
      <c r="A2570" s="106"/>
      <c r="B2570" s="107"/>
      <c r="D2570" s="151"/>
      <c r="E2570" s="142"/>
      <c r="F2570" s="176"/>
      <c r="G2570" s="176"/>
      <c r="H2570" s="176"/>
      <c r="I2570" s="172"/>
      <c r="J2570" s="173"/>
    </row>
    <row r="2571" spans="1:10" x14ac:dyDescent="0.25">
      <c r="A2571" s="106"/>
      <c r="B2571" s="107"/>
      <c r="D2571" s="151"/>
      <c r="E2571" s="142"/>
      <c r="F2571" s="176"/>
      <c r="G2571" s="176"/>
      <c r="H2571" s="176"/>
      <c r="I2571" s="172"/>
      <c r="J2571" s="173"/>
    </row>
    <row r="2572" spans="1:10" x14ac:dyDescent="0.25">
      <c r="A2572" s="106"/>
      <c r="B2572" s="107"/>
      <c r="D2572" s="151"/>
      <c r="E2572" s="142"/>
      <c r="F2572" s="176"/>
      <c r="G2572" s="176"/>
      <c r="H2572" s="176"/>
      <c r="I2572" s="172"/>
      <c r="J2572" s="173"/>
    </row>
    <row r="2573" spans="1:10" x14ac:dyDescent="0.25">
      <c r="A2573" s="106"/>
      <c r="B2573" s="107"/>
      <c r="D2573" s="151"/>
      <c r="E2573" s="142"/>
      <c r="F2573" s="176"/>
      <c r="G2573" s="176"/>
      <c r="H2573" s="176"/>
      <c r="I2573" s="172"/>
      <c r="J2573" s="173"/>
    </row>
    <row r="2574" spans="1:10" x14ac:dyDescent="0.25">
      <c r="A2574" s="106"/>
      <c r="B2574" s="107"/>
      <c r="D2574" s="151"/>
      <c r="E2574" s="142"/>
      <c r="F2574" s="176"/>
      <c r="G2574" s="176"/>
      <c r="H2574" s="176"/>
      <c r="I2574" s="172"/>
      <c r="J2574" s="173"/>
    </row>
    <row r="2575" spans="1:10" x14ac:dyDescent="0.25">
      <c r="A2575" s="106"/>
      <c r="B2575" s="107"/>
      <c r="D2575" s="151"/>
      <c r="E2575" s="142"/>
      <c r="F2575" s="176"/>
      <c r="G2575" s="176"/>
      <c r="H2575" s="176"/>
      <c r="I2575" s="172"/>
      <c r="J2575" s="173"/>
    </row>
    <row r="2576" spans="1:10" x14ac:dyDescent="0.25">
      <c r="A2576" s="106"/>
      <c r="B2576" s="107"/>
      <c r="D2576" s="151"/>
      <c r="E2576" s="142"/>
      <c r="F2576" s="176"/>
      <c r="G2576" s="176"/>
      <c r="H2576" s="176"/>
      <c r="I2576" s="172"/>
      <c r="J2576" s="173"/>
    </row>
    <row r="2577" spans="1:10" x14ac:dyDescent="0.25">
      <c r="A2577" s="106"/>
      <c r="B2577" s="107"/>
      <c r="D2577" s="151"/>
      <c r="E2577" s="142"/>
      <c r="F2577" s="176"/>
      <c r="G2577" s="176"/>
      <c r="H2577" s="176"/>
      <c r="I2577" s="172"/>
      <c r="J2577" s="173"/>
    </row>
    <row r="2578" spans="1:10" x14ac:dyDescent="0.25">
      <c r="A2578" s="106"/>
      <c r="B2578" s="107"/>
      <c r="D2578" s="151"/>
      <c r="E2578" s="142"/>
      <c r="F2578" s="176"/>
      <c r="G2578" s="176"/>
      <c r="H2578" s="176"/>
      <c r="I2578" s="172"/>
      <c r="J2578" s="173"/>
    </row>
    <row r="2579" spans="1:10" x14ac:dyDescent="0.25">
      <c r="A2579" s="106"/>
      <c r="B2579" s="107"/>
      <c r="D2579" s="151"/>
      <c r="E2579" s="142"/>
      <c r="F2579" s="176"/>
      <c r="G2579" s="176"/>
      <c r="H2579" s="176"/>
      <c r="I2579" s="172"/>
      <c r="J2579" s="173"/>
    </row>
    <row r="2580" spans="1:10" x14ac:dyDescent="0.25">
      <c r="A2580" s="106"/>
      <c r="B2580" s="107"/>
      <c r="D2580" s="151"/>
      <c r="E2580" s="142"/>
      <c r="F2580" s="176"/>
      <c r="G2580" s="176"/>
      <c r="H2580" s="176"/>
      <c r="I2580" s="172"/>
      <c r="J2580" s="173"/>
    </row>
    <row r="2581" spans="1:10" x14ac:dyDescent="0.25">
      <c r="A2581" s="106"/>
      <c r="B2581" s="107"/>
      <c r="D2581" s="151"/>
      <c r="E2581" s="142"/>
      <c r="F2581" s="176"/>
      <c r="G2581" s="176"/>
      <c r="H2581" s="176"/>
      <c r="I2581" s="172"/>
      <c r="J2581" s="173"/>
    </row>
    <row r="2582" spans="1:10" x14ac:dyDescent="0.25">
      <c r="A2582" s="106"/>
      <c r="B2582" s="107"/>
      <c r="D2582" s="151"/>
      <c r="E2582" s="142"/>
      <c r="F2582" s="176"/>
      <c r="G2582" s="176"/>
      <c r="H2582" s="176"/>
      <c r="I2582" s="172"/>
      <c r="J2582" s="173"/>
    </row>
    <row r="2583" spans="1:10" x14ac:dyDescent="0.25">
      <c r="A2583" s="106"/>
      <c r="B2583" s="107"/>
      <c r="D2583" s="151"/>
      <c r="E2583" s="142"/>
      <c r="F2583" s="176"/>
      <c r="G2583" s="176"/>
      <c r="H2583" s="176"/>
      <c r="I2583" s="172"/>
      <c r="J2583" s="173"/>
    </row>
    <row r="2584" spans="1:10" x14ac:dyDescent="0.25">
      <c r="A2584" s="106"/>
      <c r="B2584" s="107"/>
      <c r="D2584" s="151"/>
      <c r="E2584" s="142"/>
      <c r="F2584" s="176"/>
      <c r="G2584" s="176"/>
      <c r="H2584" s="176"/>
      <c r="I2584" s="172"/>
      <c r="J2584" s="173"/>
    </row>
    <row r="2585" spans="1:10" x14ac:dyDescent="0.25">
      <c r="A2585" s="106"/>
      <c r="B2585" s="107"/>
      <c r="D2585" s="151"/>
      <c r="E2585" s="142"/>
      <c r="F2585" s="176"/>
      <c r="G2585" s="176"/>
      <c r="H2585" s="176"/>
      <c r="I2585" s="172"/>
      <c r="J2585" s="173"/>
    </row>
    <row r="2586" spans="1:10" x14ac:dyDescent="0.25">
      <c r="A2586" s="106"/>
      <c r="B2586" s="107"/>
      <c r="D2586" s="151"/>
      <c r="E2586" s="142"/>
      <c r="F2586" s="176"/>
      <c r="G2586" s="176"/>
      <c r="H2586" s="176"/>
      <c r="I2586" s="172"/>
      <c r="J2586" s="173"/>
    </row>
    <row r="2587" spans="1:10" x14ac:dyDescent="0.25">
      <c r="A2587" s="106"/>
      <c r="B2587" s="107"/>
      <c r="D2587" s="151"/>
      <c r="E2587" s="142"/>
      <c r="F2587" s="176"/>
      <c r="G2587" s="176"/>
      <c r="H2587" s="176"/>
      <c r="I2587" s="172"/>
      <c r="J2587" s="173"/>
    </row>
    <row r="2588" spans="1:10" x14ac:dyDescent="0.25">
      <c r="A2588" s="106"/>
      <c r="B2588" s="107"/>
      <c r="D2588" s="151"/>
      <c r="E2588" s="142"/>
      <c r="F2588" s="176"/>
      <c r="G2588" s="176"/>
      <c r="H2588" s="176"/>
      <c r="I2588" s="172"/>
      <c r="J2588" s="173"/>
    </row>
    <row r="2589" spans="1:10" x14ac:dyDescent="0.25">
      <c r="A2589" s="106"/>
      <c r="B2589" s="107"/>
      <c r="D2589" s="151"/>
      <c r="E2589" s="142"/>
      <c r="F2589" s="176"/>
      <c r="G2589" s="176"/>
      <c r="H2589" s="176"/>
      <c r="I2589" s="172"/>
      <c r="J2589" s="173"/>
    </row>
    <row r="2590" spans="1:10" x14ac:dyDescent="0.25">
      <c r="A2590" s="106"/>
      <c r="B2590" s="107"/>
      <c r="D2590" s="151"/>
      <c r="E2590" s="142"/>
      <c r="F2590" s="176"/>
      <c r="G2590" s="176"/>
      <c r="H2590" s="176"/>
      <c r="I2590" s="172"/>
      <c r="J2590" s="173"/>
    </row>
    <row r="2591" spans="1:10" x14ac:dyDescent="0.25">
      <c r="A2591" s="106"/>
      <c r="B2591" s="107"/>
      <c r="D2591" s="151"/>
      <c r="E2591" s="142"/>
      <c r="F2591" s="176"/>
      <c r="G2591" s="176"/>
      <c r="H2591" s="176"/>
      <c r="I2591" s="172"/>
      <c r="J2591" s="173"/>
    </row>
    <row r="2592" spans="1:10" x14ac:dyDescent="0.25">
      <c r="A2592" s="106"/>
      <c r="B2592" s="107"/>
      <c r="D2592" s="151"/>
      <c r="E2592" s="142"/>
      <c r="F2592" s="176"/>
      <c r="G2592" s="176"/>
      <c r="H2592" s="176"/>
      <c r="I2592" s="172"/>
      <c r="J2592" s="173"/>
    </row>
    <row r="2593" spans="1:10" x14ac:dyDescent="0.25">
      <c r="A2593" s="106"/>
      <c r="B2593" s="107"/>
      <c r="D2593" s="151"/>
      <c r="E2593" s="142"/>
      <c r="F2593" s="176"/>
      <c r="G2593" s="176"/>
      <c r="H2593" s="176"/>
      <c r="I2593" s="172"/>
      <c r="J2593" s="173"/>
    </row>
    <row r="2594" spans="1:10" x14ac:dyDescent="0.25">
      <c r="A2594" s="106"/>
      <c r="B2594" s="107"/>
      <c r="D2594" s="151"/>
      <c r="E2594" s="142"/>
      <c r="F2594" s="176"/>
      <c r="G2594" s="176"/>
      <c r="H2594" s="176"/>
      <c r="I2594" s="172"/>
      <c r="J2594" s="173"/>
    </row>
    <row r="2595" spans="1:10" x14ac:dyDescent="0.25">
      <c r="A2595" s="106"/>
      <c r="B2595" s="107"/>
      <c r="D2595" s="151"/>
      <c r="E2595" s="142"/>
      <c r="F2595" s="176"/>
      <c r="G2595" s="176"/>
      <c r="H2595" s="176"/>
      <c r="I2595" s="172"/>
      <c r="J2595" s="173"/>
    </row>
    <row r="2596" spans="1:10" x14ac:dyDescent="0.25">
      <c r="A2596" s="106"/>
      <c r="B2596" s="107"/>
      <c r="D2596" s="151"/>
      <c r="E2596" s="142"/>
      <c r="F2596" s="176"/>
      <c r="G2596" s="176"/>
      <c r="H2596" s="176"/>
      <c r="I2596" s="172"/>
      <c r="J2596" s="173"/>
    </row>
    <row r="2597" spans="1:10" x14ac:dyDescent="0.25">
      <c r="A2597" s="106"/>
      <c r="B2597" s="107"/>
      <c r="D2597" s="151"/>
      <c r="E2597" s="142"/>
      <c r="F2597" s="176"/>
      <c r="G2597" s="176"/>
      <c r="H2597" s="176"/>
      <c r="I2597" s="172"/>
      <c r="J2597" s="173"/>
    </row>
    <row r="2598" spans="1:10" x14ac:dyDescent="0.25">
      <c r="A2598" s="106"/>
      <c r="B2598" s="107"/>
      <c r="D2598" s="151"/>
      <c r="E2598" s="142"/>
      <c r="F2598" s="176"/>
      <c r="G2598" s="176"/>
      <c r="H2598" s="176"/>
      <c r="I2598" s="172"/>
      <c r="J2598" s="173"/>
    </row>
    <row r="2599" spans="1:10" x14ac:dyDescent="0.25">
      <c r="A2599" s="106"/>
      <c r="B2599" s="107"/>
      <c r="D2599" s="151"/>
      <c r="E2599" s="142"/>
      <c r="F2599" s="176"/>
      <c r="G2599" s="176"/>
      <c r="H2599" s="176"/>
      <c r="I2599" s="172"/>
      <c r="J2599" s="173"/>
    </row>
    <row r="2600" spans="1:10" x14ac:dyDescent="0.25">
      <c r="A2600" s="106"/>
      <c r="B2600" s="107"/>
      <c r="D2600" s="151"/>
      <c r="E2600" s="142"/>
      <c r="F2600" s="176"/>
      <c r="G2600" s="176"/>
      <c r="H2600" s="176"/>
      <c r="I2600" s="172"/>
      <c r="J2600" s="173"/>
    </row>
    <row r="2601" spans="1:10" x14ac:dyDescent="0.25">
      <c r="A2601" s="106"/>
      <c r="B2601" s="107"/>
      <c r="D2601" s="151"/>
      <c r="E2601" s="142"/>
      <c r="F2601" s="176"/>
      <c r="G2601" s="176"/>
      <c r="H2601" s="176"/>
      <c r="I2601" s="172"/>
      <c r="J2601" s="173"/>
    </row>
    <row r="2602" spans="1:10" x14ac:dyDescent="0.25">
      <c r="A2602" s="106"/>
      <c r="B2602" s="107"/>
      <c r="D2602" s="151"/>
      <c r="E2602" s="142"/>
      <c r="F2602" s="176"/>
      <c r="G2602" s="176"/>
      <c r="H2602" s="176"/>
      <c r="I2602" s="172"/>
      <c r="J2602" s="173"/>
    </row>
    <row r="2603" spans="1:10" x14ac:dyDescent="0.25">
      <c r="A2603" s="106"/>
      <c r="B2603" s="107"/>
      <c r="D2603" s="151"/>
      <c r="E2603" s="142"/>
      <c r="F2603" s="176"/>
      <c r="G2603" s="176"/>
      <c r="H2603" s="176"/>
      <c r="I2603" s="172"/>
      <c r="J2603" s="173"/>
    </row>
    <row r="2604" spans="1:10" x14ac:dyDescent="0.25">
      <c r="A2604" s="106"/>
      <c r="B2604" s="107"/>
      <c r="D2604" s="151"/>
      <c r="E2604" s="142"/>
      <c r="F2604" s="176"/>
      <c r="G2604" s="176"/>
      <c r="H2604" s="176"/>
      <c r="I2604" s="172"/>
      <c r="J2604" s="173"/>
    </row>
    <row r="2605" spans="1:10" x14ac:dyDescent="0.25">
      <c r="A2605" s="106"/>
      <c r="B2605" s="107"/>
      <c r="D2605" s="151"/>
      <c r="E2605" s="142"/>
      <c r="F2605" s="176"/>
      <c r="G2605" s="176"/>
      <c r="H2605" s="176"/>
      <c r="I2605" s="172"/>
      <c r="J2605" s="173"/>
    </row>
    <row r="2606" spans="1:10" x14ac:dyDescent="0.25">
      <c r="A2606" s="106"/>
      <c r="B2606" s="107"/>
      <c r="D2606" s="151"/>
      <c r="E2606" s="142"/>
      <c r="F2606" s="176"/>
      <c r="G2606" s="176"/>
      <c r="H2606" s="176"/>
      <c r="I2606" s="172"/>
      <c r="J2606" s="173"/>
    </row>
    <row r="2607" spans="1:10" x14ac:dyDescent="0.25">
      <c r="A2607" s="106"/>
      <c r="B2607" s="107"/>
      <c r="D2607" s="151"/>
      <c r="E2607" s="142"/>
      <c r="F2607" s="176"/>
      <c r="G2607" s="176"/>
      <c r="H2607" s="176"/>
      <c r="I2607" s="172"/>
      <c r="J2607" s="173"/>
    </row>
    <row r="2608" spans="1:10" x14ac:dyDescent="0.25">
      <c r="A2608" s="106"/>
      <c r="B2608" s="107"/>
      <c r="D2608" s="151"/>
      <c r="E2608" s="142"/>
      <c r="F2608" s="176"/>
      <c r="G2608" s="176"/>
      <c r="H2608" s="176"/>
      <c r="I2608" s="172"/>
      <c r="J2608" s="173"/>
    </row>
    <row r="2609" spans="1:10" x14ac:dyDescent="0.25">
      <c r="A2609" s="106"/>
      <c r="B2609" s="107"/>
      <c r="D2609" s="151"/>
      <c r="E2609" s="142"/>
      <c r="F2609" s="176"/>
      <c r="G2609" s="176"/>
      <c r="H2609" s="176"/>
      <c r="I2609" s="172"/>
      <c r="J2609" s="173"/>
    </row>
    <row r="2610" spans="1:10" x14ac:dyDescent="0.25">
      <c r="A2610" s="106"/>
      <c r="B2610" s="107"/>
      <c r="D2610" s="151"/>
      <c r="E2610" s="142"/>
      <c r="F2610" s="176"/>
      <c r="G2610" s="176"/>
      <c r="H2610" s="176"/>
      <c r="I2610" s="172"/>
      <c r="J2610" s="173"/>
    </row>
    <row r="2611" spans="1:10" x14ac:dyDescent="0.25">
      <c r="A2611" s="106"/>
      <c r="B2611" s="107"/>
      <c r="D2611" s="151"/>
      <c r="E2611" s="142"/>
      <c r="F2611" s="176"/>
      <c r="G2611" s="176"/>
      <c r="H2611" s="176"/>
      <c r="I2611" s="172"/>
      <c r="J2611" s="173"/>
    </row>
    <row r="2612" spans="1:10" x14ac:dyDescent="0.25">
      <c r="A2612" s="106"/>
      <c r="B2612" s="107"/>
      <c r="D2612" s="151"/>
      <c r="E2612" s="142"/>
      <c r="F2612" s="176"/>
      <c r="G2612" s="176"/>
      <c r="H2612" s="176"/>
      <c r="I2612" s="172"/>
      <c r="J2612" s="173"/>
    </row>
    <row r="2613" spans="1:10" x14ac:dyDescent="0.25">
      <c r="A2613" s="106"/>
      <c r="B2613" s="107"/>
      <c r="D2613" s="151"/>
      <c r="E2613" s="142"/>
      <c r="F2613" s="176"/>
      <c r="G2613" s="176"/>
      <c r="H2613" s="176"/>
      <c r="I2613" s="172"/>
      <c r="J2613" s="173"/>
    </row>
    <row r="2614" spans="1:10" x14ac:dyDescent="0.25">
      <c r="A2614" s="106"/>
      <c r="B2614" s="107"/>
      <c r="D2614" s="151"/>
      <c r="E2614" s="142"/>
      <c r="F2614" s="176"/>
      <c r="G2614" s="176"/>
      <c r="H2614" s="176"/>
      <c r="I2614" s="172"/>
      <c r="J2614" s="173"/>
    </row>
    <row r="2615" spans="1:10" x14ac:dyDescent="0.25">
      <c r="A2615" s="106"/>
      <c r="B2615" s="107"/>
      <c r="D2615" s="151"/>
      <c r="E2615" s="142"/>
      <c r="F2615" s="176"/>
      <c r="G2615" s="176"/>
      <c r="H2615" s="176"/>
      <c r="I2615" s="172"/>
      <c r="J2615" s="173"/>
    </row>
    <row r="2616" spans="1:10" x14ac:dyDescent="0.25">
      <c r="A2616" s="106"/>
      <c r="B2616" s="107"/>
      <c r="D2616" s="151"/>
      <c r="E2616" s="142"/>
      <c r="F2616" s="176"/>
      <c r="G2616" s="176"/>
      <c r="H2616" s="176"/>
      <c r="I2616" s="172"/>
      <c r="J2616" s="173"/>
    </row>
    <row r="2617" spans="1:10" x14ac:dyDescent="0.25">
      <c r="A2617" s="106"/>
      <c r="B2617" s="107"/>
      <c r="D2617" s="151"/>
      <c r="E2617" s="142"/>
      <c r="F2617" s="176"/>
      <c r="G2617" s="176"/>
      <c r="H2617" s="176"/>
      <c r="I2617" s="172"/>
      <c r="J2617" s="173"/>
    </row>
    <row r="2618" spans="1:10" x14ac:dyDescent="0.25">
      <c r="A2618" s="106"/>
      <c r="B2618" s="107"/>
      <c r="D2618" s="151"/>
      <c r="E2618" s="142"/>
      <c r="F2618" s="176"/>
      <c r="G2618" s="176"/>
      <c r="H2618" s="176"/>
      <c r="I2618" s="172"/>
      <c r="J2618" s="173"/>
    </row>
    <row r="2619" spans="1:10" x14ac:dyDescent="0.25">
      <c r="A2619" s="106"/>
      <c r="B2619" s="107"/>
      <c r="D2619" s="151"/>
      <c r="E2619" s="142"/>
      <c r="F2619" s="176"/>
      <c r="G2619" s="176"/>
      <c r="H2619" s="176"/>
      <c r="I2619" s="172"/>
      <c r="J2619" s="173"/>
    </row>
    <row r="2620" spans="1:10" x14ac:dyDescent="0.25">
      <c r="A2620" s="106"/>
      <c r="B2620" s="107"/>
      <c r="D2620" s="151"/>
      <c r="E2620" s="142"/>
      <c r="F2620" s="176"/>
      <c r="G2620" s="176"/>
      <c r="H2620" s="176"/>
      <c r="I2620" s="172"/>
      <c r="J2620" s="173"/>
    </row>
    <row r="2621" spans="1:10" x14ac:dyDescent="0.25">
      <c r="A2621" s="106"/>
      <c r="B2621" s="107"/>
      <c r="D2621" s="151"/>
      <c r="E2621" s="142"/>
      <c r="F2621" s="176"/>
      <c r="G2621" s="176"/>
      <c r="H2621" s="176"/>
      <c r="I2621" s="172"/>
      <c r="J2621" s="173"/>
    </row>
    <row r="2622" spans="1:10" x14ac:dyDescent="0.25">
      <c r="A2622" s="106"/>
      <c r="B2622" s="107"/>
      <c r="D2622" s="151"/>
      <c r="E2622" s="142"/>
      <c r="F2622" s="176"/>
      <c r="G2622" s="176"/>
      <c r="H2622" s="176"/>
      <c r="I2622" s="172"/>
      <c r="J2622" s="173"/>
    </row>
    <row r="2623" spans="1:10" x14ac:dyDescent="0.25">
      <c r="A2623" s="106"/>
      <c r="B2623" s="107"/>
      <c r="D2623" s="151"/>
      <c r="E2623" s="142"/>
      <c r="F2623" s="176"/>
      <c r="G2623" s="176"/>
      <c r="H2623" s="176"/>
      <c r="I2623" s="172"/>
      <c r="J2623" s="173"/>
    </row>
    <row r="2624" spans="1:10" x14ac:dyDescent="0.25">
      <c r="A2624" s="106"/>
      <c r="B2624" s="107"/>
      <c r="D2624" s="151"/>
      <c r="E2624" s="142"/>
      <c r="F2624" s="176"/>
      <c r="G2624" s="176"/>
      <c r="H2624" s="176"/>
      <c r="I2624" s="172"/>
      <c r="J2624" s="173"/>
    </row>
    <row r="2625" spans="1:10" x14ac:dyDescent="0.25">
      <c r="A2625" s="106"/>
      <c r="B2625" s="107"/>
      <c r="D2625" s="151"/>
      <c r="E2625" s="142"/>
      <c r="F2625" s="176"/>
      <c r="G2625" s="176"/>
      <c r="H2625" s="176"/>
      <c r="I2625" s="172"/>
      <c r="J2625" s="173"/>
    </row>
    <row r="2626" spans="1:10" x14ac:dyDescent="0.25">
      <c r="A2626" s="106"/>
      <c r="B2626" s="107"/>
      <c r="D2626" s="151"/>
      <c r="E2626" s="142"/>
      <c r="F2626" s="176"/>
      <c r="G2626" s="176"/>
      <c r="H2626" s="176"/>
      <c r="I2626" s="172"/>
      <c r="J2626" s="173"/>
    </row>
    <row r="2627" spans="1:10" x14ac:dyDescent="0.25">
      <c r="A2627" s="106"/>
      <c r="B2627" s="107"/>
      <c r="D2627" s="151"/>
      <c r="E2627" s="142"/>
      <c r="F2627" s="176"/>
      <c r="G2627" s="176"/>
      <c r="H2627" s="176"/>
      <c r="I2627" s="172"/>
      <c r="J2627" s="173"/>
    </row>
    <row r="2628" spans="1:10" x14ac:dyDescent="0.25">
      <c r="A2628" s="106"/>
      <c r="B2628" s="107"/>
      <c r="D2628" s="151"/>
      <c r="E2628" s="142"/>
      <c r="F2628" s="176"/>
      <c r="G2628" s="176"/>
      <c r="H2628" s="176"/>
      <c r="I2628" s="172"/>
      <c r="J2628" s="173"/>
    </row>
    <row r="2629" spans="1:10" x14ac:dyDescent="0.25">
      <c r="A2629" s="106"/>
      <c r="B2629" s="107"/>
      <c r="D2629" s="151"/>
      <c r="E2629" s="142"/>
      <c r="F2629" s="176"/>
      <c r="G2629" s="176"/>
      <c r="H2629" s="176"/>
      <c r="I2629" s="172"/>
      <c r="J2629" s="173"/>
    </row>
    <row r="2630" spans="1:10" x14ac:dyDescent="0.25">
      <c r="A2630" s="106"/>
      <c r="B2630" s="107"/>
      <c r="D2630" s="151"/>
      <c r="E2630" s="142"/>
      <c r="F2630" s="176"/>
      <c r="G2630" s="176"/>
      <c r="H2630" s="176"/>
      <c r="I2630" s="172"/>
      <c r="J2630" s="173"/>
    </row>
    <row r="2631" spans="1:10" x14ac:dyDescent="0.25">
      <c r="A2631" s="106"/>
      <c r="B2631" s="107"/>
      <c r="D2631" s="151"/>
      <c r="E2631" s="142"/>
      <c r="F2631" s="176"/>
      <c r="G2631" s="176"/>
      <c r="H2631" s="176"/>
      <c r="I2631" s="172"/>
      <c r="J2631" s="173"/>
    </row>
    <row r="2632" spans="1:10" x14ac:dyDescent="0.25">
      <c r="A2632" s="106"/>
      <c r="B2632" s="107"/>
      <c r="D2632" s="151"/>
      <c r="E2632" s="142"/>
      <c r="F2632" s="176"/>
      <c r="G2632" s="176"/>
      <c r="H2632" s="176"/>
      <c r="I2632" s="172"/>
      <c r="J2632" s="173"/>
    </row>
    <row r="2633" spans="1:10" x14ac:dyDescent="0.25">
      <c r="A2633" s="106"/>
      <c r="B2633" s="107"/>
      <c r="D2633" s="151"/>
      <c r="E2633" s="142"/>
      <c r="F2633" s="176"/>
      <c r="G2633" s="176"/>
      <c r="H2633" s="176"/>
      <c r="I2633" s="172"/>
      <c r="J2633" s="173"/>
    </row>
    <row r="2634" spans="1:10" x14ac:dyDescent="0.25">
      <c r="A2634" s="106"/>
      <c r="B2634" s="107"/>
      <c r="D2634" s="151"/>
      <c r="E2634" s="142"/>
      <c r="F2634" s="176"/>
      <c r="G2634" s="176"/>
      <c r="H2634" s="176"/>
      <c r="I2634" s="172"/>
      <c r="J2634" s="173"/>
    </row>
    <row r="2635" spans="1:10" x14ac:dyDescent="0.25">
      <c r="A2635" s="106"/>
      <c r="B2635" s="107"/>
      <c r="D2635" s="151"/>
      <c r="E2635" s="142"/>
      <c r="F2635" s="176"/>
      <c r="G2635" s="176"/>
      <c r="H2635" s="176"/>
      <c r="I2635" s="172"/>
      <c r="J2635" s="173"/>
    </row>
    <row r="2636" spans="1:10" x14ac:dyDescent="0.25">
      <c r="A2636" s="106"/>
      <c r="B2636" s="107"/>
      <c r="D2636" s="151"/>
      <c r="E2636" s="142"/>
      <c r="F2636" s="176"/>
      <c r="G2636" s="176"/>
      <c r="H2636" s="176"/>
      <c r="I2636" s="172"/>
      <c r="J2636" s="173"/>
    </row>
    <row r="2637" spans="1:10" x14ac:dyDescent="0.25">
      <c r="A2637" s="106"/>
      <c r="B2637" s="107"/>
      <c r="D2637" s="151"/>
      <c r="E2637" s="142"/>
      <c r="F2637" s="176"/>
      <c r="G2637" s="176"/>
      <c r="H2637" s="176"/>
      <c r="I2637" s="172"/>
      <c r="J2637" s="173"/>
    </row>
    <row r="2638" spans="1:10" x14ac:dyDescent="0.25">
      <c r="A2638" s="106"/>
      <c r="B2638" s="107"/>
      <c r="D2638" s="151"/>
      <c r="E2638" s="142"/>
      <c r="F2638" s="176"/>
      <c r="G2638" s="176"/>
      <c r="H2638" s="176"/>
      <c r="I2638" s="172"/>
      <c r="J2638" s="173"/>
    </row>
    <row r="2639" spans="1:10" x14ac:dyDescent="0.25">
      <c r="A2639" s="106"/>
      <c r="B2639" s="107"/>
      <c r="D2639" s="151"/>
      <c r="E2639" s="142"/>
      <c r="F2639" s="176"/>
      <c r="G2639" s="176"/>
      <c r="H2639" s="176"/>
      <c r="I2639" s="172"/>
      <c r="J2639" s="173"/>
    </row>
    <row r="2640" spans="1:10" x14ac:dyDescent="0.25">
      <c r="A2640" s="106"/>
      <c r="B2640" s="107"/>
      <c r="D2640" s="151"/>
      <c r="E2640" s="142"/>
      <c r="F2640" s="176"/>
      <c r="G2640" s="176"/>
      <c r="H2640" s="176"/>
      <c r="I2640" s="172"/>
      <c r="J2640" s="173"/>
    </row>
    <row r="2641" spans="1:10" x14ac:dyDescent="0.25">
      <c r="A2641" s="106"/>
      <c r="B2641" s="107"/>
      <c r="D2641" s="151"/>
      <c r="E2641" s="142"/>
      <c r="F2641" s="176"/>
      <c r="G2641" s="176"/>
      <c r="H2641" s="176"/>
      <c r="I2641" s="172"/>
      <c r="J2641" s="173"/>
    </row>
    <row r="2642" spans="1:10" x14ac:dyDescent="0.25">
      <c r="A2642" s="106"/>
      <c r="B2642" s="107"/>
      <c r="D2642" s="151"/>
      <c r="E2642" s="142"/>
      <c r="F2642" s="176"/>
      <c r="G2642" s="176"/>
      <c r="H2642" s="176"/>
      <c r="I2642" s="172"/>
      <c r="J2642" s="173"/>
    </row>
    <row r="2643" spans="1:10" x14ac:dyDescent="0.25">
      <c r="A2643" s="106"/>
      <c r="B2643" s="107"/>
      <c r="D2643" s="151"/>
      <c r="E2643" s="142"/>
      <c r="F2643" s="176"/>
      <c r="G2643" s="176"/>
      <c r="H2643" s="176"/>
      <c r="I2643" s="172"/>
      <c r="J2643" s="173"/>
    </row>
    <row r="2644" spans="1:10" x14ac:dyDescent="0.25">
      <c r="A2644" s="106"/>
      <c r="B2644" s="107"/>
      <c r="D2644" s="151"/>
      <c r="E2644" s="142"/>
      <c r="F2644" s="176"/>
      <c r="G2644" s="176"/>
      <c r="H2644" s="176"/>
      <c r="I2644" s="172"/>
      <c r="J2644" s="173"/>
    </row>
    <row r="2645" spans="1:10" x14ac:dyDescent="0.25">
      <c r="A2645" s="106"/>
      <c r="B2645" s="107"/>
      <c r="D2645" s="151"/>
      <c r="E2645" s="142"/>
      <c r="F2645" s="176"/>
      <c r="G2645" s="176"/>
      <c r="H2645" s="176"/>
      <c r="I2645" s="172"/>
      <c r="J2645" s="173"/>
    </row>
    <row r="2646" spans="1:10" x14ac:dyDescent="0.25">
      <c r="A2646" s="106"/>
      <c r="B2646" s="107"/>
      <c r="D2646" s="151"/>
      <c r="E2646" s="142"/>
      <c r="F2646" s="176"/>
      <c r="G2646" s="176"/>
      <c r="H2646" s="176"/>
      <c r="I2646" s="172"/>
      <c r="J2646" s="173"/>
    </row>
    <row r="2647" spans="1:10" x14ac:dyDescent="0.25">
      <c r="A2647" s="106"/>
      <c r="B2647" s="107"/>
      <c r="D2647" s="151"/>
      <c r="E2647" s="142"/>
      <c r="F2647" s="176"/>
      <c r="G2647" s="176"/>
      <c r="H2647" s="176"/>
      <c r="I2647" s="172"/>
      <c r="J2647" s="173"/>
    </row>
    <row r="2648" spans="1:10" x14ac:dyDescent="0.25">
      <c r="A2648" s="106"/>
      <c r="B2648" s="107"/>
      <c r="D2648" s="151"/>
      <c r="E2648" s="142"/>
      <c r="F2648" s="176"/>
      <c r="G2648" s="176"/>
      <c r="H2648" s="176"/>
      <c r="I2648" s="172"/>
      <c r="J2648" s="173"/>
    </row>
    <row r="2649" spans="1:10" x14ac:dyDescent="0.25">
      <c r="A2649" s="106"/>
      <c r="B2649" s="107"/>
      <c r="D2649" s="151"/>
      <c r="E2649" s="142"/>
      <c r="F2649" s="176"/>
      <c r="G2649" s="176"/>
      <c r="H2649" s="176"/>
      <c r="I2649" s="172"/>
      <c r="J2649" s="173"/>
    </row>
    <row r="2650" spans="1:10" x14ac:dyDescent="0.25">
      <c r="A2650" s="106"/>
      <c r="B2650" s="107"/>
      <c r="D2650" s="151"/>
      <c r="E2650" s="142"/>
      <c r="F2650" s="176"/>
      <c r="G2650" s="176"/>
      <c r="H2650" s="176"/>
      <c r="I2650" s="172"/>
      <c r="J2650" s="173"/>
    </row>
    <row r="2651" spans="1:10" x14ac:dyDescent="0.25">
      <c r="A2651" s="106"/>
      <c r="B2651" s="107"/>
      <c r="D2651" s="151"/>
      <c r="E2651" s="142"/>
      <c r="F2651" s="176"/>
      <c r="G2651" s="176"/>
      <c r="H2651" s="176"/>
      <c r="I2651" s="172"/>
      <c r="J2651" s="173"/>
    </row>
    <row r="2652" spans="1:10" x14ac:dyDescent="0.25">
      <c r="A2652" s="106"/>
      <c r="B2652" s="107"/>
      <c r="D2652" s="151"/>
      <c r="E2652" s="142"/>
      <c r="F2652" s="176"/>
      <c r="G2652" s="176"/>
      <c r="H2652" s="176"/>
      <c r="I2652" s="172"/>
      <c r="J2652" s="173"/>
    </row>
    <row r="2653" spans="1:10" x14ac:dyDescent="0.25">
      <c r="A2653" s="106"/>
      <c r="B2653" s="107"/>
      <c r="D2653" s="151"/>
      <c r="E2653" s="142"/>
      <c r="F2653" s="176"/>
      <c r="G2653" s="176"/>
      <c r="H2653" s="176"/>
      <c r="I2653" s="172"/>
      <c r="J2653" s="173"/>
    </row>
    <row r="2654" spans="1:10" x14ac:dyDescent="0.25">
      <c r="A2654" s="106"/>
      <c r="B2654" s="107"/>
      <c r="D2654" s="151"/>
      <c r="E2654" s="142"/>
      <c r="F2654" s="176"/>
      <c r="G2654" s="176"/>
      <c r="H2654" s="176"/>
      <c r="I2654" s="172"/>
      <c r="J2654" s="173"/>
    </row>
    <row r="2655" spans="1:10" x14ac:dyDescent="0.25">
      <c r="A2655" s="106"/>
      <c r="B2655" s="107"/>
      <c r="D2655" s="151"/>
      <c r="E2655" s="142"/>
      <c r="F2655" s="176"/>
      <c r="G2655" s="176"/>
      <c r="H2655" s="176"/>
      <c r="I2655" s="172"/>
      <c r="J2655" s="173"/>
    </row>
    <row r="2656" spans="1:10" x14ac:dyDescent="0.25">
      <c r="A2656" s="106"/>
      <c r="B2656" s="107"/>
      <c r="D2656" s="151"/>
      <c r="E2656" s="142"/>
      <c r="F2656" s="176"/>
      <c r="G2656" s="176"/>
      <c r="H2656" s="176"/>
      <c r="I2656" s="172"/>
      <c r="J2656" s="173"/>
    </row>
    <row r="2657" spans="1:10" x14ac:dyDescent="0.25">
      <c r="A2657" s="106"/>
      <c r="B2657" s="107"/>
      <c r="D2657" s="151"/>
      <c r="E2657" s="142"/>
      <c r="F2657" s="176"/>
      <c r="G2657" s="176"/>
      <c r="H2657" s="176"/>
      <c r="I2657" s="172"/>
      <c r="J2657" s="173"/>
    </row>
    <row r="2658" spans="1:10" x14ac:dyDescent="0.25">
      <c r="A2658" s="106"/>
      <c r="B2658" s="107"/>
      <c r="D2658" s="151"/>
      <c r="E2658" s="142"/>
      <c r="F2658" s="176"/>
      <c r="G2658" s="176"/>
      <c r="H2658" s="176"/>
      <c r="I2658" s="172"/>
      <c r="J2658" s="173"/>
    </row>
    <row r="2659" spans="1:10" x14ac:dyDescent="0.25">
      <c r="A2659" s="106"/>
      <c r="B2659" s="107"/>
      <c r="D2659" s="151"/>
      <c r="E2659" s="142"/>
      <c r="F2659" s="176"/>
      <c r="G2659" s="176"/>
      <c r="H2659" s="176"/>
      <c r="I2659" s="172"/>
      <c r="J2659" s="173"/>
    </row>
    <row r="2660" spans="1:10" x14ac:dyDescent="0.25">
      <c r="A2660" s="106"/>
      <c r="B2660" s="107"/>
      <c r="D2660" s="151"/>
      <c r="E2660" s="142"/>
      <c r="F2660" s="176"/>
      <c r="G2660" s="176"/>
      <c r="H2660" s="176"/>
      <c r="I2660" s="172"/>
      <c r="J2660" s="173"/>
    </row>
    <row r="2661" spans="1:10" x14ac:dyDescent="0.25">
      <c r="A2661" s="106"/>
      <c r="B2661" s="107"/>
      <c r="D2661" s="151"/>
      <c r="E2661" s="142"/>
      <c r="F2661" s="176"/>
      <c r="G2661" s="176"/>
      <c r="H2661" s="176"/>
      <c r="I2661" s="172"/>
      <c r="J2661" s="173"/>
    </row>
    <row r="2662" spans="1:10" x14ac:dyDescent="0.25">
      <c r="A2662" s="106"/>
      <c r="B2662" s="107"/>
      <c r="D2662" s="151"/>
      <c r="E2662" s="142"/>
      <c r="F2662" s="176"/>
      <c r="G2662" s="176"/>
      <c r="H2662" s="176"/>
      <c r="I2662" s="172"/>
      <c r="J2662" s="173"/>
    </row>
    <row r="2663" spans="1:10" x14ac:dyDescent="0.25">
      <c r="A2663" s="106"/>
      <c r="B2663" s="107"/>
      <c r="D2663" s="151"/>
      <c r="E2663" s="142"/>
      <c r="F2663" s="176"/>
      <c r="G2663" s="176"/>
      <c r="H2663" s="176"/>
      <c r="I2663" s="172"/>
      <c r="J2663" s="173"/>
    </row>
    <row r="2664" spans="1:10" x14ac:dyDescent="0.25">
      <c r="A2664" s="106"/>
      <c r="B2664" s="107"/>
      <c r="D2664" s="151"/>
      <c r="E2664" s="142"/>
      <c r="F2664" s="176"/>
      <c r="G2664" s="176"/>
      <c r="H2664" s="176"/>
      <c r="I2664" s="172"/>
      <c r="J2664" s="173"/>
    </row>
    <row r="2665" spans="1:10" x14ac:dyDescent="0.25">
      <c r="A2665" s="106"/>
      <c r="B2665" s="107"/>
      <c r="D2665" s="151"/>
      <c r="E2665" s="142"/>
      <c r="F2665" s="176"/>
      <c r="G2665" s="176"/>
      <c r="H2665" s="176"/>
      <c r="I2665" s="172"/>
      <c r="J2665" s="173"/>
    </row>
    <row r="2666" spans="1:10" x14ac:dyDescent="0.25">
      <c r="A2666" s="106"/>
      <c r="B2666" s="107"/>
      <c r="D2666" s="151"/>
      <c r="E2666" s="142"/>
      <c r="F2666" s="176"/>
      <c r="G2666" s="176"/>
      <c r="H2666" s="176"/>
      <c r="I2666" s="172"/>
      <c r="J2666" s="173"/>
    </row>
    <row r="2667" spans="1:10" x14ac:dyDescent="0.25">
      <c r="A2667" s="106"/>
      <c r="B2667" s="107"/>
      <c r="D2667" s="151"/>
      <c r="E2667" s="142"/>
      <c r="F2667" s="176"/>
      <c r="G2667" s="176"/>
      <c r="H2667" s="176"/>
      <c r="I2667" s="172"/>
      <c r="J2667" s="173"/>
    </row>
    <row r="2668" spans="1:10" x14ac:dyDescent="0.25">
      <c r="A2668" s="106"/>
      <c r="B2668" s="107"/>
      <c r="D2668" s="151"/>
      <c r="E2668" s="142"/>
      <c r="F2668" s="176"/>
      <c r="G2668" s="176"/>
      <c r="H2668" s="176"/>
      <c r="I2668" s="172"/>
      <c r="J2668" s="173"/>
    </row>
    <row r="2669" spans="1:10" x14ac:dyDescent="0.25">
      <c r="A2669" s="106"/>
      <c r="B2669" s="107"/>
      <c r="D2669" s="151"/>
      <c r="E2669" s="142"/>
      <c r="F2669" s="176"/>
      <c r="G2669" s="176"/>
      <c r="H2669" s="176"/>
      <c r="I2669" s="172"/>
      <c r="J2669" s="173"/>
    </row>
    <row r="2670" spans="1:10" x14ac:dyDescent="0.25">
      <c r="A2670" s="106"/>
      <c r="B2670" s="107"/>
      <c r="D2670" s="151"/>
      <c r="E2670" s="142"/>
      <c r="F2670" s="176"/>
      <c r="G2670" s="176"/>
      <c r="H2670" s="176"/>
      <c r="I2670" s="172"/>
      <c r="J2670" s="173"/>
    </row>
    <row r="2671" spans="1:10" x14ac:dyDescent="0.25">
      <c r="A2671" s="106"/>
      <c r="B2671" s="107"/>
      <c r="D2671" s="151"/>
      <c r="E2671" s="142"/>
      <c r="F2671" s="176"/>
      <c r="G2671" s="176"/>
      <c r="H2671" s="176"/>
      <c r="I2671" s="172"/>
      <c r="J2671" s="173"/>
    </row>
    <row r="2672" spans="1:10" x14ac:dyDescent="0.25">
      <c r="A2672" s="106"/>
      <c r="B2672" s="107"/>
      <c r="D2672" s="151"/>
      <c r="E2672" s="142"/>
      <c r="F2672" s="176"/>
      <c r="G2672" s="176"/>
      <c r="H2672" s="176"/>
      <c r="I2672" s="172"/>
      <c r="J2672" s="173"/>
    </row>
    <row r="2673" spans="1:10" x14ac:dyDescent="0.25">
      <c r="A2673" s="106"/>
      <c r="B2673" s="107"/>
      <c r="D2673" s="151"/>
      <c r="E2673" s="142"/>
      <c r="F2673" s="176"/>
      <c r="G2673" s="176"/>
      <c r="H2673" s="176"/>
      <c r="I2673" s="172"/>
      <c r="J2673" s="173"/>
    </row>
    <row r="2674" spans="1:10" x14ac:dyDescent="0.25">
      <c r="A2674" s="106"/>
      <c r="B2674" s="107"/>
      <c r="D2674" s="151"/>
      <c r="E2674" s="142"/>
      <c r="F2674" s="176"/>
      <c r="G2674" s="176"/>
      <c r="H2674" s="176"/>
      <c r="I2674" s="172"/>
      <c r="J2674" s="173"/>
    </row>
    <row r="2675" spans="1:10" x14ac:dyDescent="0.25">
      <c r="A2675" s="106"/>
      <c r="B2675" s="107"/>
      <c r="D2675" s="151"/>
      <c r="E2675" s="142"/>
      <c r="F2675" s="176"/>
      <c r="G2675" s="176"/>
      <c r="H2675" s="176"/>
      <c r="I2675" s="172"/>
      <c r="J2675" s="173"/>
    </row>
    <row r="2676" spans="1:10" x14ac:dyDescent="0.25">
      <c r="A2676" s="106"/>
      <c r="B2676" s="107"/>
      <c r="D2676" s="151"/>
      <c r="E2676" s="142"/>
      <c r="F2676" s="176"/>
      <c r="G2676" s="176"/>
      <c r="H2676" s="176"/>
      <c r="I2676" s="172"/>
      <c r="J2676" s="173"/>
    </row>
    <row r="2677" spans="1:10" x14ac:dyDescent="0.25">
      <c r="A2677" s="106"/>
      <c r="B2677" s="107"/>
      <c r="D2677" s="151"/>
      <c r="E2677" s="142"/>
      <c r="F2677" s="176"/>
      <c r="G2677" s="176"/>
      <c r="H2677" s="176"/>
      <c r="I2677" s="172"/>
      <c r="J2677" s="173"/>
    </row>
    <row r="2678" spans="1:10" x14ac:dyDescent="0.25">
      <c r="A2678" s="106"/>
      <c r="B2678" s="107"/>
      <c r="D2678" s="151"/>
      <c r="E2678" s="142"/>
      <c r="F2678" s="176"/>
      <c r="G2678" s="176"/>
      <c r="H2678" s="176"/>
      <c r="I2678" s="172"/>
      <c r="J2678" s="173"/>
    </row>
    <row r="2679" spans="1:10" x14ac:dyDescent="0.25">
      <c r="A2679" s="106"/>
      <c r="B2679" s="107"/>
      <c r="D2679" s="151"/>
      <c r="E2679" s="142"/>
      <c r="F2679" s="176"/>
      <c r="G2679" s="176"/>
      <c r="H2679" s="176"/>
      <c r="I2679" s="172"/>
      <c r="J2679" s="173"/>
    </row>
    <row r="2680" spans="1:10" x14ac:dyDescent="0.25">
      <c r="A2680" s="106"/>
      <c r="B2680" s="107"/>
      <c r="D2680" s="151"/>
      <c r="E2680" s="142"/>
      <c r="F2680" s="176"/>
      <c r="G2680" s="176"/>
      <c r="H2680" s="176"/>
      <c r="I2680" s="172"/>
      <c r="J2680" s="173"/>
    </row>
    <row r="2681" spans="1:10" x14ac:dyDescent="0.25">
      <c r="A2681" s="106"/>
      <c r="B2681" s="107"/>
      <c r="D2681" s="151"/>
      <c r="E2681" s="142"/>
      <c r="F2681" s="176"/>
      <c r="G2681" s="176"/>
      <c r="H2681" s="176"/>
      <c r="I2681" s="172"/>
      <c r="J2681" s="173"/>
    </row>
    <row r="2682" spans="1:10" x14ac:dyDescent="0.25">
      <c r="A2682" s="106"/>
      <c r="B2682" s="107"/>
      <c r="D2682" s="151"/>
      <c r="E2682" s="142"/>
      <c r="F2682" s="176"/>
      <c r="G2682" s="176"/>
      <c r="H2682" s="176"/>
      <c r="I2682" s="172"/>
      <c r="J2682" s="173"/>
    </row>
    <row r="2683" spans="1:10" x14ac:dyDescent="0.25">
      <c r="A2683" s="106"/>
      <c r="B2683" s="107"/>
      <c r="D2683" s="151"/>
      <c r="E2683" s="142"/>
      <c r="F2683" s="176"/>
      <c r="G2683" s="176"/>
      <c r="H2683" s="176"/>
      <c r="I2683" s="172"/>
      <c r="J2683" s="173"/>
    </row>
    <row r="2684" spans="1:10" x14ac:dyDescent="0.25">
      <c r="A2684" s="106"/>
      <c r="B2684" s="107"/>
      <c r="D2684" s="151"/>
      <c r="E2684" s="142"/>
      <c r="F2684" s="176"/>
      <c r="G2684" s="176"/>
      <c r="H2684" s="176"/>
      <c r="I2684" s="172"/>
      <c r="J2684" s="173"/>
    </row>
    <row r="2685" spans="1:10" x14ac:dyDescent="0.25">
      <c r="A2685" s="106"/>
      <c r="B2685" s="107"/>
      <c r="D2685" s="151"/>
      <c r="E2685" s="142"/>
      <c r="F2685" s="176"/>
      <c r="G2685" s="176"/>
      <c r="H2685" s="176"/>
      <c r="I2685" s="172"/>
      <c r="J2685" s="173"/>
    </row>
    <row r="2686" spans="1:10" x14ac:dyDescent="0.25">
      <c r="A2686" s="106"/>
      <c r="B2686" s="107"/>
      <c r="D2686" s="151"/>
      <c r="E2686" s="142"/>
      <c r="F2686" s="176"/>
      <c r="G2686" s="176"/>
      <c r="H2686" s="176"/>
      <c r="I2686" s="172"/>
      <c r="J2686" s="173"/>
    </row>
    <row r="2687" spans="1:10" x14ac:dyDescent="0.25">
      <c r="A2687" s="106"/>
      <c r="B2687" s="107"/>
      <c r="D2687" s="151"/>
      <c r="E2687" s="142"/>
      <c r="F2687" s="176"/>
      <c r="G2687" s="176"/>
      <c r="H2687" s="176"/>
      <c r="I2687" s="172"/>
      <c r="J2687" s="173"/>
    </row>
    <row r="2688" spans="1:10" x14ac:dyDescent="0.25">
      <c r="A2688" s="106"/>
      <c r="B2688" s="107"/>
      <c r="D2688" s="151"/>
      <c r="E2688" s="142"/>
      <c r="F2688" s="176"/>
      <c r="G2688" s="176"/>
      <c r="H2688" s="176"/>
      <c r="I2688" s="172"/>
      <c r="J2688" s="173"/>
    </row>
    <row r="2689" spans="1:10" x14ac:dyDescent="0.25">
      <c r="A2689" s="106"/>
      <c r="B2689" s="107"/>
      <c r="D2689" s="151"/>
      <c r="E2689" s="142"/>
      <c r="F2689" s="176"/>
      <c r="G2689" s="176"/>
      <c r="H2689" s="176"/>
      <c r="I2689" s="172"/>
      <c r="J2689" s="173"/>
    </row>
    <row r="2690" spans="1:10" x14ac:dyDescent="0.25">
      <c r="A2690" s="106"/>
      <c r="B2690" s="107"/>
      <c r="D2690" s="151"/>
      <c r="E2690" s="142"/>
      <c r="F2690" s="176"/>
      <c r="G2690" s="176"/>
      <c r="H2690" s="176"/>
      <c r="I2690" s="172"/>
      <c r="J2690" s="173"/>
    </row>
    <row r="2691" spans="1:10" x14ac:dyDescent="0.25">
      <c r="A2691" s="106"/>
      <c r="B2691" s="107"/>
      <c r="D2691" s="151"/>
      <c r="E2691" s="142"/>
      <c r="F2691" s="176"/>
      <c r="G2691" s="176"/>
      <c r="H2691" s="176"/>
      <c r="I2691" s="172"/>
      <c r="J2691" s="173"/>
    </row>
    <row r="2692" spans="1:10" x14ac:dyDescent="0.25">
      <c r="A2692" s="106"/>
      <c r="B2692" s="107"/>
      <c r="D2692" s="151"/>
      <c r="E2692" s="142"/>
      <c r="F2692" s="176"/>
      <c r="G2692" s="176"/>
      <c r="H2692" s="176"/>
      <c r="I2692" s="172"/>
      <c r="J2692" s="173"/>
    </row>
    <row r="2693" spans="1:10" x14ac:dyDescent="0.25">
      <c r="A2693" s="106"/>
      <c r="B2693" s="107"/>
      <c r="D2693" s="151"/>
      <c r="E2693" s="142"/>
      <c r="F2693" s="176"/>
      <c r="G2693" s="176"/>
      <c r="H2693" s="176"/>
      <c r="I2693" s="172"/>
      <c r="J2693" s="173"/>
    </row>
    <row r="2694" spans="1:10" x14ac:dyDescent="0.25">
      <c r="A2694" s="106"/>
      <c r="B2694" s="107"/>
      <c r="D2694" s="151"/>
      <c r="E2694" s="142"/>
      <c r="F2694" s="176"/>
      <c r="G2694" s="176"/>
      <c r="H2694" s="176"/>
      <c r="I2694" s="172"/>
      <c r="J2694" s="173"/>
    </row>
    <row r="2695" spans="1:10" x14ac:dyDescent="0.25">
      <c r="A2695" s="106"/>
      <c r="B2695" s="107"/>
      <c r="D2695" s="151"/>
      <c r="E2695" s="142"/>
      <c r="F2695" s="176"/>
      <c r="G2695" s="176"/>
      <c r="H2695" s="176"/>
      <c r="I2695" s="172"/>
      <c r="J2695" s="173"/>
    </row>
    <row r="2696" spans="1:10" x14ac:dyDescent="0.25">
      <c r="A2696" s="106"/>
      <c r="B2696" s="107"/>
      <c r="D2696" s="151"/>
      <c r="E2696" s="142"/>
      <c r="F2696" s="176"/>
      <c r="G2696" s="176"/>
      <c r="H2696" s="176"/>
      <c r="I2696" s="172"/>
      <c r="J2696" s="173"/>
    </row>
    <row r="2697" spans="1:10" x14ac:dyDescent="0.25">
      <c r="A2697" s="106"/>
      <c r="B2697" s="107"/>
      <c r="D2697" s="151"/>
      <c r="E2697" s="142"/>
      <c r="F2697" s="176"/>
      <c r="G2697" s="176"/>
      <c r="H2697" s="176"/>
      <c r="I2697" s="172"/>
      <c r="J2697" s="173"/>
    </row>
    <row r="2698" spans="1:10" x14ac:dyDescent="0.25">
      <c r="A2698" s="106"/>
      <c r="B2698" s="107"/>
      <c r="D2698" s="151"/>
      <c r="E2698" s="142"/>
      <c r="F2698" s="176"/>
      <c r="G2698" s="176"/>
      <c r="H2698" s="176"/>
      <c r="I2698" s="172"/>
      <c r="J2698" s="173"/>
    </row>
    <row r="2699" spans="1:10" x14ac:dyDescent="0.25">
      <c r="A2699" s="106"/>
      <c r="B2699" s="107"/>
      <c r="D2699" s="151"/>
      <c r="E2699" s="142"/>
      <c r="F2699" s="176"/>
      <c r="G2699" s="176"/>
      <c r="H2699" s="176"/>
      <c r="I2699" s="172"/>
      <c r="J2699" s="173"/>
    </row>
    <row r="2700" spans="1:10" x14ac:dyDescent="0.25">
      <c r="A2700" s="106"/>
      <c r="B2700" s="107"/>
      <c r="D2700" s="151"/>
      <c r="E2700" s="142"/>
      <c r="F2700" s="176"/>
      <c r="G2700" s="176"/>
      <c r="H2700" s="176"/>
      <c r="I2700" s="172"/>
      <c r="J2700" s="173"/>
    </row>
    <row r="2701" spans="1:10" x14ac:dyDescent="0.25">
      <c r="A2701" s="106"/>
      <c r="B2701" s="107"/>
      <c r="D2701" s="151"/>
      <c r="E2701" s="142"/>
      <c r="F2701" s="176"/>
      <c r="G2701" s="176"/>
      <c r="H2701" s="176"/>
      <c r="I2701" s="172"/>
      <c r="J2701" s="173"/>
    </row>
    <row r="2702" spans="1:10" x14ac:dyDescent="0.25">
      <c r="A2702" s="106"/>
      <c r="B2702" s="107"/>
      <c r="D2702" s="151"/>
      <c r="E2702" s="142"/>
      <c r="F2702" s="176"/>
      <c r="G2702" s="176"/>
      <c r="H2702" s="176"/>
      <c r="I2702" s="172"/>
      <c r="J2702" s="173"/>
    </row>
    <row r="2703" spans="1:10" x14ac:dyDescent="0.25">
      <c r="A2703" s="106"/>
      <c r="B2703" s="107"/>
      <c r="D2703" s="151"/>
      <c r="E2703" s="142"/>
      <c r="F2703" s="176"/>
      <c r="G2703" s="176"/>
      <c r="H2703" s="176"/>
      <c r="I2703" s="172"/>
      <c r="J2703" s="173"/>
    </row>
    <row r="2704" spans="1:10" x14ac:dyDescent="0.25">
      <c r="A2704" s="106"/>
      <c r="B2704" s="107"/>
      <c r="D2704" s="151"/>
      <c r="E2704" s="142"/>
      <c r="F2704" s="176"/>
      <c r="G2704" s="176"/>
      <c r="H2704" s="176"/>
      <c r="I2704" s="172"/>
      <c r="J2704" s="173"/>
    </row>
    <row r="2705" spans="1:10" x14ac:dyDescent="0.25">
      <c r="A2705" s="106"/>
      <c r="B2705" s="107"/>
      <c r="D2705" s="151"/>
      <c r="E2705" s="142"/>
      <c r="F2705" s="176"/>
      <c r="G2705" s="176"/>
      <c r="H2705" s="176"/>
      <c r="I2705" s="172"/>
      <c r="J2705" s="173"/>
    </row>
    <row r="2706" spans="1:10" x14ac:dyDescent="0.25">
      <c r="A2706" s="106"/>
      <c r="B2706" s="107"/>
      <c r="D2706" s="151"/>
      <c r="E2706" s="142"/>
      <c r="F2706" s="176"/>
      <c r="G2706" s="176"/>
      <c r="H2706" s="176"/>
      <c r="I2706" s="172"/>
      <c r="J2706" s="173"/>
    </row>
    <row r="2707" spans="1:10" x14ac:dyDescent="0.25">
      <c r="A2707" s="106"/>
      <c r="B2707" s="107"/>
      <c r="D2707" s="151"/>
      <c r="E2707" s="142"/>
      <c r="F2707" s="176"/>
      <c r="G2707" s="176"/>
      <c r="H2707" s="176"/>
      <c r="I2707" s="172"/>
      <c r="J2707" s="173"/>
    </row>
    <row r="2708" spans="1:10" x14ac:dyDescent="0.25">
      <c r="A2708" s="106"/>
      <c r="B2708" s="107"/>
      <c r="D2708" s="151"/>
      <c r="E2708" s="142"/>
      <c r="F2708" s="176"/>
      <c r="G2708" s="176"/>
      <c r="H2708" s="176"/>
      <c r="I2708" s="172"/>
      <c r="J2708" s="173"/>
    </row>
    <row r="2709" spans="1:10" x14ac:dyDescent="0.25">
      <c r="A2709" s="106"/>
      <c r="B2709" s="107"/>
      <c r="D2709" s="151"/>
      <c r="E2709" s="142"/>
      <c r="F2709" s="176"/>
      <c r="G2709" s="176"/>
      <c r="H2709" s="176"/>
      <c r="I2709" s="172"/>
      <c r="J2709" s="173"/>
    </row>
    <row r="2710" spans="1:10" x14ac:dyDescent="0.25">
      <c r="A2710" s="106"/>
      <c r="B2710" s="107"/>
      <c r="D2710" s="151"/>
      <c r="E2710" s="142"/>
      <c r="F2710" s="176"/>
      <c r="G2710" s="176"/>
      <c r="H2710" s="176"/>
      <c r="I2710" s="172"/>
      <c r="J2710" s="173"/>
    </row>
    <row r="2711" spans="1:10" x14ac:dyDescent="0.25">
      <c r="A2711" s="106"/>
      <c r="B2711" s="107"/>
      <c r="D2711" s="151"/>
      <c r="E2711" s="142"/>
      <c r="F2711" s="176"/>
      <c r="G2711" s="176"/>
      <c r="H2711" s="176"/>
      <c r="I2711" s="172"/>
      <c r="J2711" s="173"/>
    </row>
    <row r="2712" spans="1:10" x14ac:dyDescent="0.25">
      <c r="A2712" s="106"/>
      <c r="B2712" s="107"/>
      <c r="D2712" s="151"/>
      <c r="E2712" s="142"/>
      <c r="F2712" s="176"/>
      <c r="G2712" s="176"/>
      <c r="H2712" s="176"/>
      <c r="I2712" s="172"/>
      <c r="J2712" s="173"/>
    </row>
    <row r="2713" spans="1:10" x14ac:dyDescent="0.25">
      <c r="A2713" s="106"/>
      <c r="B2713" s="107"/>
      <c r="D2713" s="151"/>
      <c r="E2713" s="142"/>
      <c r="F2713" s="176"/>
      <c r="G2713" s="176"/>
      <c r="H2713" s="176"/>
      <c r="I2713" s="172"/>
      <c r="J2713" s="173"/>
    </row>
    <row r="2714" spans="1:10" x14ac:dyDescent="0.25">
      <c r="A2714" s="106"/>
      <c r="B2714" s="107"/>
      <c r="D2714" s="151"/>
      <c r="E2714" s="142"/>
      <c r="F2714" s="176"/>
      <c r="G2714" s="176"/>
      <c r="H2714" s="176"/>
      <c r="I2714" s="172"/>
      <c r="J2714" s="173"/>
    </row>
    <row r="2715" spans="1:10" x14ac:dyDescent="0.25">
      <c r="A2715" s="106"/>
      <c r="B2715" s="107"/>
      <c r="D2715" s="151"/>
      <c r="E2715" s="142"/>
      <c r="F2715" s="176"/>
      <c r="G2715" s="176"/>
      <c r="H2715" s="176"/>
      <c r="I2715" s="172"/>
      <c r="J2715" s="173"/>
    </row>
    <row r="2716" spans="1:10" x14ac:dyDescent="0.25">
      <c r="A2716" s="106"/>
      <c r="B2716" s="107"/>
      <c r="D2716" s="151"/>
      <c r="E2716" s="142"/>
      <c r="F2716" s="176"/>
      <c r="G2716" s="176"/>
      <c r="H2716" s="176"/>
      <c r="I2716" s="172"/>
      <c r="J2716" s="173"/>
    </row>
    <row r="2717" spans="1:10" x14ac:dyDescent="0.25">
      <c r="A2717" s="106"/>
      <c r="B2717" s="107"/>
      <c r="D2717" s="151"/>
      <c r="E2717" s="142"/>
      <c r="F2717" s="176"/>
      <c r="G2717" s="176"/>
      <c r="H2717" s="176"/>
      <c r="I2717" s="172"/>
      <c r="J2717" s="173"/>
    </row>
    <row r="2718" spans="1:10" x14ac:dyDescent="0.25">
      <c r="A2718" s="106"/>
      <c r="B2718" s="107"/>
      <c r="D2718" s="151"/>
      <c r="E2718" s="142"/>
      <c r="F2718" s="176"/>
      <c r="G2718" s="176"/>
      <c r="H2718" s="176"/>
      <c r="I2718" s="172"/>
      <c r="J2718" s="173"/>
    </row>
    <row r="2719" spans="1:10" x14ac:dyDescent="0.25">
      <c r="A2719" s="106"/>
      <c r="B2719" s="107"/>
      <c r="D2719" s="151"/>
      <c r="E2719" s="142"/>
      <c r="F2719" s="176"/>
      <c r="G2719" s="176"/>
      <c r="H2719" s="176"/>
      <c r="I2719" s="172"/>
      <c r="J2719" s="173"/>
    </row>
    <row r="2720" spans="1:10" x14ac:dyDescent="0.25">
      <c r="A2720" s="106"/>
      <c r="B2720" s="107"/>
      <c r="D2720" s="151"/>
      <c r="E2720" s="142"/>
      <c r="F2720" s="176"/>
      <c r="G2720" s="176"/>
      <c r="H2720" s="176"/>
      <c r="I2720" s="172"/>
      <c r="J2720" s="173"/>
    </row>
    <row r="2721" spans="1:10" x14ac:dyDescent="0.25">
      <c r="A2721" s="106"/>
      <c r="B2721" s="107"/>
      <c r="D2721" s="151"/>
      <c r="E2721" s="142"/>
      <c r="F2721" s="176"/>
      <c r="G2721" s="176"/>
      <c r="H2721" s="176"/>
      <c r="I2721" s="172"/>
      <c r="J2721" s="173"/>
    </row>
    <row r="2722" spans="1:10" x14ac:dyDescent="0.25">
      <c r="A2722" s="106"/>
      <c r="B2722" s="107"/>
      <c r="D2722" s="151"/>
      <c r="E2722" s="142"/>
      <c r="F2722" s="176"/>
      <c r="G2722" s="176"/>
      <c r="H2722" s="176"/>
      <c r="I2722" s="172"/>
      <c r="J2722" s="173"/>
    </row>
    <row r="2723" spans="1:10" x14ac:dyDescent="0.25">
      <c r="A2723" s="106"/>
      <c r="B2723" s="107"/>
      <c r="D2723" s="151"/>
      <c r="E2723" s="142"/>
      <c r="F2723" s="176"/>
      <c r="G2723" s="176"/>
      <c r="H2723" s="176"/>
      <c r="I2723" s="172"/>
      <c r="J2723" s="173"/>
    </row>
    <row r="2724" spans="1:10" x14ac:dyDescent="0.25">
      <c r="A2724" s="106"/>
      <c r="B2724" s="107"/>
      <c r="D2724" s="151"/>
      <c r="E2724" s="142"/>
      <c r="F2724" s="176"/>
      <c r="G2724" s="176"/>
      <c r="H2724" s="176"/>
      <c r="I2724" s="172"/>
      <c r="J2724" s="173"/>
    </row>
    <row r="2725" spans="1:10" x14ac:dyDescent="0.25">
      <c r="A2725" s="106"/>
      <c r="B2725" s="107"/>
      <c r="D2725" s="151"/>
      <c r="E2725" s="142"/>
      <c r="F2725" s="176"/>
      <c r="G2725" s="176"/>
      <c r="H2725" s="176"/>
      <c r="I2725" s="172"/>
      <c r="J2725" s="173"/>
    </row>
    <row r="2726" spans="1:10" x14ac:dyDescent="0.25">
      <c r="A2726" s="106"/>
      <c r="B2726" s="107"/>
      <c r="D2726" s="151"/>
      <c r="E2726" s="142"/>
      <c r="F2726" s="176"/>
      <c r="G2726" s="176"/>
      <c r="H2726" s="176"/>
      <c r="I2726" s="172"/>
      <c r="J2726" s="173"/>
    </row>
    <row r="2727" spans="1:10" x14ac:dyDescent="0.25">
      <c r="A2727" s="106"/>
      <c r="B2727" s="107"/>
      <c r="D2727" s="151"/>
      <c r="E2727" s="142"/>
      <c r="F2727" s="176"/>
      <c r="G2727" s="176"/>
      <c r="H2727" s="176"/>
      <c r="I2727" s="172"/>
      <c r="J2727" s="173"/>
    </row>
    <row r="2728" spans="1:10" x14ac:dyDescent="0.25">
      <c r="A2728" s="106"/>
      <c r="B2728" s="107"/>
      <c r="D2728" s="151"/>
      <c r="E2728" s="142"/>
      <c r="F2728" s="176"/>
      <c r="G2728" s="176"/>
      <c r="H2728" s="176"/>
      <c r="I2728" s="172"/>
      <c r="J2728" s="173"/>
    </row>
    <row r="2729" spans="1:10" x14ac:dyDescent="0.25">
      <c r="A2729" s="106"/>
      <c r="B2729" s="107"/>
      <c r="D2729" s="151"/>
      <c r="E2729" s="142"/>
      <c r="F2729" s="176"/>
      <c r="G2729" s="176"/>
      <c r="H2729" s="176"/>
      <c r="I2729" s="172"/>
      <c r="J2729" s="173"/>
    </row>
    <row r="2730" spans="1:10" x14ac:dyDescent="0.25">
      <c r="A2730" s="106"/>
      <c r="B2730" s="107"/>
      <c r="D2730" s="151"/>
      <c r="E2730" s="142"/>
      <c r="F2730" s="176"/>
      <c r="G2730" s="176"/>
      <c r="H2730" s="176"/>
      <c r="I2730" s="172"/>
      <c r="J2730" s="173"/>
    </row>
    <row r="2731" spans="1:10" x14ac:dyDescent="0.25">
      <c r="A2731" s="106"/>
      <c r="B2731" s="107"/>
      <c r="D2731" s="151"/>
      <c r="E2731" s="142"/>
      <c r="F2731" s="176"/>
      <c r="G2731" s="176"/>
      <c r="H2731" s="176"/>
      <c r="I2731" s="172"/>
      <c r="J2731" s="173"/>
    </row>
    <row r="2732" spans="1:10" x14ac:dyDescent="0.25">
      <c r="A2732" s="106"/>
      <c r="B2732" s="107"/>
      <c r="D2732" s="151"/>
      <c r="E2732" s="142"/>
      <c r="F2732" s="176"/>
      <c r="G2732" s="176"/>
      <c r="H2732" s="176"/>
      <c r="I2732" s="172"/>
      <c r="J2732" s="173"/>
    </row>
    <row r="2733" spans="1:10" x14ac:dyDescent="0.25">
      <c r="A2733" s="106"/>
      <c r="B2733" s="107"/>
      <c r="D2733" s="151"/>
      <c r="E2733" s="142"/>
      <c r="F2733" s="176"/>
      <c r="G2733" s="176"/>
      <c r="H2733" s="176"/>
      <c r="I2733" s="172"/>
      <c r="J2733" s="173"/>
    </row>
    <row r="2734" spans="1:10" x14ac:dyDescent="0.25">
      <c r="A2734" s="106"/>
      <c r="B2734" s="107"/>
      <c r="D2734" s="151"/>
      <c r="E2734" s="142"/>
      <c r="F2734" s="176"/>
      <c r="G2734" s="176"/>
      <c r="H2734" s="176"/>
      <c r="I2734" s="172"/>
      <c r="J2734" s="173"/>
    </row>
    <row r="2735" spans="1:10" x14ac:dyDescent="0.25">
      <c r="A2735" s="106"/>
      <c r="B2735" s="107"/>
      <c r="D2735" s="151"/>
      <c r="E2735" s="142"/>
      <c r="F2735" s="176"/>
      <c r="G2735" s="176"/>
      <c r="H2735" s="176"/>
      <c r="I2735" s="172"/>
      <c r="J2735" s="173"/>
    </row>
    <row r="2736" spans="1:10" x14ac:dyDescent="0.25">
      <c r="A2736" s="106"/>
      <c r="B2736" s="107"/>
      <c r="D2736" s="151"/>
      <c r="E2736" s="142"/>
      <c r="F2736" s="176"/>
      <c r="G2736" s="176"/>
      <c r="H2736" s="176"/>
      <c r="I2736" s="172"/>
      <c r="J2736" s="173"/>
    </row>
    <row r="2737" spans="1:10" x14ac:dyDescent="0.25">
      <c r="A2737" s="106"/>
      <c r="B2737" s="107"/>
      <c r="D2737" s="151"/>
      <c r="E2737" s="142"/>
      <c r="F2737" s="176"/>
      <c r="G2737" s="176"/>
      <c r="H2737" s="176"/>
      <c r="I2737" s="172"/>
      <c r="J2737" s="173"/>
    </row>
    <row r="2738" spans="1:10" x14ac:dyDescent="0.25">
      <c r="A2738" s="106"/>
      <c r="B2738" s="107"/>
      <c r="D2738" s="151"/>
      <c r="E2738" s="142"/>
      <c r="F2738" s="176"/>
      <c r="G2738" s="176"/>
      <c r="H2738" s="176"/>
      <c r="I2738" s="172"/>
      <c r="J2738" s="173"/>
    </row>
    <row r="2739" spans="1:10" x14ac:dyDescent="0.25">
      <c r="A2739" s="106"/>
      <c r="B2739" s="107"/>
      <c r="D2739" s="151"/>
      <c r="E2739" s="142"/>
      <c r="F2739" s="176"/>
      <c r="G2739" s="176"/>
      <c r="H2739" s="176"/>
      <c r="I2739" s="172"/>
      <c r="J2739" s="173"/>
    </row>
    <row r="2740" spans="1:10" x14ac:dyDescent="0.25">
      <c r="A2740" s="106"/>
      <c r="B2740" s="107"/>
      <c r="D2740" s="151"/>
      <c r="E2740" s="142"/>
      <c r="F2740" s="176"/>
      <c r="G2740" s="176"/>
      <c r="H2740" s="176"/>
      <c r="I2740" s="172"/>
      <c r="J2740" s="173"/>
    </row>
    <row r="2741" spans="1:10" x14ac:dyDescent="0.25">
      <c r="A2741" s="106"/>
      <c r="B2741" s="107"/>
      <c r="D2741" s="151"/>
      <c r="E2741" s="142"/>
      <c r="F2741" s="176"/>
      <c r="G2741" s="176"/>
      <c r="H2741" s="176"/>
      <c r="I2741" s="172"/>
      <c r="J2741" s="173"/>
    </row>
    <row r="2742" spans="1:10" x14ac:dyDescent="0.25">
      <c r="A2742" s="106"/>
      <c r="B2742" s="107"/>
      <c r="D2742" s="151"/>
      <c r="E2742" s="142"/>
      <c r="F2742" s="176"/>
      <c r="G2742" s="176"/>
      <c r="H2742" s="176"/>
      <c r="I2742" s="172"/>
      <c r="J2742" s="173"/>
    </row>
    <row r="2743" spans="1:10" x14ac:dyDescent="0.25">
      <c r="A2743" s="106"/>
      <c r="B2743" s="107"/>
      <c r="D2743" s="151"/>
      <c r="E2743" s="142"/>
      <c r="F2743" s="176"/>
      <c r="G2743" s="176"/>
      <c r="H2743" s="176"/>
      <c r="I2743" s="172"/>
      <c r="J2743" s="173"/>
    </row>
    <row r="2744" spans="1:10" x14ac:dyDescent="0.25">
      <c r="A2744" s="106"/>
      <c r="B2744" s="107"/>
      <c r="D2744" s="151"/>
      <c r="E2744" s="142"/>
      <c r="F2744" s="176"/>
      <c r="G2744" s="176"/>
      <c r="H2744" s="176"/>
      <c r="I2744" s="172"/>
      <c r="J2744" s="173"/>
    </row>
    <row r="2745" spans="1:10" x14ac:dyDescent="0.25">
      <c r="A2745" s="106"/>
      <c r="B2745" s="107"/>
      <c r="D2745" s="151"/>
      <c r="E2745" s="142"/>
      <c r="F2745" s="176"/>
      <c r="G2745" s="176"/>
      <c r="H2745" s="176"/>
      <c r="I2745" s="172"/>
      <c r="J2745" s="173"/>
    </row>
    <row r="2746" spans="1:10" x14ac:dyDescent="0.25">
      <c r="A2746" s="106"/>
      <c r="B2746" s="107"/>
      <c r="D2746" s="151"/>
      <c r="E2746" s="142"/>
      <c r="F2746" s="176"/>
      <c r="G2746" s="176"/>
      <c r="H2746" s="176"/>
      <c r="I2746" s="172"/>
      <c r="J2746" s="173"/>
    </row>
    <row r="2747" spans="1:10" x14ac:dyDescent="0.25">
      <c r="A2747" s="106"/>
      <c r="B2747" s="107"/>
      <c r="D2747" s="151"/>
      <c r="E2747" s="142"/>
      <c r="F2747" s="176"/>
      <c r="G2747" s="176"/>
      <c r="H2747" s="176"/>
      <c r="I2747" s="172"/>
      <c r="J2747" s="173"/>
    </row>
    <row r="2748" spans="1:10" x14ac:dyDescent="0.25">
      <c r="A2748" s="106"/>
      <c r="B2748" s="107"/>
      <c r="D2748" s="151"/>
      <c r="E2748" s="142"/>
      <c r="F2748" s="176"/>
      <c r="G2748" s="176"/>
      <c r="H2748" s="176"/>
      <c r="I2748" s="172"/>
      <c r="J2748" s="173"/>
    </row>
    <row r="2749" spans="1:10" x14ac:dyDescent="0.25">
      <c r="A2749" s="106"/>
      <c r="B2749" s="107"/>
      <c r="D2749" s="151"/>
      <c r="E2749" s="142"/>
      <c r="F2749" s="176"/>
      <c r="G2749" s="176"/>
      <c r="H2749" s="176"/>
      <c r="I2749" s="172"/>
      <c r="J2749" s="173"/>
    </row>
    <row r="2750" spans="1:10" x14ac:dyDescent="0.25">
      <c r="A2750" s="106"/>
      <c r="B2750" s="107"/>
      <c r="D2750" s="151"/>
      <c r="E2750" s="142"/>
      <c r="F2750" s="176"/>
      <c r="G2750" s="176"/>
      <c r="H2750" s="176"/>
      <c r="I2750" s="172"/>
      <c r="J2750" s="173"/>
    </row>
    <row r="2751" spans="1:10" x14ac:dyDescent="0.25">
      <c r="A2751" s="106"/>
      <c r="B2751" s="107"/>
      <c r="D2751" s="151"/>
      <c r="E2751" s="142"/>
      <c r="F2751" s="176"/>
      <c r="G2751" s="176"/>
      <c r="H2751" s="176"/>
      <c r="I2751" s="172"/>
      <c r="J2751" s="173"/>
    </row>
    <row r="2752" spans="1:10" x14ac:dyDescent="0.25">
      <c r="A2752" s="106"/>
      <c r="B2752" s="107"/>
      <c r="D2752" s="151"/>
      <c r="E2752" s="142"/>
      <c r="F2752" s="176"/>
      <c r="G2752" s="176"/>
      <c r="H2752" s="176"/>
      <c r="I2752" s="172"/>
      <c r="J2752" s="173"/>
    </row>
    <row r="2753" spans="1:10" x14ac:dyDescent="0.25">
      <c r="A2753" s="106"/>
      <c r="B2753" s="107"/>
      <c r="D2753" s="151"/>
      <c r="E2753" s="142"/>
      <c r="F2753" s="176"/>
      <c r="G2753" s="176"/>
      <c r="H2753" s="176"/>
      <c r="I2753" s="172"/>
      <c r="J2753" s="173"/>
    </row>
    <row r="2754" spans="1:10" x14ac:dyDescent="0.25">
      <c r="A2754" s="106"/>
      <c r="B2754" s="107"/>
      <c r="D2754" s="151"/>
      <c r="E2754" s="142"/>
      <c r="F2754" s="176"/>
      <c r="G2754" s="176"/>
      <c r="H2754" s="176"/>
      <c r="I2754" s="172"/>
      <c r="J2754" s="173"/>
    </row>
    <row r="2755" spans="1:10" x14ac:dyDescent="0.25">
      <c r="A2755" s="106"/>
      <c r="B2755" s="107"/>
      <c r="D2755" s="151"/>
      <c r="E2755" s="142"/>
      <c r="F2755" s="176"/>
      <c r="G2755" s="176"/>
      <c r="H2755" s="176"/>
      <c r="I2755" s="172"/>
      <c r="J2755" s="173"/>
    </row>
    <row r="2756" spans="1:10" x14ac:dyDescent="0.25">
      <c r="A2756" s="106"/>
      <c r="B2756" s="107"/>
      <c r="D2756" s="151"/>
      <c r="E2756" s="142"/>
      <c r="F2756" s="176"/>
      <c r="G2756" s="176"/>
      <c r="H2756" s="176"/>
      <c r="I2756" s="172"/>
      <c r="J2756" s="173"/>
    </row>
    <row r="2757" spans="1:10" x14ac:dyDescent="0.25">
      <c r="A2757" s="106"/>
      <c r="B2757" s="107"/>
      <c r="D2757" s="151"/>
      <c r="E2757" s="142"/>
      <c r="F2757" s="176"/>
      <c r="G2757" s="176"/>
      <c r="H2757" s="176"/>
      <c r="I2757" s="172"/>
      <c r="J2757" s="173"/>
    </row>
    <row r="2758" spans="1:10" x14ac:dyDescent="0.25">
      <c r="A2758" s="106"/>
      <c r="B2758" s="107"/>
      <c r="D2758" s="151"/>
      <c r="E2758" s="142"/>
      <c r="F2758" s="176"/>
      <c r="G2758" s="176"/>
      <c r="H2758" s="176"/>
      <c r="I2758" s="172"/>
      <c r="J2758" s="173"/>
    </row>
    <row r="2759" spans="1:10" x14ac:dyDescent="0.25">
      <c r="A2759" s="106"/>
      <c r="B2759" s="107"/>
      <c r="D2759" s="151"/>
      <c r="E2759" s="142"/>
      <c r="F2759" s="176"/>
      <c r="G2759" s="176"/>
      <c r="H2759" s="176"/>
      <c r="I2759" s="172"/>
      <c r="J2759" s="173"/>
    </row>
    <row r="2760" spans="1:10" x14ac:dyDescent="0.25">
      <c r="A2760" s="106"/>
      <c r="B2760" s="107"/>
      <c r="D2760" s="151"/>
      <c r="E2760" s="142"/>
      <c r="F2760" s="176"/>
      <c r="G2760" s="176"/>
      <c r="H2760" s="176"/>
      <c r="I2760" s="172"/>
      <c r="J2760" s="173"/>
    </row>
    <row r="2761" spans="1:10" x14ac:dyDescent="0.25">
      <c r="A2761" s="106"/>
      <c r="B2761" s="107"/>
      <c r="D2761" s="151"/>
      <c r="E2761" s="142"/>
      <c r="F2761" s="176"/>
      <c r="G2761" s="176"/>
      <c r="H2761" s="176"/>
      <c r="I2761" s="172"/>
      <c r="J2761" s="173"/>
    </row>
    <row r="2762" spans="1:10" x14ac:dyDescent="0.25">
      <c r="A2762" s="106"/>
      <c r="B2762" s="107"/>
      <c r="D2762" s="151"/>
      <c r="E2762" s="142"/>
      <c r="F2762" s="176"/>
      <c r="G2762" s="176"/>
      <c r="H2762" s="176"/>
      <c r="I2762" s="172"/>
      <c r="J2762" s="173"/>
    </row>
    <row r="2763" spans="1:10" x14ac:dyDescent="0.25">
      <c r="A2763" s="106"/>
      <c r="B2763" s="107"/>
      <c r="D2763" s="151"/>
      <c r="E2763" s="142"/>
      <c r="F2763" s="176"/>
      <c r="G2763" s="176"/>
      <c r="H2763" s="176"/>
      <c r="I2763" s="172"/>
      <c r="J2763" s="173"/>
    </row>
    <row r="2764" spans="1:10" x14ac:dyDescent="0.25">
      <c r="A2764" s="106"/>
      <c r="B2764" s="107"/>
      <c r="D2764" s="151"/>
      <c r="E2764" s="142"/>
      <c r="F2764" s="176"/>
      <c r="G2764" s="176"/>
      <c r="H2764" s="176"/>
      <c r="I2764" s="172"/>
      <c r="J2764" s="173"/>
    </row>
    <row r="2765" spans="1:10" x14ac:dyDescent="0.25">
      <c r="A2765" s="106"/>
      <c r="B2765" s="107"/>
      <c r="D2765" s="151"/>
      <c r="E2765" s="142"/>
      <c r="F2765" s="176"/>
      <c r="G2765" s="176"/>
      <c r="H2765" s="176"/>
      <c r="I2765" s="172"/>
      <c r="J2765" s="173"/>
    </row>
    <row r="2766" spans="1:10" x14ac:dyDescent="0.25">
      <c r="A2766" s="106"/>
      <c r="B2766" s="107"/>
      <c r="D2766" s="151"/>
      <c r="E2766" s="142"/>
      <c r="F2766" s="176"/>
      <c r="G2766" s="176"/>
      <c r="H2766" s="176"/>
      <c r="I2766" s="172"/>
      <c r="J2766" s="173"/>
    </row>
    <row r="2767" spans="1:10" x14ac:dyDescent="0.25">
      <c r="A2767" s="106"/>
      <c r="B2767" s="107"/>
      <c r="D2767" s="151"/>
      <c r="E2767" s="142"/>
      <c r="F2767" s="176"/>
      <c r="G2767" s="176"/>
      <c r="H2767" s="176"/>
      <c r="I2767" s="172"/>
      <c r="J2767" s="173"/>
    </row>
    <row r="2768" spans="1:10" x14ac:dyDescent="0.25">
      <c r="A2768" s="106"/>
      <c r="B2768" s="107"/>
      <c r="D2768" s="151"/>
      <c r="E2768" s="142"/>
      <c r="F2768" s="176"/>
      <c r="G2768" s="176"/>
      <c r="H2768" s="176"/>
      <c r="I2768" s="172"/>
      <c r="J2768" s="173"/>
    </row>
    <row r="2769" spans="1:10" x14ac:dyDescent="0.25">
      <c r="A2769" s="106"/>
      <c r="B2769" s="107"/>
      <c r="D2769" s="151"/>
      <c r="E2769" s="142"/>
      <c r="F2769" s="176"/>
      <c r="G2769" s="176"/>
      <c r="H2769" s="176"/>
      <c r="I2769" s="172"/>
      <c r="J2769" s="173"/>
    </row>
    <row r="2770" spans="1:10" x14ac:dyDescent="0.25">
      <c r="A2770" s="106"/>
      <c r="B2770" s="107"/>
      <c r="D2770" s="151"/>
      <c r="E2770" s="142"/>
      <c r="F2770" s="176"/>
      <c r="G2770" s="176"/>
      <c r="H2770" s="176"/>
      <c r="I2770" s="172"/>
      <c r="J2770" s="173"/>
    </row>
    <row r="2771" spans="1:10" x14ac:dyDescent="0.25">
      <c r="A2771" s="106"/>
      <c r="B2771" s="107"/>
      <c r="D2771" s="151"/>
      <c r="E2771" s="142"/>
      <c r="F2771" s="176"/>
      <c r="G2771" s="176"/>
      <c r="H2771" s="176"/>
      <c r="I2771" s="172"/>
      <c r="J2771" s="173"/>
    </row>
    <row r="2772" spans="1:10" x14ac:dyDescent="0.25">
      <c r="A2772" s="106"/>
      <c r="B2772" s="107"/>
      <c r="D2772" s="151"/>
      <c r="E2772" s="142"/>
      <c r="F2772" s="176"/>
      <c r="G2772" s="176"/>
      <c r="H2772" s="176"/>
      <c r="I2772" s="172"/>
      <c r="J2772" s="173"/>
    </row>
    <row r="2773" spans="1:10" x14ac:dyDescent="0.25">
      <c r="A2773" s="106"/>
      <c r="B2773" s="107"/>
      <c r="D2773" s="151"/>
      <c r="E2773" s="142"/>
      <c r="F2773" s="176"/>
      <c r="G2773" s="176"/>
      <c r="H2773" s="176"/>
      <c r="I2773" s="172"/>
      <c r="J2773" s="173"/>
    </row>
    <row r="2774" spans="1:10" x14ac:dyDescent="0.25">
      <c r="A2774" s="106"/>
      <c r="B2774" s="107"/>
      <c r="D2774" s="151"/>
      <c r="E2774" s="142"/>
      <c r="F2774" s="176"/>
      <c r="G2774" s="176"/>
      <c r="H2774" s="176"/>
      <c r="I2774" s="172"/>
      <c r="J2774" s="173"/>
    </row>
    <row r="2775" spans="1:10" x14ac:dyDescent="0.25">
      <c r="A2775" s="106"/>
      <c r="B2775" s="107"/>
      <c r="D2775" s="151"/>
      <c r="E2775" s="142"/>
      <c r="F2775" s="176"/>
      <c r="G2775" s="176"/>
      <c r="H2775" s="176"/>
      <c r="I2775" s="172"/>
      <c r="J2775" s="173"/>
    </row>
    <row r="2776" spans="1:10" x14ac:dyDescent="0.25">
      <c r="A2776" s="106"/>
      <c r="B2776" s="107"/>
      <c r="D2776" s="151"/>
      <c r="E2776" s="142"/>
      <c r="F2776" s="176"/>
      <c r="G2776" s="176"/>
      <c r="H2776" s="176"/>
      <c r="I2776" s="172"/>
      <c r="J2776" s="173"/>
    </row>
    <row r="2777" spans="1:10" x14ac:dyDescent="0.25">
      <c r="A2777" s="106"/>
      <c r="B2777" s="107"/>
      <c r="D2777" s="151"/>
      <c r="E2777" s="142"/>
      <c r="F2777" s="176"/>
      <c r="G2777" s="176"/>
      <c r="H2777" s="176"/>
      <c r="I2777" s="172"/>
      <c r="J2777" s="173"/>
    </row>
    <row r="2778" spans="1:10" x14ac:dyDescent="0.25">
      <c r="A2778" s="106"/>
      <c r="B2778" s="107"/>
      <c r="D2778" s="151"/>
      <c r="E2778" s="142"/>
      <c r="F2778" s="176"/>
      <c r="G2778" s="176"/>
      <c r="H2778" s="176"/>
      <c r="I2778" s="172"/>
      <c r="J2778" s="173"/>
    </row>
    <row r="2779" spans="1:10" x14ac:dyDescent="0.25">
      <c r="A2779" s="106"/>
      <c r="B2779" s="107"/>
      <c r="D2779" s="151"/>
      <c r="E2779" s="142"/>
      <c r="F2779" s="176"/>
      <c r="G2779" s="176"/>
      <c r="H2779" s="176"/>
      <c r="I2779" s="172"/>
      <c r="J2779" s="173"/>
    </row>
    <row r="2780" spans="1:10" x14ac:dyDescent="0.25">
      <c r="A2780" s="106"/>
      <c r="B2780" s="107"/>
      <c r="D2780" s="151"/>
      <c r="E2780" s="142"/>
      <c r="F2780" s="176"/>
      <c r="G2780" s="176"/>
      <c r="H2780" s="176"/>
      <c r="I2780" s="172"/>
      <c r="J2780" s="173"/>
    </row>
    <row r="2781" spans="1:10" x14ac:dyDescent="0.25">
      <c r="A2781" s="106"/>
      <c r="B2781" s="107"/>
      <c r="D2781" s="151"/>
      <c r="E2781" s="142"/>
      <c r="F2781" s="176"/>
      <c r="G2781" s="176"/>
      <c r="H2781" s="176"/>
      <c r="I2781" s="172"/>
      <c r="J2781" s="173"/>
    </row>
    <row r="2782" spans="1:10" x14ac:dyDescent="0.25">
      <c r="A2782" s="106"/>
      <c r="B2782" s="107"/>
      <c r="D2782" s="151"/>
      <c r="E2782" s="142"/>
      <c r="F2782" s="176"/>
      <c r="G2782" s="176"/>
      <c r="H2782" s="176"/>
      <c r="I2782" s="172"/>
      <c r="J2782" s="173"/>
    </row>
    <row r="2783" spans="1:10" x14ac:dyDescent="0.25">
      <c r="A2783" s="106"/>
      <c r="B2783" s="107"/>
      <c r="D2783" s="151"/>
      <c r="E2783" s="142"/>
      <c r="F2783" s="176"/>
      <c r="G2783" s="176"/>
      <c r="H2783" s="176"/>
      <c r="I2783" s="172"/>
      <c r="J2783" s="173"/>
    </row>
    <row r="2784" spans="1:10" x14ac:dyDescent="0.25">
      <c r="A2784" s="106"/>
      <c r="B2784" s="107"/>
      <c r="D2784" s="151"/>
      <c r="E2784" s="142"/>
      <c r="F2784" s="176"/>
      <c r="G2784" s="176"/>
      <c r="H2784" s="176"/>
      <c r="I2784" s="172"/>
      <c r="J2784" s="173"/>
    </row>
    <row r="2785" spans="1:10" x14ac:dyDescent="0.25">
      <c r="A2785" s="106"/>
      <c r="B2785" s="107"/>
      <c r="D2785" s="151"/>
      <c r="E2785" s="142"/>
      <c r="F2785" s="176"/>
      <c r="G2785" s="176"/>
      <c r="H2785" s="176"/>
      <c r="I2785" s="172"/>
      <c r="J2785" s="173"/>
    </row>
    <row r="2786" spans="1:10" x14ac:dyDescent="0.25">
      <c r="A2786" s="106"/>
      <c r="B2786" s="107"/>
      <c r="D2786" s="151"/>
      <c r="E2786" s="142"/>
      <c r="F2786" s="176"/>
      <c r="G2786" s="176"/>
      <c r="H2786" s="176"/>
      <c r="I2786" s="172"/>
      <c r="J2786" s="173"/>
    </row>
    <row r="2787" spans="1:10" x14ac:dyDescent="0.25">
      <c r="A2787" s="106"/>
      <c r="B2787" s="107"/>
      <c r="D2787" s="151"/>
      <c r="E2787" s="142"/>
      <c r="F2787" s="176"/>
      <c r="G2787" s="176"/>
      <c r="H2787" s="176"/>
      <c r="I2787" s="172"/>
      <c r="J2787" s="173"/>
    </row>
    <row r="2788" spans="1:10" x14ac:dyDescent="0.25">
      <c r="A2788" s="106"/>
      <c r="B2788" s="107"/>
      <c r="D2788" s="151"/>
      <c r="E2788" s="142"/>
      <c r="F2788" s="176"/>
      <c r="G2788" s="176"/>
      <c r="H2788" s="176"/>
      <c r="I2788" s="172"/>
      <c r="J2788" s="173"/>
    </row>
    <row r="2789" spans="1:10" x14ac:dyDescent="0.25">
      <c r="A2789" s="106"/>
      <c r="B2789" s="107"/>
      <c r="D2789" s="151"/>
      <c r="E2789" s="142"/>
      <c r="F2789" s="176"/>
      <c r="G2789" s="176"/>
      <c r="H2789" s="176"/>
      <c r="I2789" s="172"/>
      <c r="J2789" s="173"/>
    </row>
    <row r="2790" spans="1:10" x14ac:dyDescent="0.25">
      <c r="A2790" s="106"/>
      <c r="B2790" s="107"/>
      <c r="D2790" s="151"/>
      <c r="E2790" s="142"/>
      <c r="F2790" s="176"/>
      <c r="G2790" s="176"/>
      <c r="H2790" s="176"/>
      <c r="I2790" s="172"/>
      <c r="J2790" s="173"/>
    </row>
    <row r="2791" spans="1:10" x14ac:dyDescent="0.25">
      <c r="A2791" s="106"/>
      <c r="B2791" s="107"/>
      <c r="D2791" s="151"/>
      <c r="E2791" s="142"/>
      <c r="F2791" s="176"/>
      <c r="G2791" s="176"/>
      <c r="H2791" s="176"/>
      <c r="I2791" s="172"/>
      <c r="J2791" s="173"/>
    </row>
    <row r="2792" spans="1:10" x14ac:dyDescent="0.25">
      <c r="A2792" s="106"/>
      <c r="B2792" s="107"/>
      <c r="D2792" s="151"/>
      <c r="E2792" s="142"/>
      <c r="F2792" s="176"/>
      <c r="G2792" s="176"/>
      <c r="H2792" s="176"/>
      <c r="I2792" s="172"/>
      <c r="J2792" s="173"/>
    </row>
    <row r="2793" spans="1:10" x14ac:dyDescent="0.25">
      <c r="A2793" s="106"/>
      <c r="B2793" s="107"/>
      <c r="D2793" s="151"/>
      <c r="E2793" s="142"/>
      <c r="F2793" s="176"/>
      <c r="G2793" s="176"/>
      <c r="H2793" s="176"/>
      <c r="I2793" s="172"/>
      <c r="J2793" s="173"/>
    </row>
    <row r="2794" spans="1:10" x14ac:dyDescent="0.25">
      <c r="A2794" s="106"/>
      <c r="B2794" s="107"/>
      <c r="D2794" s="151"/>
      <c r="E2794" s="142"/>
      <c r="F2794" s="176"/>
      <c r="G2794" s="176"/>
      <c r="H2794" s="176"/>
      <c r="I2794" s="172"/>
      <c r="J2794" s="173"/>
    </row>
    <row r="2795" spans="1:10" x14ac:dyDescent="0.25">
      <c r="A2795" s="106"/>
      <c r="B2795" s="107"/>
      <c r="D2795" s="151"/>
      <c r="E2795" s="142"/>
      <c r="F2795" s="176"/>
      <c r="G2795" s="176"/>
      <c r="H2795" s="176"/>
      <c r="I2795" s="172"/>
      <c r="J2795" s="173"/>
    </row>
    <row r="2796" spans="1:10" x14ac:dyDescent="0.25">
      <c r="A2796" s="106"/>
      <c r="B2796" s="107"/>
      <c r="D2796" s="151"/>
      <c r="E2796" s="142"/>
      <c r="F2796" s="176"/>
      <c r="G2796" s="176"/>
      <c r="H2796" s="176"/>
      <c r="I2796" s="172"/>
      <c r="J2796" s="173"/>
    </row>
    <row r="2797" spans="1:10" x14ac:dyDescent="0.25">
      <c r="A2797" s="106"/>
      <c r="B2797" s="107"/>
      <c r="D2797" s="151"/>
      <c r="E2797" s="142"/>
      <c r="F2797" s="176"/>
      <c r="G2797" s="176"/>
      <c r="H2797" s="176"/>
      <c r="I2797" s="172"/>
      <c r="J2797" s="173"/>
    </row>
    <row r="2798" spans="1:10" x14ac:dyDescent="0.25">
      <c r="A2798" s="106"/>
      <c r="B2798" s="107"/>
      <c r="D2798" s="151"/>
      <c r="E2798" s="142"/>
      <c r="F2798" s="176"/>
      <c r="G2798" s="176"/>
      <c r="H2798" s="176"/>
      <c r="I2798" s="172"/>
      <c r="J2798" s="173"/>
    </row>
    <row r="2799" spans="1:10" x14ac:dyDescent="0.25">
      <c r="A2799" s="106"/>
      <c r="B2799" s="107"/>
      <c r="D2799" s="151"/>
      <c r="E2799" s="142"/>
      <c r="F2799" s="176"/>
      <c r="G2799" s="176"/>
      <c r="H2799" s="176"/>
      <c r="I2799" s="172"/>
      <c r="J2799" s="173"/>
    </row>
    <row r="2800" spans="1:10" x14ac:dyDescent="0.25">
      <c r="A2800" s="106"/>
      <c r="B2800" s="107"/>
      <c r="D2800" s="151"/>
      <c r="E2800" s="142"/>
      <c r="F2800" s="176"/>
      <c r="G2800" s="176"/>
      <c r="H2800" s="176"/>
      <c r="I2800" s="172"/>
      <c r="J2800" s="173"/>
    </row>
    <row r="2801" spans="1:10" x14ac:dyDescent="0.25">
      <c r="A2801" s="106"/>
      <c r="B2801" s="107"/>
      <c r="D2801" s="151"/>
      <c r="E2801" s="142"/>
      <c r="F2801" s="176"/>
      <c r="G2801" s="176"/>
      <c r="H2801" s="176"/>
      <c r="I2801" s="172"/>
      <c r="J2801" s="173"/>
    </row>
    <row r="2802" spans="1:10" x14ac:dyDescent="0.25">
      <c r="A2802" s="106"/>
      <c r="B2802" s="107"/>
      <c r="D2802" s="151"/>
      <c r="E2802" s="142"/>
      <c r="F2802" s="176"/>
      <c r="G2802" s="176"/>
      <c r="H2802" s="176"/>
      <c r="I2802" s="172"/>
      <c r="J2802" s="173"/>
    </row>
    <row r="2803" spans="1:10" x14ac:dyDescent="0.25">
      <c r="A2803" s="106"/>
      <c r="B2803" s="107"/>
      <c r="D2803" s="151"/>
      <c r="E2803" s="142"/>
      <c r="F2803" s="176"/>
      <c r="G2803" s="176"/>
      <c r="H2803" s="176"/>
      <c r="I2803" s="172"/>
      <c r="J2803" s="173"/>
    </row>
    <row r="2804" spans="1:10" x14ac:dyDescent="0.25">
      <c r="A2804" s="106"/>
      <c r="B2804" s="107"/>
      <c r="D2804" s="151"/>
      <c r="E2804" s="142"/>
      <c r="F2804" s="176"/>
      <c r="G2804" s="176"/>
      <c r="H2804" s="176"/>
      <c r="I2804" s="172"/>
      <c r="J2804" s="173"/>
    </row>
    <row r="2805" spans="1:10" x14ac:dyDescent="0.25">
      <c r="A2805" s="106"/>
      <c r="B2805" s="107"/>
      <c r="D2805" s="151"/>
      <c r="E2805" s="142"/>
      <c r="F2805" s="176"/>
      <c r="G2805" s="176"/>
      <c r="H2805" s="176"/>
      <c r="I2805" s="172"/>
      <c r="J2805" s="173"/>
    </row>
    <row r="2806" spans="1:10" x14ac:dyDescent="0.25">
      <c r="A2806" s="106"/>
      <c r="B2806" s="107"/>
      <c r="D2806" s="151"/>
      <c r="E2806" s="142"/>
      <c r="F2806" s="176"/>
      <c r="G2806" s="176"/>
      <c r="H2806" s="176"/>
      <c r="I2806" s="172"/>
      <c r="J2806" s="173"/>
    </row>
    <row r="2807" spans="1:10" x14ac:dyDescent="0.25">
      <c r="A2807" s="106"/>
      <c r="B2807" s="107"/>
      <c r="D2807" s="151"/>
      <c r="E2807" s="142"/>
      <c r="F2807" s="176"/>
      <c r="G2807" s="176"/>
      <c r="H2807" s="176"/>
      <c r="I2807" s="172"/>
      <c r="J2807" s="173"/>
    </row>
    <row r="2808" spans="1:10" x14ac:dyDescent="0.25">
      <c r="A2808" s="106"/>
      <c r="B2808" s="107"/>
      <c r="D2808" s="151"/>
      <c r="E2808" s="142"/>
      <c r="F2808" s="176"/>
      <c r="G2808" s="176"/>
      <c r="H2808" s="176"/>
      <c r="I2808" s="172"/>
      <c r="J2808" s="173"/>
    </row>
    <row r="2809" spans="1:10" x14ac:dyDescent="0.25">
      <c r="A2809" s="106"/>
      <c r="B2809" s="107"/>
      <c r="D2809" s="151"/>
      <c r="E2809" s="142"/>
      <c r="F2809" s="176"/>
      <c r="G2809" s="176"/>
      <c r="H2809" s="176"/>
      <c r="I2809" s="172"/>
      <c r="J2809" s="173"/>
    </row>
    <row r="2810" spans="1:10" x14ac:dyDescent="0.25">
      <c r="A2810" s="106"/>
      <c r="B2810" s="107"/>
      <c r="D2810" s="151"/>
      <c r="E2810" s="142"/>
      <c r="F2810" s="176"/>
      <c r="G2810" s="176"/>
      <c r="H2810" s="176"/>
      <c r="I2810" s="172"/>
      <c r="J2810" s="173"/>
    </row>
    <row r="2811" spans="1:10" x14ac:dyDescent="0.25">
      <c r="A2811" s="106"/>
      <c r="B2811" s="107"/>
      <c r="D2811" s="151"/>
      <c r="E2811" s="142"/>
      <c r="F2811" s="176"/>
      <c r="G2811" s="176"/>
      <c r="H2811" s="176"/>
      <c r="I2811" s="172"/>
      <c r="J2811" s="173"/>
    </row>
    <row r="2812" spans="1:10" x14ac:dyDescent="0.25">
      <c r="A2812" s="106"/>
      <c r="B2812" s="107"/>
      <c r="D2812" s="151"/>
      <c r="E2812" s="142"/>
      <c r="F2812" s="176"/>
      <c r="G2812" s="176"/>
      <c r="H2812" s="176"/>
      <c r="I2812" s="172"/>
      <c r="J2812" s="173"/>
    </row>
    <row r="2813" spans="1:10" x14ac:dyDescent="0.25">
      <c r="A2813" s="106"/>
      <c r="B2813" s="107"/>
      <c r="D2813" s="151"/>
      <c r="E2813" s="142"/>
      <c r="F2813" s="176"/>
      <c r="G2813" s="176"/>
      <c r="H2813" s="176"/>
      <c r="I2813" s="172"/>
      <c r="J2813" s="173"/>
    </row>
    <row r="2814" spans="1:10" x14ac:dyDescent="0.25">
      <c r="A2814" s="106"/>
      <c r="B2814" s="107"/>
      <c r="D2814" s="151"/>
      <c r="E2814" s="142"/>
      <c r="F2814" s="176"/>
      <c r="G2814" s="176"/>
      <c r="H2814" s="176"/>
      <c r="I2814" s="172"/>
      <c r="J2814" s="173"/>
    </row>
    <row r="2815" spans="1:10" x14ac:dyDescent="0.25">
      <c r="A2815" s="106"/>
      <c r="B2815" s="107"/>
      <c r="D2815" s="151"/>
      <c r="E2815" s="142"/>
      <c r="F2815" s="176"/>
      <c r="G2815" s="176"/>
      <c r="H2815" s="176"/>
      <c r="I2815" s="172"/>
      <c r="J2815" s="173"/>
    </row>
    <row r="2816" spans="1:10" x14ac:dyDescent="0.25">
      <c r="A2816" s="106"/>
      <c r="B2816" s="107"/>
      <c r="D2816" s="151"/>
      <c r="E2816" s="142"/>
      <c r="F2816" s="176"/>
      <c r="G2816" s="176"/>
      <c r="H2816" s="176"/>
      <c r="I2816" s="172"/>
      <c r="J2816" s="173"/>
    </row>
    <row r="2817" spans="1:10" x14ac:dyDescent="0.25">
      <c r="A2817" s="106"/>
      <c r="B2817" s="107"/>
      <c r="D2817" s="151"/>
      <c r="E2817" s="142"/>
      <c r="F2817" s="176"/>
      <c r="G2817" s="176"/>
      <c r="H2817" s="176"/>
      <c r="I2817" s="172"/>
      <c r="J2817" s="173"/>
    </row>
    <row r="2818" spans="1:10" x14ac:dyDescent="0.25">
      <c r="A2818" s="106"/>
      <c r="B2818" s="107"/>
      <c r="D2818" s="151"/>
      <c r="E2818" s="142"/>
      <c r="F2818" s="176"/>
      <c r="G2818" s="176"/>
      <c r="H2818" s="176"/>
      <c r="I2818" s="172"/>
      <c r="J2818" s="173"/>
    </row>
    <row r="2819" spans="1:10" x14ac:dyDescent="0.25">
      <c r="A2819" s="106"/>
      <c r="B2819" s="107"/>
      <c r="D2819" s="151"/>
      <c r="E2819" s="142"/>
      <c r="F2819" s="176"/>
      <c r="G2819" s="176"/>
      <c r="H2819" s="176"/>
      <c r="I2819" s="172"/>
      <c r="J2819" s="173"/>
    </row>
    <row r="2820" spans="1:10" x14ac:dyDescent="0.25">
      <c r="A2820" s="106"/>
      <c r="B2820" s="107"/>
      <c r="D2820" s="151"/>
      <c r="E2820" s="142"/>
      <c r="F2820" s="176"/>
      <c r="G2820" s="176"/>
      <c r="H2820" s="176"/>
      <c r="I2820" s="172"/>
      <c r="J2820" s="173"/>
    </row>
    <row r="2821" spans="1:10" x14ac:dyDescent="0.25">
      <c r="A2821" s="106"/>
      <c r="B2821" s="107"/>
      <c r="D2821" s="151"/>
      <c r="E2821" s="142"/>
      <c r="F2821" s="176"/>
      <c r="G2821" s="176"/>
      <c r="H2821" s="176"/>
      <c r="I2821" s="172"/>
      <c r="J2821" s="173"/>
    </row>
    <row r="2822" spans="1:10" x14ac:dyDescent="0.25">
      <c r="A2822" s="106"/>
      <c r="B2822" s="107"/>
      <c r="D2822" s="151"/>
      <c r="E2822" s="142"/>
      <c r="F2822" s="176"/>
      <c r="G2822" s="176"/>
      <c r="H2822" s="176"/>
      <c r="I2822" s="172"/>
      <c r="J2822" s="173"/>
    </row>
    <row r="2823" spans="1:10" x14ac:dyDescent="0.25">
      <c r="A2823" s="106"/>
      <c r="B2823" s="107"/>
      <c r="D2823" s="151"/>
      <c r="E2823" s="142"/>
      <c r="F2823" s="176"/>
      <c r="G2823" s="176"/>
      <c r="H2823" s="176"/>
      <c r="I2823" s="172"/>
      <c r="J2823" s="173"/>
    </row>
    <row r="2824" spans="1:10" x14ac:dyDescent="0.25">
      <c r="A2824" s="106"/>
      <c r="B2824" s="107"/>
      <c r="D2824" s="151"/>
      <c r="E2824" s="142"/>
      <c r="F2824" s="176"/>
      <c r="G2824" s="176"/>
      <c r="H2824" s="176"/>
      <c r="I2824" s="172"/>
      <c r="J2824" s="173"/>
    </row>
    <row r="2825" spans="1:10" x14ac:dyDescent="0.25">
      <c r="A2825" s="106"/>
      <c r="B2825" s="107"/>
      <c r="D2825" s="151"/>
      <c r="E2825" s="142"/>
      <c r="F2825" s="176"/>
      <c r="G2825" s="176"/>
      <c r="H2825" s="176"/>
      <c r="I2825" s="172"/>
      <c r="J2825" s="173"/>
    </row>
    <row r="2826" spans="1:10" x14ac:dyDescent="0.25">
      <c r="A2826" s="106"/>
      <c r="B2826" s="107"/>
      <c r="D2826" s="151"/>
      <c r="E2826" s="142"/>
      <c r="F2826" s="176"/>
      <c r="G2826" s="176"/>
      <c r="H2826" s="176"/>
      <c r="I2826" s="172"/>
      <c r="J2826" s="173"/>
    </row>
    <row r="2827" spans="1:10" x14ac:dyDescent="0.25">
      <c r="A2827" s="106"/>
      <c r="B2827" s="107"/>
      <c r="D2827" s="151"/>
      <c r="E2827" s="142"/>
      <c r="F2827" s="176"/>
      <c r="G2827" s="176"/>
      <c r="H2827" s="176"/>
      <c r="I2827" s="172"/>
      <c r="J2827" s="173"/>
    </row>
    <row r="2828" spans="1:10" x14ac:dyDescent="0.25">
      <c r="A2828" s="106"/>
      <c r="B2828" s="107"/>
      <c r="D2828" s="151"/>
      <c r="E2828" s="142"/>
      <c r="F2828" s="176"/>
      <c r="G2828" s="176"/>
      <c r="H2828" s="176"/>
      <c r="I2828" s="172"/>
      <c r="J2828" s="173"/>
    </row>
    <row r="2829" spans="1:10" x14ac:dyDescent="0.25">
      <c r="A2829" s="106"/>
      <c r="B2829" s="107"/>
      <c r="D2829" s="151"/>
      <c r="E2829" s="142"/>
      <c r="F2829" s="176"/>
      <c r="G2829" s="176"/>
      <c r="H2829" s="176"/>
      <c r="I2829" s="172"/>
      <c r="J2829" s="173"/>
    </row>
    <row r="2830" spans="1:10" x14ac:dyDescent="0.25">
      <c r="A2830" s="106"/>
      <c r="B2830" s="107"/>
      <c r="D2830" s="151"/>
      <c r="E2830" s="142"/>
      <c r="F2830" s="176"/>
      <c r="G2830" s="176"/>
      <c r="H2830" s="176"/>
      <c r="I2830" s="172"/>
      <c r="J2830" s="173"/>
    </row>
    <row r="2831" spans="1:10" x14ac:dyDescent="0.25">
      <c r="A2831" s="106"/>
      <c r="B2831" s="107"/>
      <c r="D2831" s="151"/>
      <c r="E2831" s="142"/>
      <c r="F2831" s="176"/>
      <c r="G2831" s="176"/>
      <c r="H2831" s="176"/>
      <c r="I2831" s="172"/>
      <c r="J2831" s="173"/>
    </row>
    <row r="2832" spans="1:10" x14ac:dyDescent="0.25">
      <c r="A2832" s="106"/>
      <c r="B2832" s="107"/>
      <c r="D2832" s="151"/>
      <c r="E2832" s="142"/>
      <c r="F2832" s="176"/>
      <c r="G2832" s="176"/>
      <c r="H2832" s="176"/>
      <c r="I2832" s="172"/>
      <c r="J2832" s="173"/>
    </row>
    <row r="2833" spans="1:10" x14ac:dyDescent="0.25">
      <c r="A2833" s="106"/>
      <c r="B2833" s="107"/>
      <c r="D2833" s="151"/>
      <c r="E2833" s="142"/>
      <c r="F2833" s="176"/>
      <c r="G2833" s="176"/>
      <c r="H2833" s="176"/>
      <c r="I2833" s="172"/>
      <c r="J2833" s="173"/>
    </row>
    <row r="2834" spans="1:10" x14ac:dyDescent="0.25">
      <c r="A2834" s="106"/>
      <c r="B2834" s="107"/>
      <c r="D2834" s="151"/>
      <c r="E2834" s="142"/>
      <c r="F2834" s="176"/>
      <c r="G2834" s="176"/>
      <c r="H2834" s="176"/>
      <c r="I2834" s="172"/>
      <c r="J2834" s="173"/>
    </row>
    <row r="2835" spans="1:10" x14ac:dyDescent="0.25">
      <c r="A2835" s="106"/>
      <c r="B2835" s="107"/>
      <c r="D2835" s="151"/>
      <c r="E2835" s="142"/>
      <c r="F2835" s="176"/>
      <c r="G2835" s="176"/>
      <c r="H2835" s="176"/>
      <c r="I2835" s="172"/>
      <c r="J2835" s="173"/>
    </row>
    <row r="2836" spans="1:10" x14ac:dyDescent="0.25">
      <c r="A2836" s="106"/>
      <c r="B2836" s="107"/>
      <c r="D2836" s="151"/>
      <c r="E2836" s="142"/>
      <c r="F2836" s="176"/>
      <c r="G2836" s="176"/>
      <c r="H2836" s="176"/>
      <c r="I2836" s="172"/>
      <c r="J2836" s="173"/>
    </row>
    <row r="2837" spans="1:10" x14ac:dyDescent="0.25">
      <c r="A2837" s="106"/>
      <c r="B2837" s="107"/>
      <c r="D2837" s="151"/>
      <c r="E2837" s="142"/>
      <c r="F2837" s="176"/>
      <c r="G2837" s="176"/>
      <c r="H2837" s="176"/>
      <c r="I2837" s="172"/>
      <c r="J2837" s="173"/>
    </row>
    <row r="2838" spans="1:10" x14ac:dyDescent="0.25">
      <c r="A2838" s="106"/>
      <c r="B2838" s="107"/>
      <c r="D2838" s="151"/>
      <c r="E2838" s="142"/>
      <c r="F2838" s="176"/>
      <c r="G2838" s="176"/>
      <c r="H2838" s="176"/>
      <c r="I2838" s="172"/>
      <c r="J2838" s="173"/>
    </row>
    <row r="2839" spans="1:10" x14ac:dyDescent="0.25">
      <c r="A2839" s="106"/>
      <c r="B2839" s="107"/>
      <c r="D2839" s="151"/>
      <c r="E2839" s="142"/>
      <c r="F2839" s="176"/>
      <c r="G2839" s="176"/>
      <c r="H2839" s="176"/>
      <c r="I2839" s="172"/>
      <c r="J2839" s="173"/>
    </row>
    <row r="2840" spans="1:10" x14ac:dyDescent="0.25">
      <c r="A2840" s="106"/>
      <c r="B2840" s="107"/>
      <c r="D2840" s="151"/>
      <c r="E2840" s="142"/>
      <c r="F2840" s="176"/>
      <c r="G2840" s="176"/>
      <c r="H2840" s="176"/>
      <c r="I2840" s="172"/>
      <c r="J2840" s="173"/>
    </row>
    <row r="2841" spans="1:10" x14ac:dyDescent="0.25">
      <c r="A2841" s="106"/>
      <c r="B2841" s="107"/>
      <c r="D2841" s="151"/>
      <c r="E2841" s="142"/>
      <c r="F2841" s="176"/>
      <c r="G2841" s="176"/>
      <c r="H2841" s="176"/>
      <c r="I2841" s="172"/>
      <c r="J2841" s="173"/>
    </row>
    <row r="2842" spans="1:10" x14ac:dyDescent="0.25">
      <c r="A2842" s="106"/>
      <c r="B2842" s="107"/>
      <c r="D2842" s="151"/>
      <c r="E2842" s="142"/>
      <c r="F2842" s="176"/>
      <c r="G2842" s="176"/>
      <c r="H2842" s="176"/>
      <c r="I2842" s="172"/>
      <c r="J2842" s="173"/>
    </row>
    <row r="2843" spans="1:10" x14ac:dyDescent="0.25">
      <c r="A2843" s="106"/>
      <c r="B2843" s="107"/>
      <c r="D2843" s="151"/>
      <c r="E2843" s="142"/>
      <c r="F2843" s="176"/>
      <c r="G2843" s="176"/>
      <c r="H2843" s="176"/>
      <c r="I2843" s="172"/>
      <c r="J2843" s="173"/>
    </row>
    <row r="2844" spans="1:10" x14ac:dyDescent="0.25">
      <c r="A2844" s="106"/>
      <c r="B2844" s="107"/>
      <c r="D2844" s="151"/>
      <c r="E2844" s="142"/>
      <c r="F2844" s="176"/>
      <c r="G2844" s="176"/>
      <c r="H2844" s="176"/>
      <c r="I2844" s="172"/>
      <c r="J2844" s="173"/>
    </row>
    <row r="2845" spans="1:10" x14ac:dyDescent="0.25">
      <c r="A2845" s="106"/>
      <c r="B2845" s="107"/>
      <c r="D2845" s="151"/>
      <c r="E2845" s="142"/>
      <c r="F2845" s="176"/>
      <c r="G2845" s="176"/>
      <c r="H2845" s="176"/>
      <c r="I2845" s="172"/>
      <c r="J2845" s="173"/>
    </row>
    <row r="2846" spans="1:10" x14ac:dyDescent="0.25">
      <c r="A2846" s="106"/>
      <c r="B2846" s="107"/>
      <c r="D2846" s="151"/>
      <c r="E2846" s="142"/>
      <c r="F2846" s="176"/>
      <c r="G2846" s="176"/>
      <c r="H2846" s="176"/>
      <c r="I2846" s="172"/>
      <c r="J2846" s="173"/>
    </row>
    <row r="2847" spans="1:10" x14ac:dyDescent="0.25">
      <c r="A2847" s="106"/>
      <c r="B2847" s="107"/>
      <c r="D2847" s="151"/>
      <c r="E2847" s="142"/>
      <c r="F2847" s="176"/>
      <c r="G2847" s="176"/>
      <c r="H2847" s="176"/>
      <c r="I2847" s="172"/>
      <c r="J2847" s="173"/>
    </row>
    <row r="2848" spans="1:10" x14ac:dyDescent="0.25">
      <c r="A2848" s="106"/>
      <c r="B2848" s="107"/>
      <c r="D2848" s="151"/>
      <c r="E2848" s="142"/>
      <c r="F2848" s="176"/>
      <c r="G2848" s="176"/>
      <c r="H2848" s="176"/>
      <c r="I2848" s="172"/>
      <c r="J2848" s="173"/>
    </row>
    <row r="2849" spans="1:10" x14ac:dyDescent="0.25">
      <c r="A2849" s="106"/>
      <c r="B2849" s="107"/>
      <c r="D2849" s="151"/>
      <c r="E2849" s="142"/>
      <c r="F2849" s="176"/>
      <c r="G2849" s="176"/>
      <c r="H2849" s="176"/>
      <c r="I2849" s="172"/>
      <c r="J2849" s="173"/>
    </row>
    <row r="2850" spans="1:10" x14ac:dyDescent="0.25">
      <c r="A2850" s="106"/>
      <c r="B2850" s="107"/>
      <c r="D2850" s="151"/>
      <c r="E2850" s="142"/>
      <c r="F2850" s="176"/>
      <c r="G2850" s="176"/>
      <c r="H2850" s="176"/>
      <c r="I2850" s="172"/>
      <c r="J2850" s="173"/>
    </row>
    <row r="2851" spans="1:10" x14ac:dyDescent="0.25">
      <c r="A2851" s="106"/>
      <c r="B2851" s="107"/>
      <c r="D2851" s="151"/>
      <c r="E2851" s="142"/>
      <c r="F2851" s="176"/>
      <c r="G2851" s="176"/>
      <c r="H2851" s="176"/>
      <c r="I2851" s="172"/>
      <c r="J2851" s="173"/>
    </row>
    <row r="2852" spans="1:10" x14ac:dyDescent="0.25">
      <c r="A2852" s="106"/>
      <c r="B2852" s="107"/>
      <c r="D2852" s="151"/>
      <c r="E2852" s="142"/>
      <c r="F2852" s="176"/>
      <c r="G2852" s="176"/>
      <c r="H2852" s="176"/>
      <c r="I2852" s="172"/>
      <c r="J2852" s="173"/>
    </row>
    <row r="2853" spans="1:10" x14ac:dyDescent="0.25">
      <c r="A2853" s="106"/>
      <c r="B2853" s="107"/>
      <c r="D2853" s="151"/>
      <c r="E2853" s="142"/>
      <c r="F2853" s="176"/>
      <c r="G2853" s="176"/>
      <c r="H2853" s="176"/>
      <c r="I2853" s="172"/>
      <c r="J2853" s="173"/>
    </row>
    <row r="2854" spans="1:10" x14ac:dyDescent="0.25">
      <c r="A2854" s="106"/>
      <c r="B2854" s="107"/>
      <c r="D2854" s="151"/>
      <c r="E2854" s="142"/>
      <c r="F2854" s="176"/>
      <c r="G2854" s="176"/>
      <c r="H2854" s="176"/>
      <c r="I2854" s="172"/>
      <c r="J2854" s="173"/>
    </row>
    <row r="2855" spans="1:10" x14ac:dyDescent="0.25">
      <c r="A2855" s="106"/>
      <c r="B2855" s="107"/>
      <c r="D2855" s="151"/>
      <c r="E2855" s="142"/>
      <c r="F2855" s="176"/>
      <c r="G2855" s="176"/>
      <c r="H2855" s="176"/>
      <c r="I2855" s="172"/>
      <c r="J2855" s="173"/>
    </row>
    <row r="2856" spans="1:10" x14ac:dyDescent="0.25">
      <c r="A2856" s="106"/>
      <c r="B2856" s="107"/>
      <c r="D2856" s="151"/>
      <c r="E2856" s="142"/>
      <c r="F2856" s="176"/>
      <c r="G2856" s="176"/>
      <c r="H2856" s="176"/>
      <c r="I2856" s="172"/>
      <c r="J2856" s="173"/>
    </row>
    <row r="2857" spans="1:10" x14ac:dyDescent="0.25">
      <c r="A2857" s="106"/>
      <c r="B2857" s="107"/>
      <c r="D2857" s="151"/>
      <c r="E2857" s="142"/>
      <c r="F2857" s="176"/>
      <c r="G2857" s="176"/>
      <c r="H2857" s="176"/>
      <c r="I2857" s="172"/>
      <c r="J2857" s="173"/>
    </row>
    <row r="2858" spans="1:10" x14ac:dyDescent="0.25">
      <c r="A2858" s="106"/>
      <c r="B2858" s="107"/>
      <c r="D2858" s="151"/>
      <c r="E2858" s="142"/>
      <c r="F2858" s="176"/>
      <c r="G2858" s="176"/>
      <c r="H2858" s="176"/>
      <c r="I2858" s="172"/>
      <c r="J2858" s="173"/>
    </row>
    <row r="2859" spans="1:10" x14ac:dyDescent="0.25">
      <c r="A2859" s="106"/>
      <c r="B2859" s="107"/>
      <c r="D2859" s="151"/>
      <c r="E2859" s="142"/>
      <c r="F2859" s="176"/>
      <c r="G2859" s="176"/>
      <c r="H2859" s="176"/>
      <c r="I2859" s="172"/>
      <c r="J2859" s="173"/>
    </row>
    <row r="2860" spans="1:10" x14ac:dyDescent="0.25">
      <c r="A2860" s="106"/>
      <c r="B2860" s="107"/>
      <c r="D2860" s="151"/>
      <c r="E2860" s="142"/>
      <c r="F2860" s="176"/>
      <c r="G2860" s="176"/>
      <c r="H2860" s="176"/>
      <c r="I2860" s="172"/>
      <c r="J2860" s="173"/>
    </row>
    <row r="2861" spans="1:10" x14ac:dyDescent="0.25">
      <c r="A2861" s="106"/>
      <c r="B2861" s="107"/>
      <c r="D2861" s="151"/>
      <c r="E2861" s="142"/>
      <c r="F2861" s="176"/>
      <c r="G2861" s="176"/>
      <c r="H2861" s="176"/>
      <c r="I2861" s="172"/>
      <c r="J2861" s="173"/>
    </row>
    <row r="2862" spans="1:10" x14ac:dyDescent="0.25">
      <c r="A2862" s="106"/>
      <c r="B2862" s="107"/>
      <c r="D2862" s="151"/>
      <c r="E2862" s="142"/>
      <c r="F2862" s="176"/>
      <c r="G2862" s="176"/>
      <c r="H2862" s="176"/>
      <c r="I2862" s="172"/>
      <c r="J2862" s="173"/>
    </row>
    <row r="2863" spans="1:10" x14ac:dyDescent="0.25">
      <c r="A2863" s="106"/>
      <c r="B2863" s="107"/>
      <c r="D2863" s="151"/>
      <c r="E2863" s="142"/>
      <c r="F2863" s="176"/>
      <c r="G2863" s="176"/>
      <c r="H2863" s="176"/>
      <c r="I2863" s="172"/>
      <c r="J2863" s="173"/>
    </row>
    <row r="2864" spans="1:10" x14ac:dyDescent="0.25">
      <c r="A2864" s="106"/>
      <c r="B2864" s="107"/>
      <c r="D2864" s="151"/>
      <c r="E2864" s="142"/>
      <c r="F2864" s="176"/>
      <c r="G2864" s="176"/>
      <c r="H2864" s="176"/>
      <c r="I2864" s="172"/>
      <c r="J2864" s="173"/>
    </row>
    <row r="2865" spans="1:10" x14ac:dyDescent="0.25">
      <c r="A2865" s="106"/>
      <c r="B2865" s="107"/>
      <c r="D2865" s="151"/>
      <c r="E2865" s="142"/>
      <c r="F2865" s="176"/>
      <c r="G2865" s="176"/>
      <c r="H2865" s="176"/>
      <c r="I2865" s="172"/>
      <c r="J2865" s="173"/>
    </row>
    <row r="2866" spans="1:10" x14ac:dyDescent="0.25">
      <c r="A2866" s="106"/>
      <c r="B2866" s="107"/>
      <c r="D2866" s="151"/>
      <c r="E2866" s="142"/>
      <c r="F2866" s="176"/>
      <c r="G2866" s="176"/>
      <c r="H2866" s="176"/>
      <c r="I2866" s="172"/>
      <c r="J2866" s="173"/>
    </row>
    <row r="2867" spans="1:10" x14ac:dyDescent="0.25">
      <c r="A2867" s="106"/>
      <c r="B2867" s="107"/>
      <c r="D2867" s="151"/>
      <c r="E2867" s="142"/>
      <c r="F2867" s="176"/>
      <c r="G2867" s="176"/>
      <c r="H2867" s="176"/>
      <c r="I2867" s="172"/>
      <c r="J2867" s="173"/>
    </row>
    <row r="2868" spans="1:10" x14ac:dyDescent="0.25">
      <c r="A2868" s="106"/>
      <c r="B2868" s="107"/>
      <c r="D2868" s="151"/>
      <c r="E2868" s="142"/>
      <c r="F2868" s="176"/>
      <c r="G2868" s="176"/>
      <c r="H2868" s="176"/>
      <c r="I2868" s="172"/>
      <c r="J2868" s="173"/>
    </row>
    <row r="2869" spans="1:10" x14ac:dyDescent="0.25">
      <c r="A2869" s="106"/>
      <c r="B2869" s="107"/>
      <c r="D2869" s="151"/>
      <c r="E2869" s="142"/>
      <c r="F2869" s="176"/>
      <c r="G2869" s="176"/>
      <c r="H2869" s="176"/>
      <c r="I2869" s="172"/>
      <c r="J2869" s="173"/>
    </row>
    <row r="2870" spans="1:10" x14ac:dyDescent="0.25">
      <c r="A2870" s="106"/>
      <c r="B2870" s="107"/>
      <c r="D2870" s="151"/>
      <c r="E2870" s="142"/>
      <c r="F2870" s="176"/>
      <c r="G2870" s="176"/>
      <c r="H2870" s="176"/>
      <c r="I2870" s="172"/>
      <c r="J2870" s="173"/>
    </row>
    <row r="2871" spans="1:10" x14ac:dyDescent="0.25">
      <c r="A2871" s="106"/>
      <c r="B2871" s="107"/>
      <c r="D2871" s="151"/>
      <c r="E2871" s="142"/>
      <c r="F2871" s="176"/>
      <c r="G2871" s="176"/>
      <c r="H2871" s="176"/>
      <c r="I2871" s="172"/>
      <c r="J2871" s="173"/>
    </row>
    <row r="2872" spans="1:10" x14ac:dyDescent="0.25">
      <c r="A2872" s="106"/>
      <c r="B2872" s="107"/>
      <c r="D2872" s="151"/>
      <c r="E2872" s="142"/>
      <c r="F2872" s="176"/>
      <c r="G2872" s="176"/>
      <c r="H2872" s="176"/>
      <c r="I2872" s="172"/>
      <c r="J2872" s="173"/>
    </row>
    <row r="2873" spans="1:10" x14ac:dyDescent="0.25">
      <c r="A2873" s="106"/>
      <c r="B2873" s="107"/>
      <c r="D2873" s="151"/>
      <c r="E2873" s="142"/>
      <c r="F2873" s="176"/>
      <c r="G2873" s="176"/>
      <c r="H2873" s="176"/>
      <c r="I2873" s="172"/>
      <c r="J2873" s="173"/>
    </row>
    <row r="2874" spans="1:10" x14ac:dyDescent="0.25">
      <c r="A2874" s="106"/>
      <c r="B2874" s="107"/>
      <c r="D2874" s="151"/>
      <c r="E2874" s="142"/>
      <c r="F2874" s="176"/>
      <c r="G2874" s="176"/>
      <c r="H2874" s="176"/>
      <c r="I2874" s="172"/>
      <c r="J2874" s="173"/>
    </row>
    <row r="2875" spans="1:10" x14ac:dyDescent="0.25">
      <c r="A2875" s="106"/>
      <c r="B2875" s="107"/>
      <c r="D2875" s="151"/>
      <c r="E2875" s="142"/>
      <c r="F2875" s="176"/>
      <c r="G2875" s="176"/>
      <c r="H2875" s="176"/>
      <c r="I2875" s="172"/>
      <c r="J2875" s="173"/>
    </row>
    <row r="2876" spans="1:10" x14ac:dyDescent="0.25">
      <c r="A2876" s="106"/>
      <c r="B2876" s="107"/>
      <c r="D2876" s="151"/>
      <c r="E2876" s="142"/>
      <c r="F2876" s="176"/>
      <c r="G2876" s="176"/>
      <c r="H2876" s="176"/>
      <c r="I2876" s="172"/>
      <c r="J2876" s="173"/>
    </row>
    <row r="2877" spans="1:10" x14ac:dyDescent="0.25">
      <c r="A2877" s="106"/>
      <c r="B2877" s="107"/>
      <c r="D2877" s="151"/>
      <c r="E2877" s="142"/>
      <c r="F2877" s="176"/>
      <c r="G2877" s="176"/>
      <c r="H2877" s="176"/>
      <c r="I2877" s="172"/>
      <c r="J2877" s="173"/>
    </row>
    <row r="2878" spans="1:10" x14ac:dyDescent="0.25">
      <c r="A2878" s="106"/>
      <c r="B2878" s="107"/>
      <c r="D2878" s="151"/>
      <c r="E2878" s="142"/>
      <c r="F2878" s="176"/>
      <c r="G2878" s="176"/>
      <c r="H2878" s="176"/>
      <c r="I2878" s="172"/>
      <c r="J2878" s="173"/>
    </row>
    <row r="2879" spans="1:10" x14ac:dyDescent="0.25">
      <c r="A2879" s="106"/>
      <c r="B2879" s="107"/>
      <c r="D2879" s="151"/>
      <c r="E2879" s="142"/>
      <c r="F2879" s="176"/>
      <c r="G2879" s="176"/>
      <c r="H2879" s="176"/>
      <c r="I2879" s="172"/>
      <c r="J2879" s="173"/>
    </row>
    <row r="2880" spans="1:10" x14ac:dyDescent="0.25">
      <c r="A2880" s="106"/>
      <c r="B2880" s="107"/>
      <c r="D2880" s="151"/>
      <c r="E2880" s="142"/>
      <c r="F2880" s="176"/>
      <c r="G2880" s="176"/>
      <c r="H2880" s="176"/>
      <c r="I2880" s="172"/>
      <c r="J2880" s="173"/>
    </row>
    <row r="2881" spans="1:10" x14ac:dyDescent="0.25">
      <c r="A2881" s="106"/>
      <c r="B2881" s="107"/>
      <c r="D2881" s="151"/>
      <c r="E2881" s="142"/>
      <c r="F2881" s="176"/>
      <c r="G2881" s="176"/>
      <c r="H2881" s="176"/>
      <c r="I2881" s="172"/>
      <c r="J2881" s="173"/>
    </row>
    <row r="2882" spans="1:10" x14ac:dyDescent="0.25">
      <c r="A2882" s="106"/>
      <c r="B2882" s="107"/>
      <c r="D2882" s="151"/>
      <c r="E2882" s="142"/>
      <c r="F2882" s="176"/>
      <c r="G2882" s="176"/>
      <c r="H2882" s="176"/>
      <c r="I2882" s="172"/>
      <c r="J2882" s="173"/>
    </row>
    <row r="2883" spans="1:10" x14ac:dyDescent="0.25">
      <c r="A2883" s="106"/>
      <c r="B2883" s="107"/>
      <c r="D2883" s="151"/>
      <c r="E2883" s="142"/>
      <c r="F2883" s="176"/>
      <c r="G2883" s="176"/>
      <c r="H2883" s="176"/>
      <c r="I2883" s="172"/>
      <c r="J2883" s="173"/>
    </row>
    <row r="2884" spans="1:10" x14ac:dyDescent="0.25">
      <c r="A2884" s="106"/>
      <c r="B2884" s="107"/>
      <c r="D2884" s="151"/>
      <c r="E2884" s="142"/>
      <c r="F2884" s="176"/>
      <c r="G2884" s="176"/>
      <c r="H2884" s="176"/>
      <c r="I2884" s="172"/>
      <c r="J2884" s="173"/>
    </row>
    <row r="2885" spans="1:10" x14ac:dyDescent="0.25">
      <c r="A2885" s="106"/>
      <c r="B2885" s="107"/>
      <c r="D2885" s="151"/>
      <c r="E2885" s="142"/>
      <c r="F2885" s="176"/>
      <c r="G2885" s="176"/>
      <c r="H2885" s="176"/>
      <c r="I2885" s="172"/>
      <c r="J2885" s="173"/>
    </row>
    <row r="2886" spans="1:10" x14ac:dyDescent="0.25">
      <c r="A2886" s="106"/>
      <c r="B2886" s="107"/>
      <c r="D2886" s="151"/>
      <c r="E2886" s="142"/>
      <c r="F2886" s="176"/>
      <c r="G2886" s="176"/>
      <c r="H2886" s="176"/>
      <c r="I2886" s="172"/>
      <c r="J2886" s="173"/>
    </row>
    <row r="2887" spans="1:10" x14ac:dyDescent="0.25">
      <c r="A2887" s="106"/>
      <c r="B2887" s="107"/>
      <c r="D2887" s="151"/>
      <c r="E2887" s="142"/>
      <c r="F2887" s="176"/>
      <c r="G2887" s="176"/>
      <c r="H2887" s="176"/>
      <c r="I2887" s="172"/>
      <c r="J2887" s="173"/>
    </row>
    <row r="2888" spans="1:10" x14ac:dyDescent="0.25">
      <c r="A2888" s="106"/>
      <c r="B2888" s="107"/>
      <c r="D2888" s="151"/>
      <c r="E2888" s="142"/>
      <c r="F2888" s="176"/>
      <c r="G2888" s="176"/>
      <c r="H2888" s="176"/>
      <c r="I2888" s="172"/>
      <c r="J2888" s="173"/>
    </row>
    <row r="2889" spans="1:10" x14ac:dyDescent="0.25">
      <c r="A2889" s="106"/>
      <c r="B2889" s="107"/>
      <c r="D2889" s="151"/>
      <c r="E2889" s="142"/>
      <c r="F2889" s="176"/>
      <c r="G2889" s="176"/>
      <c r="H2889" s="176"/>
      <c r="I2889" s="172"/>
      <c r="J2889" s="173"/>
    </row>
    <row r="2890" spans="1:10" x14ac:dyDescent="0.25">
      <c r="A2890" s="106"/>
      <c r="B2890" s="107"/>
      <c r="D2890" s="151"/>
      <c r="E2890" s="142"/>
      <c r="F2890" s="176"/>
      <c r="G2890" s="176"/>
      <c r="H2890" s="176"/>
      <c r="I2890" s="172"/>
      <c r="J2890" s="173"/>
    </row>
    <row r="2891" spans="1:10" x14ac:dyDescent="0.25">
      <c r="A2891" s="106"/>
      <c r="B2891" s="107"/>
      <c r="D2891" s="151"/>
      <c r="E2891" s="142"/>
      <c r="F2891" s="176"/>
      <c r="G2891" s="176"/>
      <c r="H2891" s="176"/>
      <c r="I2891" s="172"/>
      <c r="J2891" s="173"/>
    </row>
    <row r="2892" spans="1:10" x14ac:dyDescent="0.25">
      <c r="A2892" s="106"/>
      <c r="B2892" s="107"/>
      <c r="D2892" s="151"/>
      <c r="E2892" s="142"/>
      <c r="F2892" s="176"/>
      <c r="G2892" s="176"/>
      <c r="H2892" s="176"/>
      <c r="I2892" s="172"/>
      <c r="J2892" s="173"/>
    </row>
    <row r="2893" spans="1:10" x14ac:dyDescent="0.25">
      <c r="A2893" s="106"/>
      <c r="B2893" s="107"/>
      <c r="D2893" s="151"/>
      <c r="E2893" s="142"/>
      <c r="F2893" s="176"/>
      <c r="G2893" s="176"/>
      <c r="H2893" s="176"/>
      <c r="I2893" s="172"/>
      <c r="J2893" s="173"/>
    </row>
    <row r="2894" spans="1:10" x14ac:dyDescent="0.25">
      <c r="A2894" s="106"/>
      <c r="B2894" s="107"/>
      <c r="D2894" s="151"/>
      <c r="E2894" s="142"/>
      <c r="F2894" s="176"/>
      <c r="G2894" s="176"/>
      <c r="H2894" s="176"/>
      <c r="I2894" s="172"/>
      <c r="J2894" s="173"/>
    </row>
    <row r="2895" spans="1:10" x14ac:dyDescent="0.25">
      <c r="A2895" s="106"/>
      <c r="B2895" s="107"/>
      <c r="D2895" s="151"/>
      <c r="E2895" s="142"/>
      <c r="F2895" s="176"/>
      <c r="G2895" s="176"/>
      <c r="H2895" s="176"/>
      <c r="I2895" s="172"/>
      <c r="J2895" s="173"/>
    </row>
    <row r="2896" spans="1:10" x14ac:dyDescent="0.25">
      <c r="A2896" s="106"/>
      <c r="B2896" s="107"/>
      <c r="D2896" s="151"/>
      <c r="E2896" s="142"/>
      <c r="F2896" s="176"/>
      <c r="G2896" s="176"/>
      <c r="H2896" s="176"/>
      <c r="I2896" s="172"/>
      <c r="J2896" s="173"/>
    </row>
    <row r="2897" spans="1:10" x14ac:dyDescent="0.25">
      <c r="A2897" s="106"/>
      <c r="B2897" s="107"/>
      <c r="D2897" s="151"/>
      <c r="E2897" s="142"/>
      <c r="F2897" s="176"/>
      <c r="G2897" s="176"/>
      <c r="H2897" s="176"/>
      <c r="I2897" s="172"/>
      <c r="J2897" s="173"/>
    </row>
    <row r="2898" spans="1:10" x14ac:dyDescent="0.25">
      <c r="A2898" s="106"/>
      <c r="B2898" s="107"/>
      <c r="D2898" s="151"/>
      <c r="E2898" s="142"/>
      <c r="F2898" s="176"/>
      <c r="G2898" s="176"/>
      <c r="H2898" s="176"/>
      <c r="I2898" s="172"/>
      <c r="J2898" s="173"/>
    </row>
    <row r="2899" spans="1:10" x14ac:dyDescent="0.25">
      <c r="A2899" s="106"/>
      <c r="B2899" s="107"/>
      <c r="D2899" s="151"/>
      <c r="E2899" s="142"/>
      <c r="F2899" s="176"/>
      <c r="G2899" s="176"/>
      <c r="H2899" s="176"/>
      <c r="I2899" s="172"/>
      <c r="J2899" s="173"/>
    </row>
    <row r="2900" spans="1:10" x14ac:dyDescent="0.25">
      <c r="A2900" s="106"/>
      <c r="B2900" s="107"/>
      <c r="D2900" s="151"/>
      <c r="E2900" s="142"/>
      <c r="F2900" s="176"/>
      <c r="G2900" s="176"/>
      <c r="H2900" s="176"/>
      <c r="I2900" s="172"/>
      <c r="J2900" s="173"/>
    </row>
    <row r="2901" spans="1:10" x14ac:dyDescent="0.25">
      <c r="A2901" s="106"/>
      <c r="B2901" s="107"/>
      <c r="D2901" s="151"/>
      <c r="E2901" s="142"/>
      <c r="F2901" s="176"/>
      <c r="G2901" s="176"/>
      <c r="H2901" s="176"/>
      <c r="I2901" s="172"/>
      <c r="J2901" s="173"/>
    </row>
    <row r="2902" spans="1:10" x14ac:dyDescent="0.25">
      <c r="A2902" s="106"/>
      <c r="B2902" s="107"/>
      <c r="D2902" s="151"/>
      <c r="E2902" s="142"/>
      <c r="F2902" s="176"/>
      <c r="G2902" s="176"/>
      <c r="H2902" s="176"/>
      <c r="I2902" s="172"/>
      <c r="J2902" s="173"/>
    </row>
    <row r="2903" spans="1:10" x14ac:dyDescent="0.25">
      <c r="A2903" s="106"/>
      <c r="B2903" s="107"/>
      <c r="D2903" s="151"/>
      <c r="E2903" s="142"/>
      <c r="F2903" s="176"/>
      <c r="G2903" s="176"/>
      <c r="H2903" s="176"/>
      <c r="I2903" s="172"/>
      <c r="J2903" s="173"/>
    </row>
    <row r="2904" spans="1:10" x14ac:dyDescent="0.25">
      <c r="A2904" s="106"/>
      <c r="B2904" s="107"/>
      <c r="D2904" s="151"/>
      <c r="E2904" s="142"/>
      <c r="F2904" s="176"/>
      <c r="G2904" s="176"/>
      <c r="H2904" s="176"/>
      <c r="I2904" s="172"/>
      <c r="J2904" s="173"/>
    </row>
    <row r="2905" spans="1:10" x14ac:dyDescent="0.25">
      <c r="A2905" s="106"/>
      <c r="B2905" s="107"/>
      <c r="D2905" s="151"/>
      <c r="E2905" s="142"/>
      <c r="F2905" s="176"/>
      <c r="G2905" s="176"/>
      <c r="H2905" s="176"/>
      <c r="I2905" s="172"/>
      <c r="J2905" s="173"/>
    </row>
    <row r="2906" spans="1:10" x14ac:dyDescent="0.25">
      <c r="A2906" s="106"/>
      <c r="B2906" s="107"/>
      <c r="D2906" s="151"/>
      <c r="E2906" s="142"/>
      <c r="F2906" s="176"/>
      <c r="G2906" s="176"/>
      <c r="H2906" s="176"/>
      <c r="I2906" s="172"/>
      <c r="J2906" s="173"/>
    </row>
    <row r="2907" spans="1:10" x14ac:dyDescent="0.25">
      <c r="A2907" s="106"/>
      <c r="B2907" s="107"/>
      <c r="D2907" s="151"/>
      <c r="E2907" s="142"/>
      <c r="F2907" s="176"/>
      <c r="G2907" s="176"/>
      <c r="H2907" s="176"/>
      <c r="I2907" s="172"/>
      <c r="J2907" s="173"/>
    </row>
    <row r="2908" spans="1:10" x14ac:dyDescent="0.25">
      <c r="A2908" s="106"/>
      <c r="B2908" s="107"/>
      <c r="D2908" s="151"/>
      <c r="E2908" s="142"/>
      <c r="F2908" s="176"/>
      <c r="G2908" s="176"/>
      <c r="H2908" s="176"/>
      <c r="I2908" s="172"/>
      <c r="J2908" s="173"/>
    </row>
    <row r="2909" spans="1:10" x14ac:dyDescent="0.25">
      <c r="A2909" s="106"/>
      <c r="B2909" s="107"/>
      <c r="D2909" s="151"/>
      <c r="E2909" s="142"/>
      <c r="F2909" s="176"/>
      <c r="G2909" s="176"/>
      <c r="H2909" s="176"/>
      <c r="I2909" s="172"/>
      <c r="J2909" s="173"/>
    </row>
    <row r="2910" spans="1:10" x14ac:dyDescent="0.25">
      <c r="A2910" s="106"/>
      <c r="B2910" s="107"/>
      <c r="D2910" s="151"/>
      <c r="E2910" s="142"/>
      <c r="F2910" s="176"/>
      <c r="G2910" s="176"/>
      <c r="H2910" s="176"/>
      <c r="I2910" s="172"/>
      <c r="J2910" s="173"/>
    </row>
    <row r="2911" spans="1:10" x14ac:dyDescent="0.25">
      <c r="A2911" s="106"/>
      <c r="B2911" s="107"/>
      <c r="D2911" s="151"/>
      <c r="E2911" s="142"/>
      <c r="F2911" s="176"/>
      <c r="G2911" s="176"/>
      <c r="H2911" s="176"/>
      <c r="I2911" s="172"/>
      <c r="J2911" s="173"/>
    </row>
    <row r="2912" spans="1:10" x14ac:dyDescent="0.25">
      <c r="A2912" s="106"/>
      <c r="B2912" s="107"/>
      <c r="D2912" s="151"/>
      <c r="E2912" s="142"/>
      <c r="F2912" s="176"/>
      <c r="G2912" s="176"/>
      <c r="H2912" s="176"/>
      <c r="I2912" s="172"/>
      <c r="J2912" s="173"/>
    </row>
    <row r="2913" spans="1:10" x14ac:dyDescent="0.25">
      <c r="A2913" s="106"/>
      <c r="B2913" s="107"/>
      <c r="D2913" s="151"/>
      <c r="E2913" s="142"/>
      <c r="F2913" s="176"/>
      <c r="G2913" s="176"/>
      <c r="H2913" s="176"/>
      <c r="I2913" s="172"/>
      <c r="J2913" s="173"/>
    </row>
    <row r="2914" spans="1:10" x14ac:dyDescent="0.25">
      <c r="A2914" s="106"/>
      <c r="B2914" s="107"/>
      <c r="D2914" s="151"/>
      <c r="E2914" s="142"/>
      <c r="F2914" s="176"/>
      <c r="G2914" s="176"/>
      <c r="H2914" s="176"/>
      <c r="I2914" s="172"/>
      <c r="J2914" s="173"/>
    </row>
    <row r="2915" spans="1:10" x14ac:dyDescent="0.25">
      <c r="A2915" s="106"/>
      <c r="B2915" s="107"/>
      <c r="D2915" s="151"/>
      <c r="E2915" s="142"/>
      <c r="F2915" s="176"/>
      <c r="G2915" s="176"/>
      <c r="H2915" s="176"/>
      <c r="I2915" s="172"/>
      <c r="J2915" s="173"/>
    </row>
    <row r="2916" spans="1:10" x14ac:dyDescent="0.25">
      <c r="A2916" s="106"/>
      <c r="B2916" s="107"/>
      <c r="D2916" s="151"/>
      <c r="E2916" s="142"/>
      <c r="F2916" s="176"/>
      <c r="G2916" s="176"/>
      <c r="H2916" s="176"/>
      <c r="I2916" s="172"/>
      <c r="J2916" s="173"/>
    </row>
    <row r="2917" spans="1:10" x14ac:dyDescent="0.25">
      <c r="A2917" s="106"/>
      <c r="B2917" s="107"/>
      <c r="D2917" s="151"/>
      <c r="E2917" s="142"/>
      <c r="F2917" s="176"/>
      <c r="G2917" s="176"/>
      <c r="H2917" s="176"/>
      <c r="I2917" s="172"/>
      <c r="J2917" s="173"/>
    </row>
    <row r="2918" spans="1:10" x14ac:dyDescent="0.25">
      <c r="A2918" s="106"/>
      <c r="B2918" s="107"/>
      <c r="D2918" s="151"/>
      <c r="E2918" s="142"/>
      <c r="F2918" s="176"/>
      <c r="G2918" s="176"/>
      <c r="H2918" s="176"/>
      <c r="I2918" s="172"/>
      <c r="J2918" s="173"/>
    </row>
    <row r="2919" spans="1:10" x14ac:dyDescent="0.25">
      <c r="A2919" s="106"/>
      <c r="B2919" s="107"/>
      <c r="D2919" s="151"/>
      <c r="E2919" s="142"/>
      <c r="F2919" s="176"/>
      <c r="G2919" s="176"/>
      <c r="H2919" s="176"/>
      <c r="I2919" s="172"/>
      <c r="J2919" s="173"/>
    </row>
    <row r="2920" spans="1:10" x14ac:dyDescent="0.25">
      <c r="A2920" s="106"/>
      <c r="B2920" s="107"/>
      <c r="D2920" s="151"/>
      <c r="E2920" s="142"/>
      <c r="F2920" s="176"/>
      <c r="G2920" s="176"/>
      <c r="H2920" s="176"/>
      <c r="I2920" s="172"/>
      <c r="J2920" s="173"/>
    </row>
    <row r="2921" spans="1:10" x14ac:dyDescent="0.25">
      <c r="A2921" s="106"/>
      <c r="B2921" s="107"/>
      <c r="D2921" s="151"/>
      <c r="E2921" s="142"/>
      <c r="F2921" s="176"/>
      <c r="G2921" s="176"/>
      <c r="H2921" s="176"/>
      <c r="I2921" s="172"/>
      <c r="J2921" s="173"/>
    </row>
    <row r="2922" spans="1:10" x14ac:dyDescent="0.25">
      <c r="A2922" s="106"/>
      <c r="B2922" s="107"/>
      <c r="D2922" s="151"/>
      <c r="E2922" s="142"/>
      <c r="F2922" s="176"/>
      <c r="G2922" s="176"/>
      <c r="H2922" s="176"/>
      <c r="I2922" s="172"/>
      <c r="J2922" s="173"/>
    </row>
    <row r="2923" spans="1:10" x14ac:dyDescent="0.25">
      <c r="A2923" s="106"/>
      <c r="B2923" s="107"/>
      <c r="D2923" s="151"/>
      <c r="E2923" s="142"/>
      <c r="F2923" s="176"/>
      <c r="G2923" s="176"/>
      <c r="H2923" s="176"/>
      <c r="I2923" s="172"/>
      <c r="J2923" s="173"/>
    </row>
    <row r="2924" spans="1:10" x14ac:dyDescent="0.25">
      <c r="A2924" s="106"/>
      <c r="B2924" s="107"/>
      <c r="D2924" s="151"/>
      <c r="E2924" s="142"/>
      <c r="F2924" s="176"/>
      <c r="G2924" s="176"/>
      <c r="H2924" s="176"/>
      <c r="I2924" s="172"/>
      <c r="J2924" s="173"/>
    </row>
    <row r="2925" spans="1:10" x14ac:dyDescent="0.25">
      <c r="A2925" s="106"/>
      <c r="B2925" s="107"/>
      <c r="D2925" s="151"/>
      <c r="E2925" s="142"/>
      <c r="F2925" s="176"/>
      <c r="G2925" s="176"/>
      <c r="H2925" s="176"/>
      <c r="I2925" s="172"/>
      <c r="J2925" s="173"/>
    </row>
    <row r="2926" spans="1:10" x14ac:dyDescent="0.25">
      <c r="A2926" s="106"/>
      <c r="B2926" s="107"/>
      <c r="D2926" s="151"/>
      <c r="E2926" s="142"/>
      <c r="F2926" s="176"/>
      <c r="G2926" s="176"/>
      <c r="H2926" s="176"/>
      <c r="I2926" s="172"/>
      <c r="J2926" s="173"/>
    </row>
    <row r="2927" spans="1:10" x14ac:dyDescent="0.25">
      <c r="A2927" s="106"/>
      <c r="B2927" s="107"/>
      <c r="D2927" s="151"/>
      <c r="E2927" s="142"/>
      <c r="F2927" s="176"/>
      <c r="G2927" s="176"/>
      <c r="H2927" s="176"/>
      <c r="I2927" s="172"/>
      <c r="J2927" s="173"/>
    </row>
    <row r="2928" spans="1:10" x14ac:dyDescent="0.25">
      <c r="A2928" s="106"/>
      <c r="B2928" s="107"/>
      <c r="D2928" s="151"/>
      <c r="E2928" s="142"/>
      <c r="F2928" s="176"/>
      <c r="G2928" s="176"/>
      <c r="H2928" s="176"/>
      <c r="I2928" s="172"/>
      <c r="J2928" s="173"/>
    </row>
    <row r="2929" spans="1:10" x14ac:dyDescent="0.25">
      <c r="A2929" s="106"/>
      <c r="B2929" s="107"/>
      <c r="D2929" s="151"/>
      <c r="E2929" s="142"/>
      <c r="F2929" s="176"/>
      <c r="G2929" s="176"/>
      <c r="H2929" s="176"/>
      <c r="I2929" s="172"/>
      <c r="J2929" s="173"/>
    </row>
    <row r="2930" spans="1:10" x14ac:dyDescent="0.25">
      <c r="A2930" s="106"/>
      <c r="B2930" s="107"/>
      <c r="D2930" s="151"/>
      <c r="E2930" s="142"/>
      <c r="F2930" s="176"/>
      <c r="G2930" s="176"/>
      <c r="H2930" s="176"/>
      <c r="I2930" s="172"/>
      <c r="J2930" s="173"/>
    </row>
    <row r="2931" spans="1:10" x14ac:dyDescent="0.25">
      <c r="A2931" s="106"/>
      <c r="B2931" s="107"/>
      <c r="D2931" s="151"/>
      <c r="E2931" s="142"/>
      <c r="F2931" s="176"/>
      <c r="G2931" s="176"/>
      <c r="H2931" s="176"/>
      <c r="I2931" s="172"/>
      <c r="J2931" s="173"/>
    </row>
    <row r="2932" spans="1:10" x14ac:dyDescent="0.25">
      <c r="A2932" s="106"/>
      <c r="B2932" s="107"/>
      <c r="D2932" s="151"/>
      <c r="E2932" s="142"/>
      <c r="F2932" s="176"/>
      <c r="G2932" s="176"/>
      <c r="H2932" s="176"/>
      <c r="I2932" s="172"/>
      <c r="J2932" s="173"/>
    </row>
    <row r="2933" spans="1:10" x14ac:dyDescent="0.25">
      <c r="A2933" s="106"/>
      <c r="B2933" s="107"/>
      <c r="D2933" s="151"/>
      <c r="E2933" s="142"/>
      <c r="F2933" s="176"/>
      <c r="G2933" s="176"/>
      <c r="H2933" s="176"/>
      <c r="I2933" s="172"/>
      <c r="J2933" s="173"/>
    </row>
    <row r="2934" spans="1:10" x14ac:dyDescent="0.25">
      <c r="A2934" s="106"/>
      <c r="B2934" s="107"/>
      <c r="D2934" s="151"/>
      <c r="E2934" s="142"/>
      <c r="F2934" s="176"/>
      <c r="G2934" s="176"/>
      <c r="H2934" s="176"/>
      <c r="I2934" s="172"/>
      <c r="J2934" s="173"/>
    </row>
    <row r="2935" spans="1:10" x14ac:dyDescent="0.25">
      <c r="A2935" s="106"/>
      <c r="B2935" s="107"/>
      <c r="D2935" s="151"/>
      <c r="E2935" s="142"/>
      <c r="F2935" s="176"/>
      <c r="G2935" s="176"/>
      <c r="H2935" s="176"/>
      <c r="I2935" s="172"/>
      <c r="J2935" s="173"/>
    </row>
    <row r="2936" spans="1:10" x14ac:dyDescent="0.25">
      <c r="A2936" s="106"/>
      <c r="B2936" s="107"/>
      <c r="D2936" s="151"/>
      <c r="E2936" s="142"/>
      <c r="F2936" s="176"/>
      <c r="G2936" s="176"/>
      <c r="H2936" s="176"/>
      <c r="I2936" s="172"/>
      <c r="J2936" s="173"/>
    </row>
    <row r="2937" spans="1:10" x14ac:dyDescent="0.25">
      <c r="A2937" s="106"/>
      <c r="B2937" s="107"/>
      <c r="D2937" s="151"/>
      <c r="E2937" s="142"/>
      <c r="F2937" s="176"/>
      <c r="G2937" s="176"/>
      <c r="H2937" s="176"/>
      <c r="I2937" s="172"/>
      <c r="J2937" s="173"/>
    </row>
    <row r="2938" spans="1:10" x14ac:dyDescent="0.25">
      <c r="A2938" s="106"/>
      <c r="B2938" s="107"/>
      <c r="D2938" s="151"/>
      <c r="E2938" s="142"/>
      <c r="F2938" s="176"/>
      <c r="G2938" s="176"/>
      <c r="H2938" s="176"/>
      <c r="I2938" s="172"/>
      <c r="J2938" s="173"/>
    </row>
    <row r="2939" spans="1:10" x14ac:dyDescent="0.25">
      <c r="A2939" s="106"/>
      <c r="B2939" s="107"/>
      <c r="D2939" s="151"/>
      <c r="E2939" s="142"/>
      <c r="F2939" s="176"/>
      <c r="G2939" s="176"/>
      <c r="H2939" s="176"/>
      <c r="I2939" s="172"/>
      <c r="J2939" s="173"/>
    </row>
    <row r="2940" spans="1:10" x14ac:dyDescent="0.25">
      <c r="A2940" s="106"/>
      <c r="B2940" s="107"/>
      <c r="D2940" s="151"/>
      <c r="E2940" s="142"/>
      <c r="F2940" s="176"/>
      <c r="G2940" s="176"/>
      <c r="H2940" s="176"/>
      <c r="I2940" s="172"/>
      <c r="J2940" s="173"/>
    </row>
    <row r="2941" spans="1:10" x14ac:dyDescent="0.25">
      <c r="A2941" s="106"/>
      <c r="B2941" s="107"/>
      <c r="D2941" s="151"/>
      <c r="E2941" s="142"/>
      <c r="F2941" s="176"/>
      <c r="G2941" s="176"/>
      <c r="H2941" s="176"/>
      <c r="I2941" s="172"/>
      <c r="J2941" s="173"/>
    </row>
    <row r="2942" spans="1:10" x14ac:dyDescent="0.25">
      <c r="A2942" s="106"/>
      <c r="B2942" s="107"/>
      <c r="D2942" s="151"/>
      <c r="E2942" s="142"/>
      <c r="F2942" s="176"/>
      <c r="G2942" s="176"/>
      <c r="H2942" s="176"/>
      <c r="I2942" s="172"/>
      <c r="J2942" s="173"/>
    </row>
    <row r="2943" spans="1:10" x14ac:dyDescent="0.25">
      <c r="A2943" s="106"/>
      <c r="B2943" s="107"/>
      <c r="D2943" s="151"/>
      <c r="E2943" s="142"/>
      <c r="F2943" s="176"/>
      <c r="G2943" s="176"/>
      <c r="H2943" s="176"/>
      <c r="I2943" s="172"/>
      <c r="J2943" s="173"/>
    </row>
    <row r="2944" spans="1:10" x14ac:dyDescent="0.25">
      <c r="A2944" s="106"/>
      <c r="B2944" s="107"/>
      <c r="D2944" s="151"/>
      <c r="E2944" s="142"/>
      <c r="F2944" s="176"/>
      <c r="G2944" s="176"/>
      <c r="H2944" s="176"/>
      <c r="I2944" s="172"/>
      <c r="J2944" s="173"/>
    </row>
    <row r="2945" spans="1:10" x14ac:dyDescent="0.25">
      <c r="A2945" s="106"/>
      <c r="B2945" s="107"/>
      <c r="D2945" s="151"/>
      <c r="E2945" s="142"/>
      <c r="F2945" s="176"/>
      <c r="G2945" s="176"/>
      <c r="H2945" s="176"/>
      <c r="I2945" s="172"/>
      <c r="J2945" s="173"/>
    </row>
    <row r="2946" spans="1:10" x14ac:dyDescent="0.25">
      <c r="A2946" s="106"/>
      <c r="B2946" s="107"/>
      <c r="D2946" s="151"/>
      <c r="E2946" s="142"/>
      <c r="F2946" s="176"/>
      <c r="G2946" s="176"/>
      <c r="H2946" s="176"/>
      <c r="I2946" s="172"/>
      <c r="J2946" s="173"/>
    </row>
    <row r="2947" spans="1:10" x14ac:dyDescent="0.25">
      <c r="A2947" s="106"/>
      <c r="B2947" s="107"/>
      <c r="D2947" s="151"/>
      <c r="E2947" s="142"/>
      <c r="F2947" s="176"/>
      <c r="G2947" s="176"/>
      <c r="H2947" s="176"/>
      <c r="I2947" s="172"/>
      <c r="J2947" s="173"/>
    </row>
    <row r="2948" spans="1:10" x14ac:dyDescent="0.25">
      <c r="A2948" s="106"/>
      <c r="B2948" s="107"/>
      <c r="D2948" s="151"/>
      <c r="E2948" s="142"/>
      <c r="F2948" s="176"/>
      <c r="G2948" s="176"/>
      <c r="H2948" s="176"/>
      <c r="I2948" s="172"/>
      <c r="J2948" s="173"/>
    </row>
    <row r="2949" spans="1:10" x14ac:dyDescent="0.25">
      <c r="A2949" s="106"/>
      <c r="B2949" s="107"/>
      <c r="D2949" s="151"/>
      <c r="E2949" s="142"/>
      <c r="F2949" s="176"/>
      <c r="G2949" s="176"/>
      <c r="H2949" s="176"/>
      <c r="I2949" s="172"/>
      <c r="J2949" s="173"/>
    </row>
    <row r="2950" spans="1:10" x14ac:dyDescent="0.25">
      <c r="A2950" s="106"/>
      <c r="B2950" s="107"/>
      <c r="D2950" s="151"/>
      <c r="E2950" s="142"/>
      <c r="F2950" s="176"/>
      <c r="G2950" s="176"/>
      <c r="H2950" s="176"/>
      <c r="I2950" s="172"/>
      <c r="J2950" s="173"/>
    </row>
    <row r="2951" spans="1:10" x14ac:dyDescent="0.25">
      <c r="A2951" s="106"/>
      <c r="B2951" s="107"/>
      <c r="D2951" s="151"/>
      <c r="E2951" s="142"/>
      <c r="F2951" s="176"/>
      <c r="G2951" s="176"/>
      <c r="H2951" s="176"/>
      <c r="I2951" s="172"/>
      <c r="J2951" s="173"/>
    </row>
    <row r="2952" spans="1:10" x14ac:dyDescent="0.25">
      <c r="A2952" s="106"/>
      <c r="B2952" s="107"/>
      <c r="D2952" s="151"/>
      <c r="E2952" s="142"/>
      <c r="F2952" s="176"/>
      <c r="G2952" s="176"/>
      <c r="H2952" s="176"/>
      <c r="I2952" s="172"/>
      <c r="J2952" s="173"/>
    </row>
    <row r="2953" spans="1:10" x14ac:dyDescent="0.25">
      <c r="A2953" s="106"/>
      <c r="B2953" s="107"/>
      <c r="D2953" s="151"/>
      <c r="E2953" s="142"/>
      <c r="F2953" s="176"/>
      <c r="G2953" s="176"/>
      <c r="H2953" s="176"/>
      <c r="I2953" s="172"/>
      <c r="J2953" s="173"/>
    </row>
    <row r="2954" spans="1:10" x14ac:dyDescent="0.25">
      <c r="A2954" s="106"/>
      <c r="B2954" s="107"/>
      <c r="D2954" s="151"/>
      <c r="E2954" s="142"/>
      <c r="F2954" s="176"/>
      <c r="G2954" s="176"/>
      <c r="H2954" s="176"/>
      <c r="I2954" s="172"/>
      <c r="J2954" s="173"/>
    </row>
    <row r="2955" spans="1:10" x14ac:dyDescent="0.25">
      <c r="A2955" s="106"/>
      <c r="B2955" s="107"/>
      <c r="D2955" s="151"/>
      <c r="E2955" s="142"/>
      <c r="F2955" s="176"/>
      <c r="G2955" s="176"/>
      <c r="H2955" s="176"/>
      <c r="I2955" s="172"/>
      <c r="J2955" s="173"/>
    </row>
    <row r="2956" spans="1:10" x14ac:dyDescent="0.25">
      <c r="A2956" s="106"/>
      <c r="B2956" s="107"/>
      <c r="D2956" s="151"/>
      <c r="E2956" s="142"/>
      <c r="F2956" s="176"/>
      <c r="G2956" s="176"/>
      <c r="H2956" s="176"/>
      <c r="I2956" s="172"/>
      <c r="J2956" s="173"/>
    </row>
    <row r="2957" spans="1:10" x14ac:dyDescent="0.25">
      <c r="A2957" s="106"/>
      <c r="B2957" s="107"/>
      <c r="D2957" s="151"/>
      <c r="E2957" s="142"/>
      <c r="F2957" s="176"/>
      <c r="G2957" s="176"/>
      <c r="H2957" s="176"/>
      <c r="I2957" s="172"/>
      <c r="J2957" s="173"/>
    </row>
    <row r="2958" spans="1:10" x14ac:dyDescent="0.25">
      <c r="A2958" s="106"/>
      <c r="B2958" s="107"/>
      <c r="D2958" s="151"/>
      <c r="E2958" s="142"/>
      <c r="F2958" s="176"/>
      <c r="G2958" s="176"/>
      <c r="H2958" s="176"/>
      <c r="I2958" s="172"/>
      <c r="J2958" s="173"/>
    </row>
    <row r="2959" spans="1:10" x14ac:dyDescent="0.25">
      <c r="A2959" s="106"/>
      <c r="B2959" s="107"/>
      <c r="D2959" s="151"/>
      <c r="E2959" s="142"/>
      <c r="F2959" s="176"/>
      <c r="G2959" s="176"/>
      <c r="H2959" s="176"/>
      <c r="I2959" s="172"/>
      <c r="J2959" s="173"/>
    </row>
    <row r="2960" spans="1:10" x14ac:dyDescent="0.25">
      <c r="A2960" s="106"/>
      <c r="B2960" s="107"/>
      <c r="D2960" s="151"/>
      <c r="E2960" s="142"/>
      <c r="F2960" s="176"/>
      <c r="G2960" s="176"/>
      <c r="H2960" s="176"/>
      <c r="I2960" s="172"/>
      <c r="J2960" s="173"/>
    </row>
    <row r="2961" spans="1:10" x14ac:dyDescent="0.25">
      <c r="A2961" s="106"/>
      <c r="B2961" s="107"/>
      <c r="D2961" s="151"/>
      <c r="E2961" s="142"/>
      <c r="F2961" s="176"/>
      <c r="G2961" s="176"/>
      <c r="H2961" s="176"/>
      <c r="I2961" s="172"/>
      <c r="J2961" s="173"/>
    </row>
    <row r="2962" spans="1:10" x14ac:dyDescent="0.25">
      <c r="A2962" s="106"/>
      <c r="B2962" s="107"/>
      <c r="D2962" s="151"/>
      <c r="E2962" s="142"/>
      <c r="F2962" s="176"/>
      <c r="G2962" s="176"/>
      <c r="H2962" s="176"/>
      <c r="I2962" s="172"/>
      <c r="J2962" s="173"/>
    </row>
    <row r="2963" spans="1:10" x14ac:dyDescent="0.25">
      <c r="A2963" s="106"/>
      <c r="B2963" s="107"/>
      <c r="D2963" s="151"/>
      <c r="E2963" s="142"/>
      <c r="F2963" s="176"/>
      <c r="G2963" s="176"/>
      <c r="H2963" s="176"/>
      <c r="I2963" s="172"/>
      <c r="J2963" s="173"/>
    </row>
    <row r="2964" spans="1:10" x14ac:dyDescent="0.25">
      <c r="A2964" s="106"/>
      <c r="B2964" s="107"/>
      <c r="D2964" s="151"/>
      <c r="E2964" s="142"/>
      <c r="F2964" s="176"/>
      <c r="G2964" s="176"/>
      <c r="H2964" s="176"/>
      <c r="I2964" s="172"/>
      <c r="J2964" s="173"/>
    </row>
    <row r="2965" spans="1:10" x14ac:dyDescent="0.25">
      <c r="A2965" s="106"/>
      <c r="B2965" s="107"/>
      <c r="D2965" s="151"/>
      <c r="E2965" s="142"/>
      <c r="F2965" s="176"/>
      <c r="G2965" s="176"/>
      <c r="H2965" s="176"/>
      <c r="I2965" s="172"/>
      <c r="J2965" s="173"/>
    </row>
    <row r="2966" spans="1:10" x14ac:dyDescent="0.25">
      <c r="A2966" s="106"/>
      <c r="B2966" s="107"/>
      <c r="D2966" s="151"/>
      <c r="E2966" s="142"/>
      <c r="F2966" s="176"/>
      <c r="G2966" s="176"/>
      <c r="H2966" s="176"/>
      <c r="I2966" s="172"/>
      <c r="J2966" s="173"/>
    </row>
    <row r="2967" spans="1:10" x14ac:dyDescent="0.25">
      <c r="A2967" s="106"/>
      <c r="B2967" s="107"/>
      <c r="D2967" s="151"/>
      <c r="E2967" s="142"/>
      <c r="F2967" s="176"/>
      <c r="G2967" s="176"/>
      <c r="H2967" s="176"/>
      <c r="I2967" s="172"/>
      <c r="J2967" s="173"/>
    </row>
    <row r="2968" spans="1:10" x14ac:dyDescent="0.25">
      <c r="A2968" s="106"/>
      <c r="B2968" s="107"/>
      <c r="D2968" s="151"/>
      <c r="E2968" s="142"/>
      <c r="F2968" s="176"/>
      <c r="G2968" s="176"/>
      <c r="H2968" s="176"/>
      <c r="I2968" s="172"/>
      <c r="J2968" s="173"/>
    </row>
    <row r="2969" spans="1:10" x14ac:dyDescent="0.25">
      <c r="A2969" s="106"/>
      <c r="B2969" s="107"/>
      <c r="D2969" s="151"/>
      <c r="E2969" s="142"/>
      <c r="F2969" s="176"/>
      <c r="G2969" s="176"/>
      <c r="H2969" s="176"/>
      <c r="I2969" s="172"/>
      <c r="J2969" s="173"/>
    </row>
    <row r="2970" spans="1:10" x14ac:dyDescent="0.25">
      <c r="A2970" s="106"/>
      <c r="B2970" s="107"/>
      <c r="D2970" s="151"/>
      <c r="E2970" s="142"/>
      <c r="F2970" s="176"/>
      <c r="G2970" s="176"/>
      <c r="H2970" s="176"/>
      <c r="I2970" s="172"/>
      <c r="J2970" s="173"/>
    </row>
    <row r="2971" spans="1:10" x14ac:dyDescent="0.25">
      <c r="A2971" s="106"/>
      <c r="B2971" s="107"/>
      <c r="D2971" s="151"/>
      <c r="E2971" s="142"/>
      <c r="F2971" s="176"/>
      <c r="G2971" s="176"/>
      <c r="H2971" s="176"/>
      <c r="I2971" s="172"/>
      <c r="J2971" s="173"/>
    </row>
    <row r="2972" spans="1:10" x14ac:dyDescent="0.25">
      <c r="A2972" s="106"/>
      <c r="B2972" s="107"/>
      <c r="D2972" s="151"/>
      <c r="E2972" s="142"/>
      <c r="F2972" s="176"/>
      <c r="G2972" s="176"/>
      <c r="H2972" s="176"/>
      <c r="I2972" s="172"/>
      <c r="J2972" s="173"/>
    </row>
    <row r="2973" spans="1:10" x14ac:dyDescent="0.25">
      <c r="A2973" s="106"/>
      <c r="B2973" s="107"/>
      <c r="D2973" s="151"/>
      <c r="E2973" s="142"/>
      <c r="F2973" s="176"/>
      <c r="G2973" s="176"/>
      <c r="H2973" s="176"/>
      <c r="I2973" s="172"/>
      <c r="J2973" s="173"/>
    </row>
    <row r="2974" spans="1:10" x14ac:dyDescent="0.25">
      <c r="A2974" s="106"/>
      <c r="B2974" s="107"/>
      <c r="D2974" s="151"/>
      <c r="E2974" s="142"/>
      <c r="F2974" s="176"/>
      <c r="G2974" s="176"/>
      <c r="H2974" s="176"/>
      <c r="I2974" s="172"/>
      <c r="J2974" s="173"/>
    </row>
    <row r="2975" spans="1:10" x14ac:dyDescent="0.25">
      <c r="A2975" s="106"/>
      <c r="B2975" s="107"/>
      <c r="D2975" s="151"/>
      <c r="E2975" s="142"/>
      <c r="F2975" s="176"/>
      <c r="G2975" s="176"/>
      <c r="H2975" s="176"/>
      <c r="I2975" s="172"/>
      <c r="J2975" s="173"/>
    </row>
    <row r="2976" spans="1:10" x14ac:dyDescent="0.25">
      <c r="A2976" s="106"/>
      <c r="B2976" s="107"/>
      <c r="D2976" s="151"/>
      <c r="E2976" s="142"/>
      <c r="F2976" s="176"/>
      <c r="G2976" s="176"/>
      <c r="H2976" s="176"/>
      <c r="I2976" s="172"/>
      <c r="J2976" s="173"/>
    </row>
    <row r="2977" spans="1:10" x14ac:dyDescent="0.25">
      <c r="A2977" s="106"/>
      <c r="B2977" s="107"/>
      <c r="D2977" s="151"/>
      <c r="E2977" s="142"/>
      <c r="F2977" s="176"/>
      <c r="G2977" s="176"/>
      <c r="H2977" s="176"/>
      <c r="I2977" s="172"/>
      <c r="J2977" s="173"/>
    </row>
    <row r="2978" spans="1:10" x14ac:dyDescent="0.25">
      <c r="A2978" s="106"/>
      <c r="B2978" s="107"/>
      <c r="D2978" s="151"/>
      <c r="E2978" s="142"/>
      <c r="F2978" s="176"/>
      <c r="G2978" s="176"/>
      <c r="H2978" s="176"/>
      <c r="I2978" s="172"/>
      <c r="J2978" s="173"/>
    </row>
    <row r="2979" spans="1:10" x14ac:dyDescent="0.25">
      <c r="A2979" s="106"/>
      <c r="B2979" s="107"/>
      <c r="D2979" s="151"/>
      <c r="E2979" s="142"/>
      <c r="F2979" s="176"/>
      <c r="G2979" s="176"/>
      <c r="H2979" s="176"/>
      <c r="I2979" s="172"/>
      <c r="J2979" s="173"/>
    </row>
    <row r="2980" spans="1:10" x14ac:dyDescent="0.25">
      <c r="A2980" s="106"/>
      <c r="B2980" s="107"/>
      <c r="D2980" s="151"/>
      <c r="E2980" s="142"/>
      <c r="F2980" s="176"/>
      <c r="G2980" s="176"/>
      <c r="H2980" s="176"/>
      <c r="I2980" s="172"/>
      <c r="J2980" s="173"/>
    </row>
    <row r="2981" spans="1:10" x14ac:dyDescent="0.25">
      <c r="A2981" s="106"/>
      <c r="B2981" s="107"/>
      <c r="D2981" s="151"/>
      <c r="E2981" s="142"/>
      <c r="F2981" s="176"/>
      <c r="G2981" s="176"/>
      <c r="H2981" s="176"/>
      <c r="I2981" s="172"/>
      <c r="J2981" s="173"/>
    </row>
    <row r="2982" spans="1:10" x14ac:dyDescent="0.25">
      <c r="A2982" s="106"/>
      <c r="B2982" s="107"/>
      <c r="D2982" s="151"/>
      <c r="E2982" s="142"/>
      <c r="F2982" s="176"/>
      <c r="G2982" s="176"/>
      <c r="H2982" s="176"/>
      <c r="I2982" s="172"/>
      <c r="J2982" s="173"/>
    </row>
    <row r="2983" spans="1:10" x14ac:dyDescent="0.25">
      <c r="A2983" s="106"/>
      <c r="B2983" s="107"/>
      <c r="D2983" s="151"/>
      <c r="E2983" s="142"/>
      <c r="F2983" s="176"/>
      <c r="G2983" s="176"/>
      <c r="H2983" s="176"/>
      <c r="I2983" s="172"/>
      <c r="J2983" s="173"/>
    </row>
    <row r="2984" spans="1:10" x14ac:dyDescent="0.25">
      <c r="A2984" s="106"/>
      <c r="B2984" s="107"/>
      <c r="D2984" s="151"/>
      <c r="E2984" s="142"/>
      <c r="F2984" s="176"/>
      <c r="G2984" s="176"/>
      <c r="H2984" s="176"/>
      <c r="I2984" s="172"/>
      <c r="J2984" s="173"/>
    </row>
    <row r="2985" spans="1:10" x14ac:dyDescent="0.25">
      <c r="A2985" s="106"/>
      <c r="B2985" s="107"/>
      <c r="D2985" s="151"/>
      <c r="E2985" s="142"/>
      <c r="F2985" s="176"/>
      <c r="G2985" s="176"/>
      <c r="H2985" s="176"/>
      <c r="I2985" s="172"/>
      <c r="J2985" s="173"/>
    </row>
    <row r="2986" spans="1:10" x14ac:dyDescent="0.25">
      <c r="A2986" s="106"/>
      <c r="B2986" s="107"/>
      <c r="D2986" s="151"/>
      <c r="E2986" s="142"/>
      <c r="F2986" s="176"/>
      <c r="G2986" s="176"/>
      <c r="H2986" s="176"/>
      <c r="I2986" s="172"/>
      <c r="J2986" s="173"/>
    </row>
    <row r="2987" spans="1:10" x14ac:dyDescent="0.25">
      <c r="A2987" s="106"/>
      <c r="B2987" s="107"/>
      <c r="D2987" s="151"/>
      <c r="E2987" s="142"/>
      <c r="F2987" s="176"/>
      <c r="G2987" s="176"/>
      <c r="H2987" s="176"/>
      <c r="I2987" s="172"/>
      <c r="J2987" s="173"/>
    </row>
    <row r="2988" spans="1:10" x14ac:dyDescent="0.25">
      <c r="A2988" s="106"/>
      <c r="B2988" s="107"/>
      <c r="D2988" s="151"/>
      <c r="E2988" s="142"/>
      <c r="F2988" s="176"/>
      <c r="G2988" s="176"/>
      <c r="H2988" s="176"/>
      <c r="I2988" s="172"/>
      <c r="J2988" s="173"/>
    </row>
    <row r="2989" spans="1:10" x14ac:dyDescent="0.25">
      <c r="A2989" s="106"/>
      <c r="B2989" s="107"/>
      <c r="D2989" s="151"/>
      <c r="E2989" s="142"/>
      <c r="F2989" s="176"/>
      <c r="G2989" s="176"/>
      <c r="H2989" s="176"/>
      <c r="I2989" s="172"/>
      <c r="J2989" s="173"/>
    </row>
    <row r="2990" spans="1:10" x14ac:dyDescent="0.25">
      <c r="A2990" s="106"/>
      <c r="B2990" s="107"/>
      <c r="D2990" s="151"/>
      <c r="E2990" s="142"/>
      <c r="F2990" s="176"/>
      <c r="G2990" s="176"/>
      <c r="H2990" s="176"/>
      <c r="I2990" s="172"/>
      <c r="J2990" s="173"/>
    </row>
    <row r="2991" spans="1:10" x14ac:dyDescent="0.25">
      <c r="A2991" s="106"/>
      <c r="B2991" s="107"/>
      <c r="D2991" s="151"/>
      <c r="E2991" s="142"/>
      <c r="F2991" s="176"/>
      <c r="G2991" s="176"/>
      <c r="H2991" s="176"/>
      <c r="I2991" s="172"/>
      <c r="J2991" s="173"/>
    </row>
    <row r="2992" spans="1:10" x14ac:dyDescent="0.25">
      <c r="A2992" s="106"/>
      <c r="B2992" s="107"/>
      <c r="D2992" s="151"/>
      <c r="E2992" s="142"/>
      <c r="F2992" s="176"/>
      <c r="G2992" s="176"/>
      <c r="H2992" s="176"/>
      <c r="I2992" s="172"/>
      <c r="J2992" s="173"/>
    </row>
    <row r="2993" spans="1:10" x14ac:dyDescent="0.25">
      <c r="A2993" s="106"/>
      <c r="B2993" s="107"/>
      <c r="D2993" s="151"/>
      <c r="E2993" s="142"/>
      <c r="F2993" s="176"/>
      <c r="G2993" s="176"/>
      <c r="H2993" s="176"/>
      <c r="I2993" s="172"/>
      <c r="J2993" s="173"/>
    </row>
    <row r="2994" spans="1:10" x14ac:dyDescent="0.25">
      <c r="A2994" s="106"/>
      <c r="B2994" s="107"/>
      <c r="D2994" s="151"/>
      <c r="E2994" s="142"/>
      <c r="F2994" s="176"/>
      <c r="G2994" s="176"/>
      <c r="H2994" s="176"/>
      <c r="I2994" s="172"/>
      <c r="J2994" s="173"/>
    </row>
    <row r="2995" spans="1:10" x14ac:dyDescent="0.25">
      <c r="A2995" s="106"/>
      <c r="B2995" s="107"/>
      <c r="D2995" s="151"/>
      <c r="E2995" s="142"/>
      <c r="F2995" s="176"/>
      <c r="G2995" s="176"/>
      <c r="H2995" s="176"/>
      <c r="I2995" s="172"/>
      <c r="J2995" s="173"/>
    </row>
    <row r="2996" spans="1:10" x14ac:dyDescent="0.25">
      <c r="A2996" s="106"/>
      <c r="B2996" s="107"/>
      <c r="D2996" s="151"/>
      <c r="E2996" s="142"/>
      <c r="F2996" s="176"/>
      <c r="G2996" s="176"/>
      <c r="H2996" s="176"/>
      <c r="I2996" s="172"/>
      <c r="J2996" s="173"/>
    </row>
    <row r="2997" spans="1:10" x14ac:dyDescent="0.25">
      <c r="A2997" s="106"/>
      <c r="B2997" s="107"/>
      <c r="D2997" s="151"/>
      <c r="E2997" s="142"/>
      <c r="F2997" s="176"/>
      <c r="G2997" s="176"/>
      <c r="H2997" s="176"/>
      <c r="I2997" s="172"/>
      <c r="J2997" s="173"/>
    </row>
    <row r="2998" spans="1:10" x14ac:dyDescent="0.25">
      <c r="A2998" s="106"/>
      <c r="B2998" s="107"/>
      <c r="D2998" s="151"/>
      <c r="E2998" s="142"/>
      <c r="F2998" s="176"/>
      <c r="G2998" s="176"/>
      <c r="H2998" s="176"/>
      <c r="I2998" s="172"/>
      <c r="J2998" s="173"/>
    </row>
    <row r="2999" spans="1:10" x14ac:dyDescent="0.25">
      <c r="A2999" s="106"/>
      <c r="B2999" s="107"/>
      <c r="D2999" s="151"/>
      <c r="E2999" s="142"/>
      <c r="F2999" s="176"/>
      <c r="G2999" s="176"/>
      <c r="H2999" s="176"/>
      <c r="I2999" s="172"/>
      <c r="J2999" s="173"/>
    </row>
    <row r="3000" spans="1:10" x14ac:dyDescent="0.25">
      <c r="A3000" s="106"/>
      <c r="B3000" s="107"/>
      <c r="D3000" s="151"/>
      <c r="E3000" s="142"/>
      <c r="F3000" s="176"/>
      <c r="G3000" s="176"/>
      <c r="H3000" s="176"/>
      <c r="I3000" s="172"/>
      <c r="J3000" s="173"/>
    </row>
    <row r="3001" spans="1:10" x14ac:dyDescent="0.25">
      <c r="A3001" s="106"/>
      <c r="B3001" s="107"/>
      <c r="D3001" s="151"/>
      <c r="E3001" s="142"/>
      <c r="F3001" s="176"/>
      <c r="G3001" s="176"/>
      <c r="H3001" s="176"/>
      <c r="I3001" s="172"/>
      <c r="J3001" s="173"/>
    </row>
    <row r="3002" spans="1:10" x14ac:dyDescent="0.25">
      <c r="A3002" s="106"/>
      <c r="B3002" s="107"/>
      <c r="D3002" s="151"/>
      <c r="E3002" s="142"/>
      <c r="F3002" s="176"/>
      <c r="G3002" s="176"/>
      <c r="H3002" s="176"/>
      <c r="I3002" s="172"/>
      <c r="J3002" s="173"/>
    </row>
    <row r="3003" spans="1:10" x14ac:dyDescent="0.25">
      <c r="A3003" s="106"/>
      <c r="B3003" s="107"/>
      <c r="D3003" s="151"/>
      <c r="E3003" s="142"/>
      <c r="F3003" s="176"/>
      <c r="G3003" s="176"/>
      <c r="H3003" s="176"/>
      <c r="I3003" s="172"/>
      <c r="J3003" s="173"/>
    </row>
    <row r="3004" spans="1:10" x14ac:dyDescent="0.25">
      <c r="A3004" s="106"/>
      <c r="B3004" s="107"/>
      <c r="D3004" s="151"/>
      <c r="E3004" s="142"/>
      <c r="F3004" s="176"/>
      <c r="G3004" s="176"/>
      <c r="H3004" s="176"/>
      <c r="I3004" s="172"/>
      <c r="J3004" s="173"/>
    </row>
    <row r="3005" spans="1:10" x14ac:dyDescent="0.25">
      <c r="A3005" s="106"/>
      <c r="B3005" s="107"/>
      <c r="D3005" s="151"/>
      <c r="E3005" s="142"/>
      <c r="F3005" s="176"/>
      <c r="G3005" s="176"/>
      <c r="H3005" s="176"/>
      <c r="I3005" s="172"/>
      <c r="J3005" s="173"/>
    </row>
    <row r="3006" spans="1:10" x14ac:dyDescent="0.25">
      <c r="A3006" s="106"/>
      <c r="B3006" s="107"/>
      <c r="D3006" s="151"/>
      <c r="E3006" s="142"/>
      <c r="F3006" s="176"/>
      <c r="G3006" s="176"/>
      <c r="H3006" s="176"/>
      <c r="I3006" s="172"/>
      <c r="J3006" s="173"/>
    </row>
    <row r="3007" spans="1:10" x14ac:dyDescent="0.25">
      <c r="A3007" s="106"/>
      <c r="B3007" s="107"/>
      <c r="D3007" s="151"/>
      <c r="E3007" s="142"/>
      <c r="F3007" s="176"/>
      <c r="G3007" s="176"/>
      <c r="H3007" s="176"/>
      <c r="I3007" s="172"/>
      <c r="J3007" s="173"/>
    </row>
    <row r="3008" spans="1:10" x14ac:dyDescent="0.25">
      <c r="A3008" s="106"/>
      <c r="B3008" s="107"/>
      <c r="D3008" s="151"/>
      <c r="E3008" s="142"/>
      <c r="F3008" s="176"/>
      <c r="G3008" s="176"/>
      <c r="H3008" s="176"/>
      <c r="I3008" s="172"/>
      <c r="J3008" s="173"/>
    </row>
    <row r="3009" spans="1:10" x14ac:dyDescent="0.25">
      <c r="A3009" s="106"/>
      <c r="B3009" s="107"/>
      <c r="D3009" s="151"/>
      <c r="E3009" s="142"/>
      <c r="F3009" s="176"/>
      <c r="G3009" s="176"/>
      <c r="H3009" s="176"/>
      <c r="I3009" s="172"/>
      <c r="J3009" s="173"/>
    </row>
    <row r="3010" spans="1:10" x14ac:dyDescent="0.25">
      <c r="A3010" s="106"/>
      <c r="B3010" s="107"/>
      <c r="D3010" s="151"/>
      <c r="E3010" s="142"/>
      <c r="F3010" s="176"/>
      <c r="G3010" s="176"/>
      <c r="H3010" s="176"/>
      <c r="I3010" s="172"/>
      <c r="J3010" s="173"/>
    </row>
    <row r="3011" spans="1:10" x14ac:dyDescent="0.25">
      <c r="A3011" s="106"/>
      <c r="B3011" s="107"/>
      <c r="D3011" s="151"/>
      <c r="E3011" s="142"/>
      <c r="F3011" s="176"/>
      <c r="G3011" s="176"/>
      <c r="H3011" s="176"/>
      <c r="I3011" s="172"/>
      <c r="J3011" s="173"/>
    </row>
    <row r="3012" spans="1:10" x14ac:dyDescent="0.25">
      <c r="A3012" s="106"/>
      <c r="B3012" s="107"/>
      <c r="D3012" s="151"/>
      <c r="E3012" s="142"/>
      <c r="F3012" s="176"/>
      <c r="G3012" s="176"/>
      <c r="H3012" s="176"/>
      <c r="I3012" s="172"/>
      <c r="J3012" s="173"/>
    </row>
    <row r="3013" spans="1:10" x14ac:dyDescent="0.25">
      <c r="A3013" s="106"/>
      <c r="B3013" s="107"/>
      <c r="D3013" s="151"/>
      <c r="E3013" s="142"/>
      <c r="F3013" s="176"/>
      <c r="G3013" s="176"/>
      <c r="H3013" s="176"/>
      <c r="I3013" s="172"/>
      <c r="J3013" s="173"/>
    </row>
    <row r="3014" spans="1:10" x14ac:dyDescent="0.25">
      <c r="A3014" s="106"/>
      <c r="B3014" s="107"/>
      <c r="D3014" s="151"/>
      <c r="E3014" s="142"/>
      <c r="F3014" s="176"/>
      <c r="G3014" s="176"/>
      <c r="H3014" s="176"/>
      <c r="I3014" s="172"/>
      <c r="J3014" s="173"/>
    </row>
    <row r="3015" spans="1:10" x14ac:dyDescent="0.25">
      <c r="A3015" s="106"/>
      <c r="B3015" s="107"/>
      <c r="D3015" s="151"/>
      <c r="E3015" s="142"/>
      <c r="F3015" s="176"/>
      <c r="G3015" s="176"/>
      <c r="H3015" s="176"/>
      <c r="I3015" s="172"/>
      <c r="J3015" s="173"/>
    </row>
    <row r="3016" spans="1:10" x14ac:dyDescent="0.25">
      <c r="A3016" s="106"/>
      <c r="B3016" s="107"/>
      <c r="D3016" s="151"/>
      <c r="E3016" s="142"/>
      <c r="F3016" s="176"/>
      <c r="G3016" s="176"/>
      <c r="H3016" s="176"/>
      <c r="I3016" s="172"/>
      <c r="J3016" s="173"/>
    </row>
    <row r="3017" spans="1:10" x14ac:dyDescent="0.25">
      <c r="A3017" s="106"/>
      <c r="B3017" s="107"/>
      <c r="D3017" s="151"/>
      <c r="E3017" s="142"/>
      <c r="F3017" s="176"/>
      <c r="G3017" s="176"/>
      <c r="H3017" s="176"/>
      <c r="I3017" s="172"/>
      <c r="J3017" s="173"/>
    </row>
    <row r="3018" spans="1:10" x14ac:dyDescent="0.25">
      <c r="A3018" s="106"/>
      <c r="B3018" s="107"/>
      <c r="D3018" s="151"/>
      <c r="E3018" s="142"/>
      <c r="F3018" s="176"/>
      <c r="G3018" s="176"/>
      <c r="H3018" s="176"/>
      <c r="I3018" s="172"/>
      <c r="J3018" s="173"/>
    </row>
    <row r="3019" spans="1:10" x14ac:dyDescent="0.25">
      <c r="A3019" s="106"/>
      <c r="B3019" s="107"/>
      <c r="D3019" s="151"/>
      <c r="E3019" s="142"/>
      <c r="F3019" s="176"/>
      <c r="G3019" s="176"/>
      <c r="H3019" s="176"/>
      <c r="I3019" s="172"/>
      <c r="J3019" s="173"/>
    </row>
    <row r="3020" spans="1:10" x14ac:dyDescent="0.25">
      <c r="A3020" s="106"/>
      <c r="B3020" s="107"/>
      <c r="D3020" s="151"/>
      <c r="E3020" s="142"/>
      <c r="F3020" s="176"/>
      <c r="G3020" s="176"/>
      <c r="H3020" s="176"/>
      <c r="I3020" s="172"/>
      <c r="J3020" s="173"/>
    </row>
    <row r="3021" spans="1:10" x14ac:dyDescent="0.25">
      <c r="A3021" s="106"/>
      <c r="B3021" s="107"/>
      <c r="D3021" s="151"/>
      <c r="E3021" s="142"/>
      <c r="F3021" s="176"/>
      <c r="G3021" s="176"/>
      <c r="H3021" s="176"/>
      <c r="I3021" s="172"/>
      <c r="J3021" s="173"/>
    </row>
    <row r="3022" spans="1:10" x14ac:dyDescent="0.25">
      <c r="A3022" s="106"/>
      <c r="B3022" s="107"/>
      <c r="D3022" s="151"/>
      <c r="E3022" s="142"/>
      <c r="F3022" s="176"/>
      <c r="G3022" s="176"/>
      <c r="H3022" s="176"/>
      <c r="I3022" s="172"/>
      <c r="J3022" s="173"/>
    </row>
    <row r="3023" spans="1:10" x14ac:dyDescent="0.25">
      <c r="A3023" s="106"/>
      <c r="B3023" s="107"/>
      <c r="D3023" s="151"/>
      <c r="E3023" s="142"/>
      <c r="F3023" s="176"/>
      <c r="G3023" s="176"/>
      <c r="H3023" s="176"/>
      <c r="I3023" s="172"/>
      <c r="J3023" s="173"/>
    </row>
    <row r="3024" spans="1:10" x14ac:dyDescent="0.25">
      <c r="A3024" s="106"/>
      <c r="B3024" s="107"/>
      <c r="D3024" s="151"/>
      <c r="E3024" s="142"/>
      <c r="F3024" s="176"/>
      <c r="G3024" s="176"/>
      <c r="H3024" s="176"/>
      <c r="I3024" s="172"/>
      <c r="J3024" s="173"/>
    </row>
    <row r="3025" spans="1:10" x14ac:dyDescent="0.25">
      <c r="A3025" s="106"/>
      <c r="B3025" s="107"/>
      <c r="D3025" s="151"/>
      <c r="E3025" s="142"/>
      <c r="F3025" s="176"/>
      <c r="G3025" s="176"/>
      <c r="H3025" s="176"/>
      <c r="I3025" s="172"/>
      <c r="J3025" s="173"/>
    </row>
    <row r="3026" spans="1:10" x14ac:dyDescent="0.25">
      <c r="A3026" s="106"/>
      <c r="B3026" s="107"/>
      <c r="D3026" s="151"/>
      <c r="E3026" s="142"/>
      <c r="F3026" s="176"/>
      <c r="G3026" s="176"/>
      <c r="H3026" s="176"/>
      <c r="I3026" s="172"/>
      <c r="J3026" s="173"/>
    </row>
    <row r="3027" spans="1:10" x14ac:dyDescent="0.25">
      <c r="A3027" s="106"/>
      <c r="B3027" s="107"/>
      <c r="D3027" s="151"/>
      <c r="E3027" s="142"/>
      <c r="F3027" s="176"/>
      <c r="G3027" s="176"/>
      <c r="H3027" s="176"/>
      <c r="I3027" s="172"/>
      <c r="J3027" s="173"/>
    </row>
    <row r="3028" spans="1:10" x14ac:dyDescent="0.25">
      <c r="A3028" s="106"/>
      <c r="B3028" s="107"/>
      <c r="D3028" s="151"/>
      <c r="E3028" s="142"/>
      <c r="F3028" s="176"/>
      <c r="G3028" s="176"/>
      <c r="H3028" s="176"/>
      <c r="I3028" s="172"/>
      <c r="J3028" s="173"/>
    </row>
    <row r="3029" spans="1:10" x14ac:dyDescent="0.25">
      <c r="A3029" s="106"/>
      <c r="B3029" s="107"/>
      <c r="D3029" s="151"/>
      <c r="E3029" s="142"/>
      <c r="F3029" s="176"/>
      <c r="G3029" s="176"/>
      <c r="H3029" s="176"/>
      <c r="I3029" s="172"/>
      <c r="J3029" s="173"/>
    </row>
    <row r="3030" spans="1:10" x14ac:dyDescent="0.25">
      <c r="A3030" s="106"/>
      <c r="B3030" s="107"/>
      <c r="D3030" s="151"/>
      <c r="E3030" s="142"/>
      <c r="F3030" s="176"/>
      <c r="G3030" s="176"/>
      <c r="H3030" s="176"/>
      <c r="I3030" s="172"/>
      <c r="J3030" s="173"/>
    </row>
    <row r="3031" spans="1:10" x14ac:dyDescent="0.25">
      <c r="A3031" s="106"/>
      <c r="B3031" s="107"/>
      <c r="D3031" s="151"/>
      <c r="E3031" s="142"/>
      <c r="F3031" s="176"/>
      <c r="G3031" s="176"/>
      <c r="H3031" s="176"/>
      <c r="I3031" s="172"/>
      <c r="J3031" s="173"/>
    </row>
    <row r="3032" spans="1:10" x14ac:dyDescent="0.25">
      <c r="A3032" s="106"/>
      <c r="B3032" s="107"/>
      <c r="D3032" s="151"/>
      <c r="E3032" s="142"/>
      <c r="F3032" s="176"/>
      <c r="G3032" s="176"/>
      <c r="H3032" s="176"/>
      <c r="I3032" s="172"/>
      <c r="J3032" s="173"/>
    </row>
    <row r="3033" spans="1:10" x14ac:dyDescent="0.25">
      <c r="A3033" s="106"/>
      <c r="B3033" s="107"/>
      <c r="D3033" s="151"/>
      <c r="E3033" s="142"/>
      <c r="F3033" s="176"/>
      <c r="G3033" s="176"/>
      <c r="H3033" s="176"/>
      <c r="I3033" s="172"/>
      <c r="J3033" s="173"/>
    </row>
    <row r="3034" spans="1:10" x14ac:dyDescent="0.25">
      <c r="A3034" s="106"/>
      <c r="B3034" s="107"/>
      <c r="D3034" s="151"/>
      <c r="E3034" s="142"/>
      <c r="F3034" s="176"/>
      <c r="G3034" s="176"/>
      <c r="H3034" s="176"/>
      <c r="I3034" s="172"/>
      <c r="J3034" s="173"/>
    </row>
    <row r="3035" spans="1:10" x14ac:dyDescent="0.25">
      <c r="A3035" s="106"/>
      <c r="B3035" s="107"/>
      <c r="D3035" s="151"/>
      <c r="E3035" s="142"/>
      <c r="F3035" s="176"/>
      <c r="G3035" s="176"/>
      <c r="H3035" s="176"/>
      <c r="I3035" s="172"/>
      <c r="J3035" s="173"/>
    </row>
    <row r="3036" spans="1:10" x14ac:dyDescent="0.25">
      <c r="A3036" s="106"/>
      <c r="B3036" s="107"/>
      <c r="D3036" s="151"/>
      <c r="E3036" s="142"/>
      <c r="F3036" s="176"/>
      <c r="G3036" s="176"/>
      <c r="H3036" s="176"/>
      <c r="I3036" s="172"/>
      <c r="J3036" s="173"/>
    </row>
    <row r="3037" spans="1:10" x14ac:dyDescent="0.25">
      <c r="A3037" s="106"/>
      <c r="B3037" s="107"/>
      <c r="D3037" s="151"/>
      <c r="E3037" s="142"/>
      <c r="F3037" s="176"/>
      <c r="G3037" s="176"/>
      <c r="H3037" s="176"/>
      <c r="I3037" s="172"/>
      <c r="J3037" s="173"/>
    </row>
    <row r="3038" spans="1:10" x14ac:dyDescent="0.25">
      <c r="A3038" s="106"/>
      <c r="B3038" s="107"/>
      <c r="D3038" s="151"/>
      <c r="E3038" s="142"/>
      <c r="F3038" s="176"/>
      <c r="G3038" s="176"/>
      <c r="H3038" s="176"/>
      <c r="I3038" s="172"/>
      <c r="J3038" s="173"/>
    </row>
    <row r="3039" spans="1:10" x14ac:dyDescent="0.25">
      <c r="A3039" s="106"/>
      <c r="B3039" s="107"/>
      <c r="D3039" s="151"/>
      <c r="E3039" s="142"/>
      <c r="F3039" s="176"/>
      <c r="G3039" s="176"/>
      <c r="H3039" s="176"/>
      <c r="I3039" s="172"/>
      <c r="J3039" s="173"/>
    </row>
    <row r="3040" spans="1:10" x14ac:dyDescent="0.25">
      <c r="A3040" s="106"/>
      <c r="B3040" s="107"/>
      <c r="D3040" s="151"/>
      <c r="E3040" s="142"/>
      <c r="F3040" s="176"/>
      <c r="G3040" s="176"/>
      <c r="H3040" s="176"/>
      <c r="I3040" s="172"/>
      <c r="J3040" s="173"/>
    </row>
    <row r="3041" spans="1:10" x14ac:dyDescent="0.25">
      <c r="A3041" s="106"/>
      <c r="B3041" s="107"/>
      <c r="D3041" s="151"/>
      <c r="E3041" s="142"/>
      <c r="F3041" s="176"/>
      <c r="G3041" s="176"/>
      <c r="H3041" s="176"/>
      <c r="I3041" s="172"/>
      <c r="J3041" s="173"/>
    </row>
    <row r="3042" spans="1:10" x14ac:dyDescent="0.25">
      <c r="A3042" s="106"/>
      <c r="B3042" s="107"/>
      <c r="D3042" s="151"/>
      <c r="E3042" s="142"/>
      <c r="F3042" s="176"/>
      <c r="G3042" s="176"/>
      <c r="H3042" s="176"/>
      <c r="I3042" s="172"/>
      <c r="J3042" s="173"/>
    </row>
    <row r="3043" spans="1:10" x14ac:dyDescent="0.25">
      <c r="A3043" s="106"/>
      <c r="B3043" s="107"/>
      <c r="D3043" s="151"/>
      <c r="E3043" s="142"/>
      <c r="F3043" s="176"/>
      <c r="G3043" s="176"/>
      <c r="H3043" s="176"/>
      <c r="I3043" s="172"/>
      <c r="J3043" s="173"/>
    </row>
    <row r="3044" spans="1:10" x14ac:dyDescent="0.25">
      <c r="A3044" s="106"/>
      <c r="B3044" s="107"/>
      <c r="D3044" s="151"/>
      <c r="E3044" s="142"/>
      <c r="F3044" s="176"/>
      <c r="G3044" s="176"/>
      <c r="H3044" s="176"/>
      <c r="I3044" s="172"/>
      <c r="J3044" s="173"/>
    </row>
    <row r="3045" spans="1:10" x14ac:dyDescent="0.25">
      <c r="A3045" s="106"/>
      <c r="B3045" s="107"/>
      <c r="D3045" s="151"/>
      <c r="E3045" s="142"/>
      <c r="F3045" s="176"/>
      <c r="G3045" s="176"/>
      <c r="H3045" s="176"/>
      <c r="I3045" s="172"/>
      <c r="J3045" s="173"/>
    </row>
    <row r="3046" spans="1:10" x14ac:dyDescent="0.25">
      <c r="A3046" s="106"/>
      <c r="B3046" s="107"/>
      <c r="D3046" s="151"/>
      <c r="E3046" s="142"/>
      <c r="F3046" s="176"/>
      <c r="G3046" s="176"/>
      <c r="H3046" s="176"/>
      <c r="I3046" s="172"/>
      <c r="J3046" s="173"/>
    </row>
    <row r="3047" spans="1:10" x14ac:dyDescent="0.25">
      <c r="A3047" s="106"/>
      <c r="B3047" s="107"/>
      <c r="D3047" s="151"/>
      <c r="E3047" s="142"/>
      <c r="F3047" s="176"/>
      <c r="G3047" s="176"/>
      <c r="H3047" s="176"/>
      <c r="I3047" s="172"/>
      <c r="J3047" s="173"/>
    </row>
    <row r="3048" spans="1:10" x14ac:dyDescent="0.25">
      <c r="A3048" s="106"/>
      <c r="B3048" s="107"/>
      <c r="D3048" s="151"/>
      <c r="E3048" s="142"/>
      <c r="F3048" s="176"/>
      <c r="G3048" s="176"/>
      <c r="H3048" s="176"/>
      <c r="I3048" s="172"/>
      <c r="J3048" s="173"/>
    </row>
    <row r="3049" spans="1:10" x14ac:dyDescent="0.25">
      <c r="A3049" s="106"/>
      <c r="B3049" s="107"/>
      <c r="D3049" s="151"/>
      <c r="E3049" s="142"/>
      <c r="F3049" s="176"/>
      <c r="G3049" s="176"/>
      <c r="H3049" s="176"/>
      <c r="I3049" s="172"/>
      <c r="J3049" s="173"/>
    </row>
    <row r="3050" spans="1:10" x14ac:dyDescent="0.25">
      <c r="A3050" s="106"/>
      <c r="B3050" s="107"/>
      <c r="D3050" s="151"/>
      <c r="E3050" s="142"/>
      <c r="F3050" s="176"/>
      <c r="G3050" s="176"/>
      <c r="H3050" s="176"/>
      <c r="I3050" s="172"/>
      <c r="J3050" s="173"/>
    </row>
    <row r="3051" spans="1:10" x14ac:dyDescent="0.25">
      <c r="A3051" s="106"/>
      <c r="B3051" s="107"/>
      <c r="D3051" s="151"/>
      <c r="E3051" s="142"/>
      <c r="F3051" s="176"/>
      <c r="G3051" s="176"/>
      <c r="H3051" s="176"/>
      <c r="I3051" s="172"/>
      <c r="J3051" s="173"/>
    </row>
    <row r="3052" spans="1:10" x14ac:dyDescent="0.25">
      <c r="A3052" s="106"/>
      <c r="B3052" s="107"/>
      <c r="D3052" s="151"/>
      <c r="E3052" s="142"/>
      <c r="F3052" s="176"/>
      <c r="G3052" s="176"/>
      <c r="H3052" s="176"/>
      <c r="I3052" s="172"/>
      <c r="J3052" s="173"/>
    </row>
    <row r="3053" spans="1:10" x14ac:dyDescent="0.25">
      <c r="A3053" s="106"/>
      <c r="B3053" s="107"/>
      <c r="D3053" s="151"/>
      <c r="E3053" s="142"/>
      <c r="F3053" s="176"/>
      <c r="G3053" s="176"/>
      <c r="H3053" s="176"/>
      <c r="I3053" s="172"/>
      <c r="J3053" s="173"/>
    </row>
    <row r="3054" spans="1:10" x14ac:dyDescent="0.25">
      <c r="A3054" s="106"/>
      <c r="B3054" s="107"/>
      <c r="D3054" s="151"/>
      <c r="E3054" s="142"/>
      <c r="F3054" s="176"/>
      <c r="G3054" s="176"/>
      <c r="H3054" s="176"/>
      <c r="I3054" s="172"/>
      <c r="J3054" s="173"/>
    </row>
    <row r="3055" spans="1:10" x14ac:dyDescent="0.25">
      <c r="A3055" s="106"/>
      <c r="B3055" s="107"/>
      <c r="D3055" s="151"/>
      <c r="E3055" s="142"/>
      <c r="F3055" s="176"/>
      <c r="G3055" s="176"/>
      <c r="H3055" s="176"/>
      <c r="I3055" s="172"/>
      <c r="J3055" s="173"/>
    </row>
    <row r="3056" spans="1:10" x14ac:dyDescent="0.25">
      <c r="A3056" s="106"/>
      <c r="B3056" s="107"/>
      <c r="D3056" s="151"/>
      <c r="E3056" s="142"/>
      <c r="F3056" s="176"/>
      <c r="G3056" s="176"/>
      <c r="H3056" s="176"/>
      <c r="I3056" s="172"/>
      <c r="J3056" s="173"/>
    </row>
    <row r="3057" spans="1:10" x14ac:dyDescent="0.25">
      <c r="A3057" s="106"/>
      <c r="B3057" s="107"/>
      <c r="D3057" s="151"/>
      <c r="E3057" s="142"/>
      <c r="F3057" s="176"/>
      <c r="G3057" s="176"/>
      <c r="H3057" s="176"/>
      <c r="I3057" s="172"/>
      <c r="J3057" s="173"/>
    </row>
    <row r="3058" spans="1:10" x14ac:dyDescent="0.25">
      <c r="A3058" s="106"/>
      <c r="B3058" s="107"/>
      <c r="D3058" s="151"/>
      <c r="E3058" s="142"/>
      <c r="F3058" s="176"/>
      <c r="G3058" s="176"/>
      <c r="H3058" s="176"/>
      <c r="I3058" s="172"/>
      <c r="J3058" s="173"/>
    </row>
    <row r="3059" spans="1:10" x14ac:dyDescent="0.25">
      <c r="A3059" s="106"/>
      <c r="B3059" s="107"/>
      <c r="D3059" s="151"/>
      <c r="E3059" s="142"/>
      <c r="F3059" s="176"/>
      <c r="G3059" s="176"/>
      <c r="H3059" s="176"/>
      <c r="I3059" s="172"/>
      <c r="J3059" s="173"/>
    </row>
    <row r="3060" spans="1:10" x14ac:dyDescent="0.25">
      <c r="A3060" s="106"/>
      <c r="B3060" s="107"/>
      <c r="D3060" s="151"/>
      <c r="E3060" s="142"/>
      <c r="F3060" s="176"/>
      <c r="G3060" s="176"/>
      <c r="H3060" s="176"/>
      <c r="I3060" s="172"/>
      <c r="J3060" s="173"/>
    </row>
    <row r="3061" spans="1:10" x14ac:dyDescent="0.25">
      <c r="A3061" s="106"/>
      <c r="B3061" s="107"/>
      <c r="D3061" s="151"/>
      <c r="E3061" s="142"/>
      <c r="F3061" s="176"/>
      <c r="G3061" s="176"/>
      <c r="H3061" s="176"/>
      <c r="I3061" s="172"/>
      <c r="J3061" s="173"/>
    </row>
    <row r="3062" spans="1:10" x14ac:dyDescent="0.25">
      <c r="A3062" s="106"/>
      <c r="B3062" s="107"/>
      <c r="D3062" s="151"/>
      <c r="E3062" s="142"/>
      <c r="F3062" s="176"/>
      <c r="G3062" s="176"/>
      <c r="H3062" s="176"/>
      <c r="I3062" s="172"/>
      <c r="J3062" s="173"/>
    </row>
    <row r="3063" spans="1:10" x14ac:dyDescent="0.25">
      <c r="A3063" s="106"/>
      <c r="B3063" s="107"/>
      <c r="D3063" s="151"/>
      <c r="E3063" s="142"/>
      <c r="F3063" s="176"/>
      <c r="G3063" s="176"/>
      <c r="H3063" s="176"/>
      <c r="I3063" s="172"/>
      <c r="J3063" s="173"/>
    </row>
    <row r="3064" spans="1:10" x14ac:dyDescent="0.25">
      <c r="A3064" s="106"/>
      <c r="B3064" s="107"/>
      <c r="D3064" s="151"/>
      <c r="E3064" s="142"/>
      <c r="F3064" s="176"/>
      <c r="G3064" s="176"/>
      <c r="H3064" s="176"/>
      <c r="I3064" s="172"/>
      <c r="J3064" s="173"/>
    </row>
    <row r="3065" spans="1:10" x14ac:dyDescent="0.25">
      <c r="A3065" s="106"/>
      <c r="B3065" s="107"/>
      <c r="D3065" s="151"/>
      <c r="E3065" s="142"/>
      <c r="F3065" s="176"/>
      <c r="G3065" s="176"/>
      <c r="H3065" s="176"/>
      <c r="I3065" s="172"/>
      <c r="J3065" s="173"/>
    </row>
    <row r="3066" spans="1:10" x14ac:dyDescent="0.25">
      <c r="A3066" s="106"/>
      <c r="B3066" s="107"/>
      <c r="D3066" s="151"/>
      <c r="E3066" s="142"/>
      <c r="F3066" s="176"/>
      <c r="G3066" s="176"/>
      <c r="H3066" s="176"/>
      <c r="I3066" s="172"/>
      <c r="J3066" s="173"/>
    </row>
    <row r="3067" spans="1:10" x14ac:dyDescent="0.25">
      <c r="A3067" s="106"/>
      <c r="B3067" s="107"/>
      <c r="D3067" s="151"/>
      <c r="E3067" s="142"/>
      <c r="F3067" s="176"/>
      <c r="G3067" s="176"/>
      <c r="H3067" s="176"/>
      <c r="I3067" s="172"/>
      <c r="J3067" s="173"/>
    </row>
    <row r="3068" spans="1:10" x14ac:dyDescent="0.25">
      <c r="A3068" s="106"/>
      <c r="B3068" s="107"/>
      <c r="D3068" s="151"/>
      <c r="E3068" s="142"/>
      <c r="F3068" s="176"/>
      <c r="G3068" s="176"/>
      <c r="H3068" s="176"/>
      <c r="I3068" s="172"/>
      <c r="J3068" s="173"/>
    </row>
    <row r="3069" spans="1:10" x14ac:dyDescent="0.25">
      <c r="A3069" s="106"/>
      <c r="B3069" s="107"/>
      <c r="D3069" s="151"/>
      <c r="E3069" s="142"/>
      <c r="F3069" s="176"/>
      <c r="G3069" s="176"/>
      <c r="H3069" s="176"/>
      <c r="I3069" s="172"/>
      <c r="J3069" s="173"/>
    </row>
    <row r="3070" spans="1:10" x14ac:dyDescent="0.25">
      <c r="A3070" s="106"/>
      <c r="B3070" s="107"/>
      <c r="D3070" s="151"/>
      <c r="E3070" s="142"/>
      <c r="F3070" s="176"/>
      <c r="G3070" s="176"/>
      <c r="H3070" s="176"/>
      <c r="I3070" s="172"/>
      <c r="J3070" s="173"/>
    </row>
    <row r="3071" spans="1:10" x14ac:dyDescent="0.25">
      <c r="A3071" s="106"/>
      <c r="B3071" s="107"/>
      <c r="D3071" s="151"/>
      <c r="E3071" s="142"/>
      <c r="F3071" s="176"/>
      <c r="G3071" s="176"/>
      <c r="H3071" s="176"/>
      <c r="I3071" s="172"/>
      <c r="J3071" s="173"/>
    </row>
    <row r="3072" spans="1:10" x14ac:dyDescent="0.25">
      <c r="A3072" s="106"/>
      <c r="B3072" s="107"/>
      <c r="D3072" s="151"/>
      <c r="E3072" s="142"/>
      <c r="F3072" s="176"/>
      <c r="G3072" s="176"/>
      <c r="H3072" s="176"/>
      <c r="I3072" s="172"/>
      <c r="J3072" s="173"/>
    </row>
    <row r="3073" spans="1:10" x14ac:dyDescent="0.25">
      <c r="A3073" s="106"/>
      <c r="B3073" s="107"/>
      <c r="D3073" s="151"/>
      <c r="E3073" s="142"/>
      <c r="F3073" s="176"/>
      <c r="G3073" s="176"/>
      <c r="H3073" s="176"/>
      <c r="I3073" s="172"/>
      <c r="J3073" s="173"/>
    </row>
    <row r="3074" spans="1:10" x14ac:dyDescent="0.25">
      <c r="A3074" s="106"/>
      <c r="B3074" s="107"/>
      <c r="D3074" s="151"/>
      <c r="E3074" s="142"/>
      <c r="F3074" s="176"/>
      <c r="G3074" s="176"/>
      <c r="H3074" s="176"/>
      <c r="I3074" s="172"/>
      <c r="J3074" s="173"/>
    </row>
    <row r="3075" spans="1:10" x14ac:dyDescent="0.25">
      <c r="A3075" s="106"/>
      <c r="B3075" s="107"/>
      <c r="D3075" s="151"/>
      <c r="E3075" s="142"/>
      <c r="F3075" s="176"/>
      <c r="G3075" s="176"/>
      <c r="H3075" s="176"/>
      <c r="I3075" s="172"/>
      <c r="J3075" s="173"/>
    </row>
    <row r="3076" spans="1:10" x14ac:dyDescent="0.25">
      <c r="A3076" s="106"/>
      <c r="B3076" s="107"/>
      <c r="D3076" s="151"/>
      <c r="E3076" s="142"/>
      <c r="F3076" s="176"/>
      <c r="G3076" s="176"/>
      <c r="H3076" s="176"/>
      <c r="I3076" s="172"/>
      <c r="J3076" s="173"/>
    </row>
    <row r="3077" spans="1:10" x14ac:dyDescent="0.25">
      <c r="A3077" s="106"/>
      <c r="B3077" s="107"/>
      <c r="D3077" s="151"/>
      <c r="E3077" s="142"/>
      <c r="F3077" s="176"/>
      <c r="G3077" s="176"/>
      <c r="H3077" s="176"/>
      <c r="I3077" s="172"/>
      <c r="J3077" s="173"/>
    </row>
    <row r="3078" spans="1:10" x14ac:dyDescent="0.25">
      <c r="A3078" s="106"/>
      <c r="B3078" s="107"/>
      <c r="D3078" s="151"/>
      <c r="E3078" s="142"/>
      <c r="F3078" s="176"/>
      <c r="G3078" s="176"/>
      <c r="H3078" s="176"/>
      <c r="I3078" s="172"/>
      <c r="J3078" s="173"/>
    </row>
    <row r="3079" spans="1:10" x14ac:dyDescent="0.25">
      <c r="A3079" s="106"/>
      <c r="B3079" s="107"/>
      <c r="D3079" s="151"/>
      <c r="E3079" s="142"/>
      <c r="F3079" s="176"/>
      <c r="G3079" s="176"/>
      <c r="H3079" s="176"/>
      <c r="I3079" s="172"/>
      <c r="J3079" s="173"/>
    </row>
    <row r="3080" spans="1:10" x14ac:dyDescent="0.25">
      <c r="A3080" s="106"/>
      <c r="B3080" s="107"/>
      <c r="D3080" s="151"/>
      <c r="E3080" s="142"/>
      <c r="F3080" s="176"/>
      <c r="G3080" s="176"/>
      <c r="H3080" s="176"/>
      <c r="I3080" s="172"/>
      <c r="J3080" s="173"/>
    </row>
    <row r="3081" spans="1:10" x14ac:dyDescent="0.25">
      <c r="A3081" s="106"/>
      <c r="B3081" s="107"/>
      <c r="D3081" s="151"/>
      <c r="E3081" s="142"/>
      <c r="F3081" s="176"/>
      <c r="G3081" s="176"/>
      <c r="H3081" s="176"/>
      <c r="I3081" s="172"/>
      <c r="J3081" s="173"/>
    </row>
    <row r="3082" spans="1:10" x14ac:dyDescent="0.25">
      <c r="A3082" s="106"/>
      <c r="B3082" s="107"/>
      <c r="D3082" s="151"/>
      <c r="E3082" s="142"/>
      <c r="F3082" s="176"/>
      <c r="G3082" s="176"/>
      <c r="H3082" s="176"/>
      <c r="I3082" s="172"/>
      <c r="J3082" s="173"/>
    </row>
    <row r="3083" spans="1:10" x14ac:dyDescent="0.25">
      <c r="A3083" s="106"/>
      <c r="B3083" s="107"/>
      <c r="D3083" s="151"/>
      <c r="E3083" s="142"/>
      <c r="F3083" s="176"/>
      <c r="G3083" s="176"/>
      <c r="H3083" s="176"/>
      <c r="I3083" s="172"/>
      <c r="J3083" s="173"/>
    </row>
    <row r="3084" spans="1:10" x14ac:dyDescent="0.25">
      <c r="A3084" s="106"/>
      <c r="B3084" s="107"/>
      <c r="D3084" s="151"/>
      <c r="E3084" s="142"/>
      <c r="F3084" s="176"/>
      <c r="G3084" s="176"/>
      <c r="H3084" s="176"/>
      <c r="I3084" s="172"/>
      <c r="J3084" s="173"/>
    </row>
    <row r="3085" spans="1:10" x14ac:dyDescent="0.25">
      <c r="A3085" s="106"/>
      <c r="B3085" s="107"/>
      <c r="D3085" s="151"/>
      <c r="E3085" s="142"/>
      <c r="F3085" s="176"/>
      <c r="G3085" s="176"/>
      <c r="H3085" s="176"/>
      <c r="I3085" s="172"/>
      <c r="J3085" s="173"/>
    </row>
    <row r="3086" spans="1:10" x14ac:dyDescent="0.25">
      <c r="A3086" s="106"/>
      <c r="B3086" s="107"/>
      <c r="D3086" s="151"/>
      <c r="E3086" s="142"/>
      <c r="F3086" s="176"/>
      <c r="G3086" s="176"/>
      <c r="H3086" s="176"/>
      <c r="I3086" s="172"/>
      <c r="J3086" s="173"/>
    </row>
    <row r="3087" spans="1:10" x14ac:dyDescent="0.25">
      <c r="A3087" s="106"/>
      <c r="B3087" s="107"/>
      <c r="D3087" s="151"/>
      <c r="E3087" s="142"/>
      <c r="F3087" s="176"/>
      <c r="G3087" s="176"/>
      <c r="H3087" s="176"/>
      <c r="I3087" s="172"/>
      <c r="J3087" s="173"/>
    </row>
    <row r="3088" spans="1:10" x14ac:dyDescent="0.25">
      <c r="A3088" s="106"/>
      <c r="B3088" s="107"/>
      <c r="D3088" s="151"/>
      <c r="E3088" s="142"/>
      <c r="F3088" s="176"/>
      <c r="G3088" s="176"/>
      <c r="H3088" s="176"/>
      <c r="I3088" s="172"/>
      <c r="J3088" s="173"/>
    </row>
    <row r="3089" spans="1:10" x14ac:dyDescent="0.25">
      <c r="A3089" s="106"/>
      <c r="B3089" s="107"/>
      <c r="D3089" s="151"/>
      <c r="E3089" s="142"/>
      <c r="F3089" s="176"/>
      <c r="G3089" s="176"/>
      <c r="H3089" s="176"/>
      <c r="I3089" s="172"/>
      <c r="J3089" s="173"/>
    </row>
    <row r="3090" spans="1:10" x14ac:dyDescent="0.25">
      <c r="A3090" s="106"/>
      <c r="B3090" s="107"/>
      <c r="D3090" s="151"/>
      <c r="E3090" s="142"/>
      <c r="F3090" s="176"/>
      <c r="G3090" s="176"/>
      <c r="H3090" s="176"/>
      <c r="I3090" s="172"/>
      <c r="J3090" s="173"/>
    </row>
    <row r="3091" spans="1:10" x14ac:dyDescent="0.25">
      <c r="A3091" s="106"/>
      <c r="B3091" s="107"/>
      <c r="D3091" s="151"/>
      <c r="E3091" s="142"/>
      <c r="F3091" s="176"/>
      <c r="G3091" s="176"/>
      <c r="H3091" s="176"/>
      <c r="I3091" s="172"/>
      <c r="J3091" s="173"/>
    </row>
    <row r="3092" spans="1:10" x14ac:dyDescent="0.25">
      <c r="A3092" s="106"/>
      <c r="B3092" s="107"/>
      <c r="D3092" s="151"/>
      <c r="E3092" s="142"/>
      <c r="F3092" s="176"/>
      <c r="G3092" s="176"/>
      <c r="H3092" s="176"/>
      <c r="I3092" s="172"/>
      <c r="J3092" s="173"/>
    </row>
    <row r="3093" spans="1:10" x14ac:dyDescent="0.25">
      <c r="A3093" s="106"/>
      <c r="B3093" s="107"/>
      <c r="D3093" s="151"/>
      <c r="E3093" s="142"/>
      <c r="F3093" s="176"/>
      <c r="G3093" s="176"/>
      <c r="H3093" s="176"/>
      <c r="I3093" s="172"/>
      <c r="J3093" s="173"/>
    </row>
    <row r="3094" spans="1:10" x14ac:dyDescent="0.25">
      <c r="A3094" s="106"/>
      <c r="B3094" s="107"/>
      <c r="D3094" s="151"/>
      <c r="E3094" s="142"/>
      <c r="F3094" s="176"/>
      <c r="G3094" s="176"/>
      <c r="H3094" s="176"/>
      <c r="I3094" s="172"/>
      <c r="J3094" s="173"/>
    </row>
    <row r="3095" spans="1:10" x14ac:dyDescent="0.25">
      <c r="A3095" s="106"/>
      <c r="B3095" s="107"/>
      <c r="D3095" s="151"/>
      <c r="E3095" s="142"/>
      <c r="F3095" s="176"/>
      <c r="G3095" s="176"/>
      <c r="H3095" s="176"/>
      <c r="I3095" s="172"/>
      <c r="J3095" s="173"/>
    </row>
    <row r="3096" spans="1:10" x14ac:dyDescent="0.25">
      <c r="A3096" s="106"/>
      <c r="B3096" s="107"/>
      <c r="D3096" s="151"/>
      <c r="E3096" s="142"/>
      <c r="F3096" s="176"/>
      <c r="G3096" s="176"/>
      <c r="H3096" s="176"/>
      <c r="I3096" s="172"/>
      <c r="J3096" s="173"/>
    </row>
    <row r="3097" spans="1:10" x14ac:dyDescent="0.25">
      <c r="A3097" s="106"/>
      <c r="B3097" s="107"/>
      <c r="D3097" s="151"/>
      <c r="E3097" s="142"/>
      <c r="F3097" s="176"/>
      <c r="G3097" s="176"/>
      <c r="H3097" s="176"/>
      <c r="I3097" s="172"/>
      <c r="J3097" s="173"/>
    </row>
    <row r="3098" spans="1:10" x14ac:dyDescent="0.25">
      <c r="A3098" s="106"/>
      <c r="B3098" s="107"/>
      <c r="D3098" s="151"/>
      <c r="E3098" s="142"/>
      <c r="F3098" s="176"/>
      <c r="G3098" s="176"/>
      <c r="H3098" s="176"/>
      <c r="I3098" s="172"/>
      <c r="J3098" s="173"/>
    </row>
    <row r="3099" spans="1:10" x14ac:dyDescent="0.25">
      <c r="A3099" s="106"/>
      <c r="B3099" s="107"/>
      <c r="D3099" s="151"/>
      <c r="E3099" s="142"/>
      <c r="F3099" s="176"/>
      <c r="G3099" s="176"/>
      <c r="H3099" s="176"/>
      <c r="I3099" s="172"/>
      <c r="J3099" s="173"/>
    </row>
    <row r="3100" spans="1:10" x14ac:dyDescent="0.25">
      <c r="A3100" s="106"/>
      <c r="B3100" s="107"/>
      <c r="D3100" s="151"/>
      <c r="E3100" s="142"/>
      <c r="F3100" s="176"/>
      <c r="G3100" s="176"/>
      <c r="H3100" s="176"/>
      <c r="I3100" s="172"/>
      <c r="J3100" s="173"/>
    </row>
    <row r="3101" spans="1:10" x14ac:dyDescent="0.25">
      <c r="A3101" s="106"/>
      <c r="B3101" s="107"/>
      <c r="D3101" s="151"/>
      <c r="E3101" s="142"/>
      <c r="F3101" s="176"/>
      <c r="G3101" s="176"/>
      <c r="H3101" s="176"/>
      <c r="I3101" s="172"/>
      <c r="J3101" s="173"/>
    </row>
    <row r="3102" spans="1:10" x14ac:dyDescent="0.25">
      <c r="A3102" s="106"/>
      <c r="B3102" s="107"/>
      <c r="D3102" s="151"/>
      <c r="E3102" s="142"/>
      <c r="F3102" s="176"/>
      <c r="G3102" s="176"/>
      <c r="H3102" s="176"/>
      <c r="I3102" s="172"/>
      <c r="J3102" s="173"/>
    </row>
    <row r="3103" spans="1:10" x14ac:dyDescent="0.25">
      <c r="A3103" s="106"/>
      <c r="B3103" s="107"/>
      <c r="D3103" s="151"/>
      <c r="E3103" s="142"/>
      <c r="F3103" s="176"/>
      <c r="G3103" s="176"/>
      <c r="H3103" s="176"/>
      <c r="I3103" s="172"/>
      <c r="J3103" s="173"/>
    </row>
    <row r="3104" spans="1:10" x14ac:dyDescent="0.25">
      <c r="A3104" s="106"/>
      <c r="B3104" s="107"/>
      <c r="D3104" s="151"/>
      <c r="E3104" s="142"/>
      <c r="F3104" s="176"/>
      <c r="G3104" s="176"/>
      <c r="H3104" s="176"/>
      <c r="I3104" s="172"/>
      <c r="J3104" s="173"/>
    </row>
    <row r="3105" spans="1:10" x14ac:dyDescent="0.25">
      <c r="A3105" s="106"/>
      <c r="B3105" s="107"/>
      <c r="D3105" s="151"/>
      <c r="E3105" s="142"/>
      <c r="F3105" s="176"/>
      <c r="G3105" s="176"/>
      <c r="H3105" s="176"/>
      <c r="I3105" s="172"/>
      <c r="J3105" s="173"/>
    </row>
    <row r="3106" spans="1:10" x14ac:dyDescent="0.25">
      <c r="A3106" s="106"/>
      <c r="B3106" s="107"/>
      <c r="D3106" s="151"/>
      <c r="E3106" s="142"/>
      <c r="F3106" s="176"/>
      <c r="G3106" s="176"/>
      <c r="H3106" s="176"/>
      <c r="I3106" s="172"/>
      <c r="J3106" s="173"/>
    </row>
    <row r="3107" spans="1:10" x14ac:dyDescent="0.25">
      <c r="A3107" s="106"/>
      <c r="B3107" s="107"/>
      <c r="D3107" s="151"/>
      <c r="E3107" s="142"/>
      <c r="F3107" s="176"/>
      <c r="G3107" s="176"/>
      <c r="H3107" s="176"/>
      <c r="I3107" s="172"/>
      <c r="J3107" s="173"/>
    </row>
    <row r="3108" spans="1:10" x14ac:dyDescent="0.25">
      <c r="A3108" s="106"/>
      <c r="B3108" s="107"/>
      <c r="D3108" s="151"/>
      <c r="E3108" s="142"/>
      <c r="F3108" s="176"/>
      <c r="G3108" s="176"/>
      <c r="H3108" s="176"/>
      <c r="I3108" s="172"/>
      <c r="J3108" s="173"/>
    </row>
    <row r="3109" spans="1:10" x14ac:dyDescent="0.25">
      <c r="A3109" s="106"/>
      <c r="B3109" s="107"/>
      <c r="D3109" s="151"/>
      <c r="E3109" s="142"/>
      <c r="F3109" s="176"/>
      <c r="G3109" s="176"/>
      <c r="H3109" s="176"/>
      <c r="I3109" s="172"/>
      <c r="J3109" s="173"/>
    </row>
    <row r="3110" spans="1:10" x14ac:dyDescent="0.25">
      <c r="A3110" s="106"/>
      <c r="B3110" s="107"/>
      <c r="D3110" s="151"/>
      <c r="E3110" s="142"/>
      <c r="F3110" s="176"/>
      <c r="G3110" s="176"/>
      <c r="H3110" s="176"/>
      <c r="I3110" s="172"/>
      <c r="J3110" s="173"/>
    </row>
    <row r="3111" spans="1:10" x14ac:dyDescent="0.25">
      <c r="A3111" s="106"/>
      <c r="B3111" s="107"/>
      <c r="D3111" s="151"/>
      <c r="E3111" s="142"/>
      <c r="F3111" s="176"/>
      <c r="G3111" s="176"/>
      <c r="H3111" s="176"/>
      <c r="I3111" s="172"/>
      <c r="J3111" s="173"/>
    </row>
    <row r="3112" spans="1:10" x14ac:dyDescent="0.25">
      <c r="A3112" s="106"/>
      <c r="B3112" s="107"/>
      <c r="D3112" s="151"/>
      <c r="E3112" s="142"/>
      <c r="F3112" s="176"/>
      <c r="G3112" s="176"/>
      <c r="H3112" s="176"/>
      <c r="I3112" s="172"/>
      <c r="J3112" s="173"/>
    </row>
    <row r="3113" spans="1:10" x14ac:dyDescent="0.25">
      <c r="A3113" s="106"/>
      <c r="B3113" s="107"/>
      <c r="D3113" s="151"/>
      <c r="E3113" s="142"/>
      <c r="F3113" s="176"/>
      <c r="G3113" s="176"/>
      <c r="H3113" s="176"/>
      <c r="I3113" s="172"/>
      <c r="J3113" s="173"/>
    </row>
    <row r="3114" spans="1:10" x14ac:dyDescent="0.25">
      <c r="A3114" s="106"/>
      <c r="B3114" s="107"/>
      <c r="D3114" s="151"/>
      <c r="E3114" s="142"/>
      <c r="F3114" s="176"/>
      <c r="G3114" s="176"/>
      <c r="H3114" s="176"/>
      <c r="I3114" s="172"/>
      <c r="J3114" s="173"/>
    </row>
    <row r="3115" spans="1:10" x14ac:dyDescent="0.25">
      <c r="A3115" s="106"/>
      <c r="B3115" s="107"/>
      <c r="D3115" s="151"/>
      <c r="E3115" s="142"/>
      <c r="F3115" s="176"/>
      <c r="G3115" s="176"/>
      <c r="H3115" s="176"/>
      <c r="I3115" s="172"/>
      <c r="J3115" s="173"/>
    </row>
    <row r="3116" spans="1:10" x14ac:dyDescent="0.25">
      <c r="A3116" s="106"/>
      <c r="B3116" s="107"/>
      <c r="D3116" s="151"/>
      <c r="E3116" s="142"/>
      <c r="F3116" s="176"/>
      <c r="G3116" s="176"/>
      <c r="H3116" s="176"/>
      <c r="I3116" s="172"/>
      <c r="J3116" s="173"/>
    </row>
    <row r="3117" spans="1:10" x14ac:dyDescent="0.25">
      <c r="A3117" s="106"/>
      <c r="B3117" s="107"/>
      <c r="D3117" s="151"/>
      <c r="E3117" s="142"/>
      <c r="F3117" s="176"/>
      <c r="G3117" s="176"/>
      <c r="H3117" s="176"/>
      <c r="I3117" s="172"/>
      <c r="J3117" s="173"/>
    </row>
    <row r="3118" spans="1:10" x14ac:dyDescent="0.25">
      <c r="A3118" s="106"/>
      <c r="B3118" s="107"/>
      <c r="D3118" s="151"/>
      <c r="E3118" s="142"/>
      <c r="F3118" s="176"/>
      <c r="G3118" s="176"/>
      <c r="H3118" s="176"/>
      <c r="I3118" s="172"/>
      <c r="J3118" s="173"/>
    </row>
    <row r="3119" spans="1:10" x14ac:dyDescent="0.25">
      <c r="A3119" s="106"/>
      <c r="B3119" s="107"/>
      <c r="D3119" s="151"/>
      <c r="E3119" s="142"/>
      <c r="F3119" s="176"/>
      <c r="G3119" s="176"/>
      <c r="H3119" s="176"/>
      <c r="I3119" s="172"/>
      <c r="J3119" s="173"/>
    </row>
    <row r="3120" spans="1:10" x14ac:dyDescent="0.25">
      <c r="A3120" s="106"/>
      <c r="B3120" s="107"/>
      <c r="D3120" s="151"/>
      <c r="E3120" s="142"/>
      <c r="F3120" s="176"/>
      <c r="G3120" s="176"/>
      <c r="H3120" s="176"/>
      <c r="I3120" s="172"/>
      <c r="J3120" s="173"/>
    </row>
    <row r="3121" spans="1:10" x14ac:dyDescent="0.25">
      <c r="A3121" s="106"/>
      <c r="B3121" s="107"/>
      <c r="D3121" s="151"/>
      <c r="E3121" s="142"/>
      <c r="F3121" s="176"/>
      <c r="G3121" s="176"/>
      <c r="H3121" s="176"/>
      <c r="I3121" s="172"/>
      <c r="J3121" s="173"/>
    </row>
    <row r="3122" spans="1:10" x14ac:dyDescent="0.25">
      <c r="A3122" s="106"/>
      <c r="B3122" s="107"/>
      <c r="D3122" s="151"/>
      <c r="E3122" s="142"/>
      <c r="F3122" s="176"/>
      <c r="G3122" s="176"/>
      <c r="H3122" s="176"/>
      <c r="I3122" s="172"/>
      <c r="J3122" s="173"/>
    </row>
    <row r="3123" spans="1:10" x14ac:dyDescent="0.25">
      <c r="A3123" s="106"/>
      <c r="B3123" s="107"/>
      <c r="D3123" s="151"/>
      <c r="E3123" s="142"/>
      <c r="F3123" s="176"/>
      <c r="G3123" s="176"/>
      <c r="H3123" s="176"/>
      <c r="I3123" s="172"/>
      <c r="J3123" s="173"/>
    </row>
    <row r="3124" spans="1:10" x14ac:dyDescent="0.25">
      <c r="A3124" s="106"/>
      <c r="B3124" s="107"/>
      <c r="D3124" s="151"/>
      <c r="E3124" s="142"/>
      <c r="F3124" s="176"/>
      <c r="G3124" s="176"/>
      <c r="H3124" s="176"/>
      <c r="I3124" s="172"/>
      <c r="J3124" s="173"/>
    </row>
    <row r="3125" spans="1:10" x14ac:dyDescent="0.25">
      <c r="A3125" s="106"/>
      <c r="B3125" s="107"/>
      <c r="D3125" s="151"/>
      <c r="E3125" s="142"/>
      <c r="F3125" s="176"/>
      <c r="G3125" s="176"/>
      <c r="H3125" s="176"/>
      <c r="I3125" s="172"/>
      <c r="J3125" s="173"/>
    </row>
    <row r="3126" spans="1:10" x14ac:dyDescent="0.25">
      <c r="A3126" s="106"/>
      <c r="B3126" s="107"/>
      <c r="D3126" s="151"/>
      <c r="E3126" s="142"/>
      <c r="F3126" s="176"/>
      <c r="G3126" s="176"/>
      <c r="H3126" s="176"/>
      <c r="I3126" s="172"/>
      <c r="J3126" s="173"/>
    </row>
    <row r="3127" spans="1:10" x14ac:dyDescent="0.25">
      <c r="A3127" s="106"/>
      <c r="B3127" s="107"/>
      <c r="D3127" s="151"/>
      <c r="E3127" s="142"/>
      <c r="F3127" s="176"/>
      <c r="G3127" s="176"/>
      <c r="H3127" s="176"/>
      <c r="I3127" s="172"/>
      <c r="J3127" s="173"/>
    </row>
    <row r="3128" spans="1:10" x14ac:dyDescent="0.25">
      <c r="A3128" s="106"/>
      <c r="B3128" s="107"/>
      <c r="D3128" s="151"/>
      <c r="E3128" s="142"/>
      <c r="F3128" s="176"/>
      <c r="G3128" s="176"/>
      <c r="H3128" s="176"/>
      <c r="I3128" s="172"/>
      <c r="J3128" s="173"/>
    </row>
    <row r="3129" spans="1:10" x14ac:dyDescent="0.25">
      <c r="A3129" s="106"/>
      <c r="B3129" s="107"/>
      <c r="D3129" s="151"/>
      <c r="E3129" s="142"/>
      <c r="F3129" s="176"/>
      <c r="G3129" s="176"/>
      <c r="H3129" s="176"/>
      <c r="I3129" s="172"/>
      <c r="J3129" s="173"/>
    </row>
    <row r="3130" spans="1:10" x14ac:dyDescent="0.25">
      <c r="A3130" s="106"/>
      <c r="B3130" s="107"/>
      <c r="D3130" s="151"/>
      <c r="E3130" s="142"/>
      <c r="F3130" s="176"/>
      <c r="G3130" s="176"/>
      <c r="H3130" s="176"/>
      <c r="I3130" s="172"/>
      <c r="J3130" s="173"/>
    </row>
    <row r="3131" spans="1:10" x14ac:dyDescent="0.25">
      <c r="A3131" s="106"/>
      <c r="B3131" s="107"/>
      <c r="D3131" s="151"/>
      <c r="E3131" s="142"/>
      <c r="F3131" s="176"/>
      <c r="G3131" s="176"/>
      <c r="H3131" s="176"/>
      <c r="I3131" s="172"/>
      <c r="J3131" s="173"/>
    </row>
    <row r="3132" spans="1:10" x14ac:dyDescent="0.25">
      <c r="A3132" s="106"/>
      <c r="B3132" s="107"/>
      <c r="D3132" s="151"/>
      <c r="E3132" s="142"/>
      <c r="F3132" s="176"/>
      <c r="G3132" s="176"/>
      <c r="H3132" s="176"/>
      <c r="I3132" s="172"/>
      <c r="J3132" s="173"/>
    </row>
    <row r="3133" spans="1:10" x14ac:dyDescent="0.25">
      <c r="A3133" s="106"/>
      <c r="B3133" s="107"/>
      <c r="D3133" s="151"/>
      <c r="E3133" s="142"/>
      <c r="F3133" s="176"/>
      <c r="G3133" s="176"/>
      <c r="H3133" s="176"/>
      <c r="I3133" s="172"/>
      <c r="J3133" s="173"/>
    </row>
    <row r="3134" spans="1:10" x14ac:dyDescent="0.25">
      <c r="A3134" s="106"/>
      <c r="B3134" s="107"/>
      <c r="D3134" s="151"/>
      <c r="E3134" s="142"/>
      <c r="F3134" s="176"/>
      <c r="G3134" s="176"/>
      <c r="H3134" s="176"/>
      <c r="I3134" s="172"/>
      <c r="J3134" s="173"/>
    </row>
    <row r="3135" spans="1:10" x14ac:dyDescent="0.25">
      <c r="A3135" s="106"/>
      <c r="B3135" s="107"/>
      <c r="D3135" s="151"/>
      <c r="E3135" s="142"/>
      <c r="F3135" s="176"/>
      <c r="G3135" s="176"/>
      <c r="H3135" s="176"/>
      <c r="I3135" s="172"/>
      <c r="J3135" s="173"/>
    </row>
    <row r="3136" spans="1:10" x14ac:dyDescent="0.25">
      <c r="A3136" s="106"/>
      <c r="B3136" s="107"/>
      <c r="D3136" s="151"/>
      <c r="E3136" s="142"/>
      <c r="F3136" s="176"/>
      <c r="G3136" s="176"/>
      <c r="H3136" s="176"/>
      <c r="I3136" s="172"/>
      <c r="J3136" s="173"/>
    </row>
    <row r="3137" spans="1:10" x14ac:dyDescent="0.25">
      <c r="A3137" s="106"/>
      <c r="B3137" s="107"/>
      <c r="D3137" s="151"/>
      <c r="E3137" s="142"/>
      <c r="F3137" s="176"/>
      <c r="G3137" s="176"/>
      <c r="H3137" s="176"/>
      <c r="I3137" s="172"/>
      <c r="J3137" s="173"/>
    </row>
    <row r="3138" spans="1:10" x14ac:dyDescent="0.25">
      <c r="A3138" s="106"/>
      <c r="B3138" s="107"/>
      <c r="D3138" s="151"/>
      <c r="E3138" s="142"/>
      <c r="F3138" s="176"/>
      <c r="G3138" s="176"/>
      <c r="H3138" s="176"/>
      <c r="I3138" s="172"/>
      <c r="J3138" s="173"/>
    </row>
    <row r="3139" spans="1:10" x14ac:dyDescent="0.25">
      <c r="A3139" s="106"/>
      <c r="B3139" s="107"/>
      <c r="D3139" s="151"/>
      <c r="E3139" s="142"/>
      <c r="F3139" s="176"/>
      <c r="G3139" s="176"/>
      <c r="H3139" s="176"/>
      <c r="I3139" s="172"/>
      <c r="J3139" s="173"/>
    </row>
    <row r="3140" spans="1:10" x14ac:dyDescent="0.25">
      <c r="A3140" s="106"/>
      <c r="B3140" s="107"/>
      <c r="D3140" s="151"/>
      <c r="E3140" s="142"/>
      <c r="F3140" s="176"/>
      <c r="G3140" s="176"/>
      <c r="H3140" s="176"/>
      <c r="I3140" s="172"/>
      <c r="J3140" s="173"/>
    </row>
    <row r="3141" spans="1:10" x14ac:dyDescent="0.25">
      <c r="A3141" s="106"/>
      <c r="B3141" s="107"/>
      <c r="D3141" s="151"/>
      <c r="E3141" s="142"/>
      <c r="F3141" s="176"/>
      <c r="G3141" s="176"/>
      <c r="H3141" s="176"/>
      <c r="I3141" s="172"/>
      <c r="J3141" s="173"/>
    </row>
    <row r="3142" spans="1:10" x14ac:dyDescent="0.25">
      <c r="A3142" s="106"/>
      <c r="B3142" s="107"/>
      <c r="D3142" s="151"/>
      <c r="E3142" s="142"/>
      <c r="F3142" s="176"/>
      <c r="G3142" s="176"/>
      <c r="H3142" s="176"/>
      <c r="I3142" s="172"/>
      <c r="J3142" s="173"/>
    </row>
    <row r="3143" spans="1:10" x14ac:dyDescent="0.25">
      <c r="A3143" s="106"/>
      <c r="B3143" s="107"/>
      <c r="D3143" s="151"/>
      <c r="E3143" s="142"/>
      <c r="F3143" s="176"/>
      <c r="G3143" s="176"/>
      <c r="H3143" s="176"/>
      <c r="I3143" s="172"/>
      <c r="J3143" s="173"/>
    </row>
    <row r="3144" spans="1:10" x14ac:dyDescent="0.25">
      <c r="A3144" s="106"/>
      <c r="B3144" s="107"/>
      <c r="D3144" s="151"/>
      <c r="E3144" s="142"/>
      <c r="F3144" s="176"/>
      <c r="G3144" s="176"/>
      <c r="H3144" s="176"/>
      <c r="I3144" s="172"/>
      <c r="J3144" s="173"/>
    </row>
    <row r="3145" spans="1:10" x14ac:dyDescent="0.25">
      <c r="A3145" s="106"/>
      <c r="B3145" s="107"/>
      <c r="D3145" s="151"/>
      <c r="E3145" s="142"/>
      <c r="F3145" s="176"/>
      <c r="G3145" s="176"/>
      <c r="H3145" s="176"/>
      <c r="I3145" s="172"/>
      <c r="J3145" s="173"/>
    </row>
    <row r="3146" spans="1:10" x14ac:dyDescent="0.25">
      <c r="A3146" s="106"/>
      <c r="B3146" s="107"/>
      <c r="D3146" s="151"/>
      <c r="E3146" s="142"/>
      <c r="F3146" s="176"/>
      <c r="G3146" s="176"/>
      <c r="H3146" s="176"/>
      <c r="I3146" s="172"/>
      <c r="J3146" s="173"/>
    </row>
    <row r="3147" spans="1:10" x14ac:dyDescent="0.25">
      <c r="A3147" s="106"/>
      <c r="B3147" s="107"/>
      <c r="D3147" s="151"/>
      <c r="E3147" s="142"/>
      <c r="F3147" s="176"/>
      <c r="G3147" s="176"/>
      <c r="H3147" s="176"/>
      <c r="I3147" s="172"/>
      <c r="J3147" s="173"/>
    </row>
    <row r="3148" spans="1:10" x14ac:dyDescent="0.25">
      <c r="A3148" s="106"/>
      <c r="B3148" s="107"/>
      <c r="D3148" s="151"/>
      <c r="E3148" s="142"/>
      <c r="F3148" s="176"/>
      <c r="G3148" s="176"/>
      <c r="H3148" s="176"/>
      <c r="I3148" s="172"/>
      <c r="J3148" s="173"/>
    </row>
    <row r="3149" spans="1:10" x14ac:dyDescent="0.25">
      <c r="A3149" s="106"/>
      <c r="B3149" s="107"/>
      <c r="D3149" s="151"/>
      <c r="E3149" s="142"/>
      <c r="F3149" s="176"/>
      <c r="G3149" s="176"/>
      <c r="H3149" s="176"/>
      <c r="I3149" s="172"/>
      <c r="J3149" s="173"/>
    </row>
    <row r="3150" spans="1:10" x14ac:dyDescent="0.25">
      <c r="A3150" s="106"/>
      <c r="B3150" s="107"/>
      <c r="D3150" s="151"/>
      <c r="E3150" s="142"/>
      <c r="F3150" s="176"/>
      <c r="G3150" s="176"/>
      <c r="H3150" s="176"/>
      <c r="I3150" s="172"/>
      <c r="J3150" s="173"/>
    </row>
    <row r="3151" spans="1:10" x14ac:dyDescent="0.25">
      <c r="A3151" s="106"/>
      <c r="B3151" s="107"/>
      <c r="D3151" s="151"/>
      <c r="E3151" s="142"/>
      <c r="F3151" s="176"/>
      <c r="G3151" s="176"/>
      <c r="H3151" s="176"/>
      <c r="I3151" s="172"/>
      <c r="J3151" s="173"/>
    </row>
    <row r="3152" spans="1:10" x14ac:dyDescent="0.25">
      <c r="A3152" s="106"/>
      <c r="B3152" s="107"/>
      <c r="D3152" s="151"/>
      <c r="E3152" s="142"/>
      <c r="F3152" s="176"/>
      <c r="G3152" s="176"/>
      <c r="H3152" s="176"/>
      <c r="I3152" s="172"/>
      <c r="J3152" s="173"/>
    </row>
    <row r="3153" spans="1:10" x14ac:dyDescent="0.25">
      <c r="A3153" s="106"/>
      <c r="B3153" s="107"/>
      <c r="D3153" s="151"/>
      <c r="E3153" s="142"/>
      <c r="F3153" s="176"/>
      <c r="G3153" s="176"/>
      <c r="H3153" s="176"/>
      <c r="I3153" s="172"/>
      <c r="J3153" s="173"/>
    </row>
    <row r="3154" spans="1:10" x14ac:dyDescent="0.25">
      <c r="A3154" s="106"/>
      <c r="B3154" s="107"/>
      <c r="D3154" s="151"/>
      <c r="E3154" s="142"/>
      <c r="F3154" s="176"/>
      <c r="G3154" s="176"/>
      <c r="H3154" s="176"/>
      <c r="I3154" s="172"/>
      <c r="J3154" s="173"/>
    </row>
    <row r="3155" spans="1:10" x14ac:dyDescent="0.25">
      <c r="A3155" s="106"/>
      <c r="B3155" s="107"/>
      <c r="D3155" s="151"/>
      <c r="E3155" s="142"/>
      <c r="F3155" s="176"/>
      <c r="G3155" s="176"/>
      <c r="H3155" s="176"/>
      <c r="I3155" s="172"/>
      <c r="J3155" s="173"/>
    </row>
    <row r="3156" spans="1:10" x14ac:dyDescent="0.25">
      <c r="A3156" s="106"/>
      <c r="B3156" s="107"/>
      <c r="D3156" s="151"/>
      <c r="E3156" s="142"/>
      <c r="F3156" s="176"/>
      <c r="G3156" s="176"/>
      <c r="H3156" s="176"/>
      <c r="I3156" s="172"/>
      <c r="J3156" s="173"/>
    </row>
    <row r="3157" spans="1:10" x14ac:dyDescent="0.25">
      <c r="A3157" s="106"/>
      <c r="B3157" s="107"/>
      <c r="D3157" s="151"/>
      <c r="E3157" s="142"/>
      <c r="F3157" s="176"/>
      <c r="G3157" s="176"/>
      <c r="H3157" s="176"/>
      <c r="I3157" s="172"/>
      <c r="J3157" s="173"/>
    </row>
    <row r="3158" spans="1:10" x14ac:dyDescent="0.25">
      <c r="A3158" s="106"/>
      <c r="B3158" s="107"/>
      <c r="D3158" s="151"/>
      <c r="E3158" s="142"/>
      <c r="F3158" s="176"/>
      <c r="G3158" s="176"/>
      <c r="H3158" s="176"/>
      <c r="I3158" s="172"/>
      <c r="J3158" s="173"/>
    </row>
    <row r="3159" spans="1:10" x14ac:dyDescent="0.25">
      <c r="A3159" s="106"/>
      <c r="B3159" s="107"/>
      <c r="D3159" s="151"/>
      <c r="E3159" s="142"/>
      <c r="F3159" s="176"/>
      <c r="G3159" s="176"/>
      <c r="H3159" s="176"/>
      <c r="I3159" s="172"/>
      <c r="J3159" s="173"/>
    </row>
    <row r="3160" spans="1:10" x14ac:dyDescent="0.25">
      <c r="A3160" s="106"/>
      <c r="B3160" s="107"/>
      <c r="D3160" s="151"/>
      <c r="E3160" s="142"/>
      <c r="F3160" s="176"/>
      <c r="G3160" s="176"/>
      <c r="H3160" s="176"/>
      <c r="I3160" s="172"/>
      <c r="J3160" s="173"/>
    </row>
    <row r="3161" spans="1:10" x14ac:dyDescent="0.25">
      <c r="A3161" s="106"/>
      <c r="B3161" s="107"/>
      <c r="D3161" s="151"/>
      <c r="E3161" s="142"/>
      <c r="F3161" s="176"/>
      <c r="G3161" s="176"/>
      <c r="H3161" s="176"/>
      <c r="I3161" s="172"/>
      <c r="J3161" s="173"/>
    </row>
    <row r="3162" spans="1:10" x14ac:dyDescent="0.25">
      <c r="A3162" s="106"/>
      <c r="B3162" s="107"/>
      <c r="D3162" s="151"/>
      <c r="E3162" s="142"/>
      <c r="F3162" s="176"/>
      <c r="G3162" s="176"/>
      <c r="H3162" s="176"/>
      <c r="I3162" s="172"/>
      <c r="J3162" s="173"/>
    </row>
    <row r="3163" spans="1:10" x14ac:dyDescent="0.25">
      <c r="A3163" s="106"/>
      <c r="B3163" s="107"/>
      <c r="D3163" s="151"/>
      <c r="E3163" s="142"/>
      <c r="F3163" s="176"/>
      <c r="G3163" s="176"/>
      <c r="H3163" s="176"/>
      <c r="I3163" s="172"/>
      <c r="J3163" s="173"/>
    </row>
    <row r="3164" spans="1:10" x14ac:dyDescent="0.25">
      <c r="A3164" s="106"/>
      <c r="B3164" s="107"/>
      <c r="D3164" s="151"/>
      <c r="E3164" s="142"/>
      <c r="F3164" s="176"/>
      <c r="G3164" s="176"/>
      <c r="H3164" s="176"/>
      <c r="I3164" s="172"/>
      <c r="J3164" s="173"/>
    </row>
    <row r="3165" spans="1:10" x14ac:dyDescent="0.25">
      <c r="A3165" s="106"/>
      <c r="B3165" s="107"/>
      <c r="D3165" s="151"/>
      <c r="E3165" s="142"/>
      <c r="F3165" s="176"/>
      <c r="G3165" s="176"/>
      <c r="H3165" s="176"/>
      <c r="I3165" s="172"/>
      <c r="J3165" s="173"/>
    </row>
    <row r="3166" spans="1:10" x14ac:dyDescent="0.25">
      <c r="A3166" s="106"/>
      <c r="B3166" s="107"/>
      <c r="D3166" s="151"/>
      <c r="E3166" s="142"/>
      <c r="F3166" s="176"/>
      <c r="G3166" s="176"/>
      <c r="H3166" s="176"/>
      <c r="I3166" s="172"/>
      <c r="J3166" s="173"/>
    </row>
    <row r="3167" spans="1:10" x14ac:dyDescent="0.25">
      <c r="A3167" s="106"/>
      <c r="B3167" s="107"/>
      <c r="D3167" s="151"/>
      <c r="E3167" s="142"/>
      <c r="F3167" s="176"/>
      <c r="G3167" s="176"/>
      <c r="H3167" s="176"/>
      <c r="I3167" s="172"/>
      <c r="J3167" s="173"/>
    </row>
    <row r="3168" spans="1:10" x14ac:dyDescent="0.25">
      <c r="A3168" s="106"/>
      <c r="B3168" s="107"/>
      <c r="D3168" s="151"/>
      <c r="E3168" s="142"/>
      <c r="F3168" s="176"/>
      <c r="G3168" s="176"/>
      <c r="H3168" s="176"/>
      <c r="I3168" s="172"/>
      <c r="J3168" s="173"/>
    </row>
    <row r="3169" spans="1:10" x14ac:dyDescent="0.25">
      <c r="A3169" s="106"/>
      <c r="B3169" s="107"/>
      <c r="D3169" s="151"/>
      <c r="E3169" s="142"/>
      <c r="F3169" s="176"/>
      <c r="G3169" s="176"/>
      <c r="H3169" s="176"/>
      <c r="I3169" s="172"/>
      <c r="J3169" s="173"/>
    </row>
    <row r="3170" spans="1:10" x14ac:dyDescent="0.25">
      <c r="A3170" s="106"/>
      <c r="B3170" s="107"/>
      <c r="D3170" s="151"/>
      <c r="E3170" s="142"/>
      <c r="F3170" s="176"/>
      <c r="G3170" s="176"/>
      <c r="H3170" s="176"/>
      <c r="I3170" s="172"/>
      <c r="J3170" s="173"/>
    </row>
    <row r="3171" spans="1:10" x14ac:dyDescent="0.25">
      <c r="A3171" s="106"/>
      <c r="B3171" s="107"/>
      <c r="D3171" s="151"/>
      <c r="E3171" s="142"/>
      <c r="F3171" s="176"/>
      <c r="G3171" s="176"/>
      <c r="H3171" s="176"/>
      <c r="I3171" s="172"/>
      <c r="J3171" s="173"/>
    </row>
    <row r="3172" spans="1:10" x14ac:dyDescent="0.25">
      <c r="A3172" s="106"/>
      <c r="B3172" s="107"/>
      <c r="D3172" s="151"/>
      <c r="E3172" s="142"/>
      <c r="F3172" s="176"/>
      <c r="G3172" s="176"/>
      <c r="H3172" s="176"/>
      <c r="I3172" s="172"/>
      <c r="J3172" s="173"/>
    </row>
    <row r="3173" spans="1:10" x14ac:dyDescent="0.25">
      <c r="A3173" s="106"/>
      <c r="B3173" s="107"/>
      <c r="D3173" s="151"/>
      <c r="E3173" s="142"/>
      <c r="F3173" s="176"/>
      <c r="G3173" s="176"/>
      <c r="H3173" s="176"/>
      <c r="I3173" s="172"/>
      <c r="J3173" s="173"/>
    </row>
    <row r="3174" spans="1:10" x14ac:dyDescent="0.25">
      <c r="A3174" s="106"/>
      <c r="B3174" s="107"/>
      <c r="D3174" s="151"/>
      <c r="E3174" s="142"/>
      <c r="F3174" s="176"/>
      <c r="G3174" s="176"/>
      <c r="H3174" s="176"/>
      <c r="I3174" s="172"/>
      <c r="J3174" s="173"/>
    </row>
    <row r="3175" spans="1:10" x14ac:dyDescent="0.25">
      <c r="A3175" s="106"/>
      <c r="B3175" s="107"/>
      <c r="D3175" s="151"/>
      <c r="E3175" s="142"/>
      <c r="F3175" s="176"/>
      <c r="G3175" s="176"/>
      <c r="H3175" s="176"/>
      <c r="I3175" s="172"/>
      <c r="J3175" s="173"/>
    </row>
    <row r="3176" spans="1:10" x14ac:dyDescent="0.25">
      <c r="A3176" s="106"/>
      <c r="B3176" s="107"/>
      <c r="D3176" s="151"/>
      <c r="E3176" s="142"/>
      <c r="F3176" s="176"/>
      <c r="G3176" s="176"/>
      <c r="H3176" s="176"/>
      <c r="I3176" s="172"/>
      <c r="J3176" s="173"/>
    </row>
    <row r="3177" spans="1:10" x14ac:dyDescent="0.25">
      <c r="A3177" s="106"/>
      <c r="B3177" s="107"/>
      <c r="D3177" s="151"/>
      <c r="E3177" s="142"/>
      <c r="F3177" s="176"/>
      <c r="G3177" s="176"/>
      <c r="H3177" s="176"/>
      <c r="I3177" s="172"/>
      <c r="J3177" s="173"/>
    </row>
    <row r="3178" spans="1:10" x14ac:dyDescent="0.25">
      <c r="A3178" s="106"/>
      <c r="B3178" s="107"/>
      <c r="D3178" s="151"/>
      <c r="E3178" s="142"/>
      <c r="F3178" s="176"/>
      <c r="G3178" s="176"/>
      <c r="H3178" s="176"/>
      <c r="I3178" s="172"/>
      <c r="J3178" s="173"/>
    </row>
    <row r="3179" spans="1:10" x14ac:dyDescent="0.25">
      <c r="A3179" s="106"/>
      <c r="B3179" s="107"/>
      <c r="D3179" s="151"/>
      <c r="E3179" s="142"/>
      <c r="F3179" s="176"/>
      <c r="G3179" s="176"/>
      <c r="H3179" s="176"/>
      <c r="I3179" s="172"/>
      <c r="J3179" s="173"/>
    </row>
    <row r="3180" spans="1:10" x14ac:dyDescent="0.25">
      <c r="A3180" s="106"/>
      <c r="B3180" s="107"/>
      <c r="D3180" s="151"/>
      <c r="E3180" s="142"/>
      <c r="F3180" s="176"/>
      <c r="G3180" s="176"/>
      <c r="H3180" s="176"/>
      <c r="I3180" s="172"/>
      <c r="J3180" s="173"/>
    </row>
    <row r="3181" spans="1:10" x14ac:dyDescent="0.25">
      <c r="A3181" s="106"/>
      <c r="B3181" s="107"/>
      <c r="D3181" s="151"/>
      <c r="E3181" s="142"/>
      <c r="F3181" s="176"/>
      <c r="G3181" s="176"/>
      <c r="H3181" s="176"/>
      <c r="I3181" s="172"/>
      <c r="J3181" s="173"/>
    </row>
    <row r="3182" spans="1:10" x14ac:dyDescent="0.25">
      <c r="A3182" s="106"/>
      <c r="B3182" s="107"/>
      <c r="D3182" s="151"/>
      <c r="E3182" s="142"/>
      <c r="F3182" s="176"/>
      <c r="G3182" s="176"/>
      <c r="H3182" s="176"/>
      <c r="I3182" s="172"/>
      <c r="J3182" s="173"/>
    </row>
    <row r="3183" spans="1:10" x14ac:dyDescent="0.25">
      <c r="A3183" s="106"/>
      <c r="B3183" s="107"/>
      <c r="D3183" s="151"/>
      <c r="E3183" s="142"/>
      <c r="F3183" s="176"/>
      <c r="G3183" s="176"/>
      <c r="H3183" s="176"/>
      <c r="I3183" s="172"/>
      <c r="J3183" s="173"/>
    </row>
    <row r="3184" spans="1:10" x14ac:dyDescent="0.25">
      <c r="A3184" s="106"/>
      <c r="B3184" s="107"/>
      <c r="D3184" s="151"/>
      <c r="E3184" s="142"/>
      <c r="F3184" s="176"/>
      <c r="G3184" s="176"/>
      <c r="H3184" s="176"/>
      <c r="I3184" s="172"/>
      <c r="J3184" s="173"/>
    </row>
    <row r="3185" spans="1:10" x14ac:dyDescent="0.25">
      <c r="A3185" s="106"/>
      <c r="B3185" s="107"/>
      <c r="D3185" s="151"/>
      <c r="E3185" s="142"/>
      <c r="F3185" s="176"/>
      <c r="G3185" s="176"/>
      <c r="H3185" s="176"/>
      <c r="I3185" s="172"/>
      <c r="J3185" s="173"/>
    </row>
    <row r="3186" spans="1:10" x14ac:dyDescent="0.25">
      <c r="A3186" s="106"/>
      <c r="B3186" s="107"/>
      <c r="D3186" s="151"/>
      <c r="E3186" s="142"/>
      <c r="F3186" s="176"/>
      <c r="G3186" s="176"/>
      <c r="H3186" s="176"/>
      <c r="I3186" s="172"/>
      <c r="J3186" s="173"/>
    </row>
    <row r="3187" spans="1:10" x14ac:dyDescent="0.25">
      <c r="A3187" s="106"/>
      <c r="B3187" s="107"/>
      <c r="D3187" s="151"/>
      <c r="E3187" s="142"/>
      <c r="F3187" s="176"/>
      <c r="G3187" s="176"/>
      <c r="H3187" s="176"/>
      <c r="I3187" s="172"/>
      <c r="J3187" s="173"/>
    </row>
    <row r="3188" spans="1:10" x14ac:dyDescent="0.25">
      <c r="A3188" s="106"/>
      <c r="B3188" s="107"/>
      <c r="D3188" s="151"/>
      <c r="E3188" s="142"/>
      <c r="F3188" s="176"/>
      <c r="G3188" s="176"/>
      <c r="H3188" s="176"/>
      <c r="I3188" s="172"/>
      <c r="J3188" s="173"/>
    </row>
    <row r="3189" spans="1:10" x14ac:dyDescent="0.25">
      <c r="A3189" s="106"/>
      <c r="B3189" s="107"/>
      <c r="D3189" s="151"/>
      <c r="E3189" s="142"/>
      <c r="F3189" s="176"/>
      <c r="G3189" s="176"/>
      <c r="H3189" s="176"/>
      <c r="I3189" s="172"/>
      <c r="J3189" s="173"/>
    </row>
    <row r="3190" spans="1:10" x14ac:dyDescent="0.25">
      <c r="A3190" s="106"/>
      <c r="B3190" s="107"/>
      <c r="D3190" s="151"/>
      <c r="E3190" s="142"/>
      <c r="F3190" s="176"/>
      <c r="G3190" s="176"/>
      <c r="H3190" s="176"/>
      <c r="I3190" s="172"/>
      <c r="J3190" s="173"/>
    </row>
    <row r="3191" spans="1:10" x14ac:dyDescent="0.25">
      <c r="A3191" s="106"/>
      <c r="B3191" s="107"/>
      <c r="D3191" s="151"/>
      <c r="E3191" s="142"/>
      <c r="F3191" s="176"/>
      <c r="G3191" s="176"/>
      <c r="H3191" s="176"/>
      <c r="I3191" s="172"/>
      <c r="J3191" s="173"/>
    </row>
    <row r="3192" spans="1:10" x14ac:dyDescent="0.25">
      <c r="A3192" s="106"/>
      <c r="B3192" s="107"/>
      <c r="D3192" s="151"/>
      <c r="E3192" s="142"/>
      <c r="F3192" s="176"/>
      <c r="G3192" s="176"/>
      <c r="H3192" s="176"/>
      <c r="I3192" s="172"/>
      <c r="J3192" s="173"/>
    </row>
    <row r="3193" spans="1:10" x14ac:dyDescent="0.25">
      <c r="A3193" s="106"/>
      <c r="B3193" s="107"/>
      <c r="D3193" s="151"/>
      <c r="E3193" s="142"/>
      <c r="F3193" s="176"/>
      <c r="G3193" s="176"/>
      <c r="H3193" s="176"/>
      <c r="I3193" s="172"/>
      <c r="J3193" s="173"/>
    </row>
    <row r="3194" spans="1:10" x14ac:dyDescent="0.25">
      <c r="A3194" s="106"/>
      <c r="B3194" s="107"/>
      <c r="D3194" s="151"/>
      <c r="E3194" s="142"/>
      <c r="F3194" s="176"/>
      <c r="G3194" s="176"/>
      <c r="H3194" s="176"/>
      <c r="I3194" s="172"/>
      <c r="J3194" s="173"/>
    </row>
    <row r="3195" spans="1:10" x14ac:dyDescent="0.25">
      <c r="A3195" s="106"/>
      <c r="B3195" s="107"/>
      <c r="D3195" s="151"/>
      <c r="E3195" s="142"/>
      <c r="F3195" s="176"/>
      <c r="G3195" s="176"/>
      <c r="H3195" s="176"/>
      <c r="I3195" s="172"/>
      <c r="J3195" s="173"/>
    </row>
    <row r="3196" spans="1:10" x14ac:dyDescent="0.25">
      <c r="A3196" s="106"/>
      <c r="B3196" s="107"/>
      <c r="D3196" s="151"/>
      <c r="E3196" s="142"/>
      <c r="F3196" s="176"/>
      <c r="G3196" s="176"/>
      <c r="H3196" s="176"/>
      <c r="I3196" s="172"/>
      <c r="J3196" s="173"/>
    </row>
    <row r="3197" spans="1:10" x14ac:dyDescent="0.25">
      <c r="A3197" s="106"/>
      <c r="B3197" s="107"/>
      <c r="D3197" s="151"/>
      <c r="E3197" s="142"/>
      <c r="F3197" s="176"/>
      <c r="G3197" s="176"/>
      <c r="H3197" s="176"/>
      <c r="I3197" s="172"/>
      <c r="J3197" s="173"/>
    </row>
    <row r="3198" spans="1:10" x14ac:dyDescent="0.25">
      <c r="A3198" s="106"/>
      <c r="B3198" s="107"/>
      <c r="D3198" s="151"/>
      <c r="E3198" s="142"/>
      <c r="F3198" s="176"/>
      <c r="G3198" s="176"/>
      <c r="H3198" s="176"/>
      <c r="I3198" s="172"/>
      <c r="J3198" s="173"/>
    </row>
    <row r="3199" spans="1:10" x14ac:dyDescent="0.25">
      <c r="A3199" s="106"/>
      <c r="B3199" s="107"/>
      <c r="D3199" s="151"/>
      <c r="E3199" s="142"/>
      <c r="F3199" s="176"/>
      <c r="G3199" s="176"/>
      <c r="H3199" s="176"/>
      <c r="I3199" s="172"/>
      <c r="J3199" s="173"/>
    </row>
    <row r="3200" spans="1:10" x14ac:dyDescent="0.25">
      <c r="A3200" s="106"/>
      <c r="B3200" s="107"/>
      <c r="D3200" s="151"/>
      <c r="E3200" s="142"/>
      <c r="F3200" s="176"/>
      <c r="G3200" s="176"/>
      <c r="H3200" s="176"/>
      <c r="I3200" s="172"/>
      <c r="J3200" s="173"/>
    </row>
    <row r="3201" spans="1:10" x14ac:dyDescent="0.25">
      <c r="A3201" s="106"/>
      <c r="B3201" s="107"/>
      <c r="D3201" s="151"/>
      <c r="E3201" s="142"/>
      <c r="F3201" s="176"/>
      <c r="G3201" s="176"/>
      <c r="H3201" s="176"/>
      <c r="I3201" s="172"/>
      <c r="J3201" s="173"/>
    </row>
    <row r="3202" spans="1:10" x14ac:dyDescent="0.25">
      <c r="A3202" s="106"/>
      <c r="B3202" s="107"/>
      <c r="D3202" s="151"/>
      <c r="E3202" s="142"/>
      <c r="F3202" s="176"/>
      <c r="G3202" s="176"/>
      <c r="H3202" s="176"/>
      <c r="I3202" s="172"/>
      <c r="J3202" s="173"/>
    </row>
    <row r="3203" spans="1:10" x14ac:dyDescent="0.25">
      <c r="A3203" s="106"/>
      <c r="B3203" s="107"/>
      <c r="D3203" s="151"/>
      <c r="E3203" s="142"/>
      <c r="F3203" s="176"/>
      <c r="G3203" s="176"/>
      <c r="H3203" s="176"/>
      <c r="I3203" s="172"/>
      <c r="J3203" s="173"/>
    </row>
    <row r="3204" spans="1:10" x14ac:dyDescent="0.25">
      <c r="A3204" s="106"/>
      <c r="B3204" s="107"/>
      <c r="D3204" s="151"/>
      <c r="E3204" s="142"/>
      <c r="F3204" s="176"/>
      <c r="G3204" s="176"/>
      <c r="H3204" s="176"/>
      <c r="I3204" s="172"/>
      <c r="J3204" s="173"/>
    </row>
    <row r="3205" spans="1:10" x14ac:dyDescent="0.25">
      <c r="A3205" s="106"/>
      <c r="B3205" s="107"/>
      <c r="D3205" s="151"/>
      <c r="E3205" s="142"/>
      <c r="F3205" s="176"/>
      <c r="G3205" s="176"/>
      <c r="H3205" s="176"/>
      <c r="I3205" s="172"/>
      <c r="J3205" s="173"/>
    </row>
    <row r="3206" spans="1:10" x14ac:dyDescent="0.25">
      <c r="A3206" s="106"/>
      <c r="B3206" s="107"/>
      <c r="D3206" s="151"/>
      <c r="E3206" s="142"/>
      <c r="F3206" s="176"/>
      <c r="G3206" s="176"/>
      <c r="H3206" s="176"/>
      <c r="I3206" s="172"/>
      <c r="J3206" s="173"/>
    </row>
    <row r="3207" spans="1:10" x14ac:dyDescent="0.25">
      <c r="A3207" s="106"/>
      <c r="B3207" s="107"/>
      <c r="D3207" s="151"/>
      <c r="E3207" s="142"/>
      <c r="F3207" s="176"/>
      <c r="G3207" s="176"/>
      <c r="H3207" s="176"/>
      <c r="I3207" s="172"/>
      <c r="J3207" s="173"/>
    </row>
    <row r="3208" spans="1:10" x14ac:dyDescent="0.25">
      <c r="A3208" s="106"/>
      <c r="B3208" s="107"/>
      <c r="D3208" s="151"/>
      <c r="E3208" s="142"/>
      <c r="F3208" s="176"/>
      <c r="G3208" s="176"/>
      <c r="H3208" s="176"/>
      <c r="I3208" s="172"/>
      <c r="J3208" s="173"/>
    </row>
    <row r="3209" spans="1:10" x14ac:dyDescent="0.25">
      <c r="A3209" s="106"/>
      <c r="B3209" s="107"/>
      <c r="D3209" s="151"/>
      <c r="E3209" s="142"/>
      <c r="F3209" s="176"/>
      <c r="G3209" s="176"/>
      <c r="H3209" s="176"/>
      <c r="I3209" s="172"/>
      <c r="J3209" s="173"/>
    </row>
    <row r="3210" spans="1:10" x14ac:dyDescent="0.25">
      <c r="A3210" s="106"/>
      <c r="B3210" s="107"/>
      <c r="D3210" s="151"/>
      <c r="E3210" s="142"/>
      <c r="F3210" s="176"/>
      <c r="G3210" s="176"/>
      <c r="H3210" s="176"/>
      <c r="I3210" s="172"/>
      <c r="J3210" s="173"/>
    </row>
    <row r="3211" spans="1:10" x14ac:dyDescent="0.25">
      <c r="A3211" s="106"/>
      <c r="B3211" s="107"/>
      <c r="D3211" s="151"/>
      <c r="E3211" s="142"/>
      <c r="F3211" s="176"/>
      <c r="G3211" s="176"/>
      <c r="H3211" s="176"/>
      <c r="I3211" s="172"/>
      <c r="J3211" s="173"/>
    </row>
    <row r="3212" spans="1:10" x14ac:dyDescent="0.25">
      <c r="A3212" s="106"/>
      <c r="B3212" s="107"/>
      <c r="D3212" s="151"/>
      <c r="E3212" s="142"/>
      <c r="F3212" s="176"/>
      <c r="G3212" s="176"/>
      <c r="H3212" s="176"/>
      <c r="I3212" s="172"/>
      <c r="J3212" s="173"/>
    </row>
    <row r="3213" spans="1:10" x14ac:dyDescent="0.25">
      <c r="A3213" s="106"/>
      <c r="B3213" s="107"/>
      <c r="D3213" s="151"/>
      <c r="E3213" s="142"/>
      <c r="F3213" s="176"/>
      <c r="G3213" s="176"/>
      <c r="H3213" s="176"/>
      <c r="I3213" s="172"/>
      <c r="J3213" s="173"/>
    </row>
    <row r="3214" spans="1:10" x14ac:dyDescent="0.25">
      <c r="A3214" s="106"/>
      <c r="B3214" s="107"/>
      <c r="D3214" s="151"/>
      <c r="E3214" s="142"/>
      <c r="F3214" s="176"/>
      <c r="G3214" s="176"/>
      <c r="H3214" s="176"/>
      <c r="I3214" s="172"/>
      <c r="J3214" s="173"/>
    </row>
    <row r="3215" spans="1:10" x14ac:dyDescent="0.25">
      <c r="A3215" s="106"/>
      <c r="B3215" s="107"/>
      <c r="D3215" s="151"/>
      <c r="E3215" s="142"/>
      <c r="F3215" s="176"/>
      <c r="G3215" s="176"/>
      <c r="H3215" s="176"/>
      <c r="I3215" s="172"/>
      <c r="J3215" s="173"/>
    </row>
    <row r="3216" spans="1:10" x14ac:dyDescent="0.25">
      <c r="A3216" s="106"/>
      <c r="B3216" s="107"/>
      <c r="D3216" s="151"/>
      <c r="E3216" s="142"/>
      <c r="F3216" s="176"/>
      <c r="G3216" s="176"/>
      <c r="H3216" s="176"/>
      <c r="I3216" s="172"/>
      <c r="J3216" s="173"/>
    </row>
    <row r="3217" spans="1:10" x14ac:dyDescent="0.25">
      <c r="A3217" s="106"/>
      <c r="B3217" s="107"/>
      <c r="D3217" s="151"/>
      <c r="E3217" s="142"/>
      <c r="F3217" s="176"/>
      <c r="G3217" s="176"/>
      <c r="H3217" s="176"/>
      <c r="I3217" s="172"/>
      <c r="J3217" s="173"/>
    </row>
    <row r="3218" spans="1:10" x14ac:dyDescent="0.25">
      <c r="A3218" s="106"/>
      <c r="B3218" s="107"/>
      <c r="D3218" s="151"/>
      <c r="E3218" s="142"/>
      <c r="F3218" s="176"/>
      <c r="G3218" s="176"/>
      <c r="H3218" s="176"/>
      <c r="I3218" s="172"/>
      <c r="J3218" s="173"/>
    </row>
    <row r="3219" spans="1:10" x14ac:dyDescent="0.25">
      <c r="A3219" s="106"/>
      <c r="B3219" s="107"/>
      <c r="D3219" s="151"/>
      <c r="E3219" s="142"/>
      <c r="F3219" s="176"/>
      <c r="G3219" s="176"/>
      <c r="H3219" s="176"/>
      <c r="I3219" s="172"/>
      <c r="J3219" s="173"/>
    </row>
    <row r="3220" spans="1:10" x14ac:dyDescent="0.25">
      <c r="A3220" s="106"/>
      <c r="B3220" s="107"/>
      <c r="D3220" s="151"/>
      <c r="E3220" s="142"/>
      <c r="F3220" s="176"/>
      <c r="G3220" s="176"/>
      <c r="H3220" s="176"/>
      <c r="I3220" s="172"/>
      <c r="J3220" s="173"/>
    </row>
    <row r="3221" spans="1:10" x14ac:dyDescent="0.25">
      <c r="A3221" s="106"/>
      <c r="B3221" s="107"/>
      <c r="D3221" s="151"/>
      <c r="E3221" s="142"/>
      <c r="F3221" s="176"/>
      <c r="G3221" s="176"/>
      <c r="H3221" s="176"/>
      <c r="I3221" s="172"/>
      <c r="J3221" s="173"/>
    </row>
    <row r="3222" spans="1:10" x14ac:dyDescent="0.25">
      <c r="A3222" s="106"/>
      <c r="B3222" s="107"/>
      <c r="D3222" s="151"/>
      <c r="E3222" s="142"/>
      <c r="F3222" s="176"/>
      <c r="G3222" s="176"/>
      <c r="H3222" s="176"/>
      <c r="I3222" s="172"/>
      <c r="J3222" s="173"/>
    </row>
    <row r="3223" spans="1:10" x14ac:dyDescent="0.25">
      <c r="A3223" s="106"/>
      <c r="B3223" s="107"/>
      <c r="D3223" s="151"/>
      <c r="E3223" s="142"/>
      <c r="F3223" s="176"/>
      <c r="G3223" s="176"/>
      <c r="H3223" s="176"/>
      <c r="I3223" s="172"/>
      <c r="J3223" s="173"/>
    </row>
    <row r="3224" spans="1:10" x14ac:dyDescent="0.25">
      <c r="A3224" s="106"/>
      <c r="B3224" s="107"/>
      <c r="D3224" s="151"/>
      <c r="E3224" s="142"/>
      <c r="F3224" s="176"/>
      <c r="G3224" s="176"/>
      <c r="H3224" s="176"/>
      <c r="I3224" s="172"/>
      <c r="J3224" s="173"/>
    </row>
    <row r="3225" spans="1:10" x14ac:dyDescent="0.25">
      <c r="A3225" s="106"/>
      <c r="B3225" s="107"/>
      <c r="D3225" s="151"/>
      <c r="E3225" s="142"/>
      <c r="F3225" s="176"/>
      <c r="G3225" s="176"/>
      <c r="H3225" s="176"/>
      <c r="I3225" s="172"/>
      <c r="J3225" s="173"/>
    </row>
    <row r="3226" spans="1:10" x14ac:dyDescent="0.25">
      <c r="A3226" s="106"/>
      <c r="B3226" s="107"/>
      <c r="D3226" s="151"/>
      <c r="E3226" s="142"/>
      <c r="F3226" s="176"/>
      <c r="G3226" s="176"/>
      <c r="H3226" s="176"/>
      <c r="I3226" s="172"/>
      <c r="J3226" s="173"/>
    </row>
    <row r="3227" spans="1:10" x14ac:dyDescent="0.25">
      <c r="A3227" s="106"/>
      <c r="B3227" s="107"/>
      <c r="D3227" s="151"/>
      <c r="E3227" s="142"/>
      <c r="F3227" s="176"/>
      <c r="G3227" s="176"/>
      <c r="H3227" s="176"/>
      <c r="I3227" s="172"/>
      <c r="J3227" s="173"/>
    </row>
    <row r="3228" spans="1:10" x14ac:dyDescent="0.25">
      <c r="A3228" s="106"/>
      <c r="B3228" s="107"/>
      <c r="D3228" s="151"/>
      <c r="E3228" s="142"/>
      <c r="F3228" s="176"/>
      <c r="G3228" s="176"/>
      <c r="H3228" s="176"/>
      <c r="I3228" s="172"/>
      <c r="J3228" s="173"/>
    </row>
    <row r="3229" spans="1:10" x14ac:dyDescent="0.25">
      <c r="A3229" s="106"/>
      <c r="B3229" s="107"/>
      <c r="D3229" s="151"/>
      <c r="E3229" s="142"/>
      <c r="F3229" s="176"/>
      <c r="G3229" s="176"/>
      <c r="H3229" s="176"/>
      <c r="I3229" s="172"/>
      <c r="J3229" s="173"/>
    </row>
    <row r="3230" spans="1:10" x14ac:dyDescent="0.25">
      <c r="A3230" s="106"/>
      <c r="B3230" s="107"/>
      <c r="D3230" s="151"/>
      <c r="E3230" s="142"/>
      <c r="F3230" s="176"/>
      <c r="G3230" s="176"/>
      <c r="H3230" s="176"/>
      <c r="I3230" s="172"/>
      <c r="J3230" s="173"/>
    </row>
    <row r="3231" spans="1:10" x14ac:dyDescent="0.25">
      <c r="A3231" s="106"/>
      <c r="B3231" s="107"/>
      <c r="D3231" s="151"/>
      <c r="E3231" s="142"/>
      <c r="F3231" s="176"/>
      <c r="G3231" s="176"/>
      <c r="H3231" s="176"/>
      <c r="I3231" s="172"/>
      <c r="J3231" s="173"/>
    </row>
    <row r="3232" spans="1:10" x14ac:dyDescent="0.25">
      <c r="A3232" s="106"/>
      <c r="B3232" s="107"/>
      <c r="D3232" s="151"/>
      <c r="E3232" s="142"/>
      <c r="F3232" s="176"/>
      <c r="G3232" s="176"/>
      <c r="H3232" s="176"/>
      <c r="I3232" s="172"/>
      <c r="J3232" s="173"/>
    </row>
    <row r="3233" spans="1:10" x14ac:dyDescent="0.25">
      <c r="A3233" s="106"/>
      <c r="B3233" s="107"/>
      <c r="D3233" s="151"/>
      <c r="E3233" s="142"/>
      <c r="F3233" s="176"/>
      <c r="G3233" s="176"/>
      <c r="H3233" s="176"/>
      <c r="I3233" s="172"/>
      <c r="J3233" s="173"/>
    </row>
    <row r="3234" spans="1:10" x14ac:dyDescent="0.25">
      <c r="A3234" s="106"/>
      <c r="B3234" s="107"/>
      <c r="D3234" s="151"/>
      <c r="E3234" s="142"/>
      <c r="F3234" s="176"/>
      <c r="G3234" s="176"/>
      <c r="H3234" s="176"/>
      <c r="I3234" s="172"/>
      <c r="J3234" s="173"/>
    </row>
    <row r="3235" spans="1:10" x14ac:dyDescent="0.25">
      <c r="A3235" s="106"/>
      <c r="B3235" s="107"/>
      <c r="D3235" s="151"/>
      <c r="E3235" s="142"/>
      <c r="F3235" s="176"/>
      <c r="G3235" s="176"/>
      <c r="H3235" s="176"/>
      <c r="I3235" s="172"/>
      <c r="J3235" s="173"/>
    </row>
    <row r="3236" spans="1:10" x14ac:dyDescent="0.25">
      <c r="A3236" s="106"/>
      <c r="B3236" s="107"/>
      <c r="D3236" s="151"/>
      <c r="E3236" s="142"/>
      <c r="F3236" s="176"/>
      <c r="G3236" s="176"/>
      <c r="H3236" s="176"/>
      <c r="I3236" s="172"/>
      <c r="J3236" s="173"/>
    </row>
    <row r="3237" spans="1:10" x14ac:dyDescent="0.25">
      <c r="A3237" s="106"/>
      <c r="B3237" s="107"/>
      <c r="D3237" s="151"/>
      <c r="E3237" s="142"/>
      <c r="F3237" s="176"/>
      <c r="G3237" s="176"/>
      <c r="H3237" s="176"/>
      <c r="I3237" s="172"/>
      <c r="J3237" s="173"/>
    </row>
    <row r="3238" spans="1:10" x14ac:dyDescent="0.25">
      <c r="A3238" s="106"/>
      <c r="B3238" s="107"/>
      <c r="D3238" s="151"/>
      <c r="E3238" s="142"/>
      <c r="F3238" s="176"/>
      <c r="G3238" s="176"/>
      <c r="H3238" s="176"/>
      <c r="I3238" s="172"/>
      <c r="J3238" s="173"/>
    </row>
    <row r="3239" spans="1:10" x14ac:dyDescent="0.25">
      <c r="A3239" s="106"/>
      <c r="B3239" s="107"/>
      <c r="D3239" s="151"/>
      <c r="E3239" s="142"/>
      <c r="F3239" s="176"/>
      <c r="G3239" s="176"/>
      <c r="H3239" s="176"/>
      <c r="I3239" s="172"/>
      <c r="J3239" s="173"/>
    </row>
    <row r="3240" spans="1:10" x14ac:dyDescent="0.25">
      <c r="A3240" s="106"/>
      <c r="B3240" s="107"/>
      <c r="D3240" s="151"/>
      <c r="E3240" s="142"/>
      <c r="F3240" s="176"/>
      <c r="G3240" s="176"/>
      <c r="H3240" s="176"/>
      <c r="I3240" s="172"/>
      <c r="J3240" s="173"/>
    </row>
    <row r="3241" spans="1:10" x14ac:dyDescent="0.25">
      <c r="A3241" s="106"/>
      <c r="B3241" s="107"/>
      <c r="D3241" s="151"/>
      <c r="E3241" s="142"/>
      <c r="F3241" s="176"/>
      <c r="G3241" s="176"/>
      <c r="H3241" s="176"/>
      <c r="I3241" s="172"/>
      <c r="J3241" s="173"/>
    </row>
    <row r="3242" spans="1:10" x14ac:dyDescent="0.25">
      <c r="A3242" s="106"/>
      <c r="B3242" s="107"/>
      <c r="D3242" s="151"/>
      <c r="E3242" s="142"/>
      <c r="F3242" s="176"/>
      <c r="G3242" s="176"/>
      <c r="H3242" s="176"/>
      <c r="I3242" s="172"/>
      <c r="J3242" s="173"/>
    </row>
    <row r="3243" spans="1:10" x14ac:dyDescent="0.25">
      <c r="A3243" s="106"/>
      <c r="B3243" s="107"/>
      <c r="D3243" s="151"/>
      <c r="E3243" s="142"/>
      <c r="F3243" s="176"/>
      <c r="G3243" s="176"/>
      <c r="H3243" s="176"/>
      <c r="I3243" s="172"/>
      <c r="J3243" s="173"/>
    </row>
    <row r="3244" spans="1:10" x14ac:dyDescent="0.25">
      <c r="A3244" s="106"/>
      <c r="B3244" s="107"/>
      <c r="D3244" s="151"/>
      <c r="E3244" s="142"/>
      <c r="F3244" s="176"/>
      <c r="G3244" s="176"/>
      <c r="H3244" s="176"/>
      <c r="I3244" s="172"/>
      <c r="J3244" s="173"/>
    </row>
    <row r="3245" spans="1:10" x14ac:dyDescent="0.25">
      <c r="A3245" s="106"/>
      <c r="B3245" s="107"/>
      <c r="D3245" s="151"/>
      <c r="E3245" s="142"/>
      <c r="F3245" s="176"/>
      <c r="G3245" s="176"/>
      <c r="H3245" s="176"/>
      <c r="I3245" s="172"/>
      <c r="J3245" s="173"/>
    </row>
    <row r="3246" spans="1:10" x14ac:dyDescent="0.25">
      <c r="A3246" s="106"/>
      <c r="B3246" s="107"/>
      <c r="D3246" s="151"/>
      <c r="E3246" s="142"/>
      <c r="F3246" s="176"/>
      <c r="G3246" s="176"/>
      <c r="H3246" s="176"/>
      <c r="I3246" s="172"/>
      <c r="J3246" s="173"/>
    </row>
    <row r="3247" spans="1:10" x14ac:dyDescent="0.25">
      <c r="A3247" s="106"/>
      <c r="B3247" s="107"/>
      <c r="D3247" s="151"/>
      <c r="E3247" s="142"/>
      <c r="F3247" s="176"/>
      <c r="G3247" s="176"/>
      <c r="H3247" s="176"/>
      <c r="I3247" s="172"/>
      <c r="J3247" s="173"/>
    </row>
    <row r="3248" spans="1:10" x14ac:dyDescent="0.25">
      <c r="A3248" s="106"/>
      <c r="B3248" s="107"/>
      <c r="D3248" s="151"/>
      <c r="E3248" s="142"/>
      <c r="F3248" s="176"/>
      <c r="G3248" s="176"/>
      <c r="H3248" s="176"/>
      <c r="I3248" s="172"/>
      <c r="J3248" s="173"/>
    </row>
    <row r="3249" spans="1:10" x14ac:dyDescent="0.25">
      <c r="A3249" s="106"/>
      <c r="B3249" s="107"/>
      <c r="D3249" s="151"/>
      <c r="E3249" s="142"/>
      <c r="F3249" s="176"/>
      <c r="G3249" s="176"/>
      <c r="H3249" s="176"/>
      <c r="I3249" s="172"/>
      <c r="J3249" s="173"/>
    </row>
    <row r="3250" spans="1:10" x14ac:dyDescent="0.25">
      <c r="A3250" s="106"/>
      <c r="B3250" s="107"/>
      <c r="D3250" s="151"/>
      <c r="E3250" s="142"/>
      <c r="F3250" s="176"/>
      <c r="G3250" s="176"/>
      <c r="H3250" s="176"/>
      <c r="I3250" s="172"/>
      <c r="J3250" s="173"/>
    </row>
    <row r="3251" spans="1:10" x14ac:dyDescent="0.25">
      <c r="A3251" s="106"/>
      <c r="B3251" s="107"/>
      <c r="D3251" s="151"/>
      <c r="E3251" s="142"/>
      <c r="F3251" s="176"/>
      <c r="G3251" s="176"/>
      <c r="H3251" s="176"/>
      <c r="I3251" s="172"/>
      <c r="J3251" s="173"/>
    </row>
    <row r="3252" spans="1:10" x14ac:dyDescent="0.25">
      <c r="A3252" s="106"/>
      <c r="B3252" s="107"/>
      <c r="D3252" s="151"/>
      <c r="E3252" s="142"/>
      <c r="F3252" s="176"/>
      <c r="G3252" s="176"/>
      <c r="H3252" s="176"/>
      <c r="I3252" s="172"/>
      <c r="J3252" s="173"/>
    </row>
    <row r="3253" spans="1:10" x14ac:dyDescent="0.25">
      <c r="A3253" s="106"/>
      <c r="B3253" s="107"/>
      <c r="D3253" s="151"/>
      <c r="E3253" s="142"/>
      <c r="F3253" s="176"/>
      <c r="G3253" s="176"/>
      <c r="H3253" s="176"/>
      <c r="I3253" s="172"/>
      <c r="J3253" s="173"/>
    </row>
    <row r="3254" spans="1:10" x14ac:dyDescent="0.25">
      <c r="A3254" s="106"/>
      <c r="B3254" s="107"/>
      <c r="D3254" s="151"/>
      <c r="E3254" s="142"/>
      <c r="F3254" s="176"/>
      <c r="G3254" s="176"/>
      <c r="H3254" s="176"/>
      <c r="I3254" s="172"/>
      <c r="J3254" s="173"/>
    </row>
    <row r="3255" spans="1:10" x14ac:dyDescent="0.25">
      <c r="A3255" s="106"/>
      <c r="B3255" s="107"/>
      <c r="D3255" s="151"/>
      <c r="E3255" s="142"/>
      <c r="F3255" s="176"/>
      <c r="G3255" s="176"/>
      <c r="H3255" s="176"/>
      <c r="I3255" s="172"/>
      <c r="J3255" s="173"/>
    </row>
    <row r="3256" spans="1:10" x14ac:dyDescent="0.25">
      <c r="A3256" s="106"/>
      <c r="B3256" s="107"/>
      <c r="D3256" s="151"/>
      <c r="E3256" s="142"/>
      <c r="F3256" s="176"/>
      <c r="G3256" s="176"/>
      <c r="H3256" s="176"/>
      <c r="I3256" s="172"/>
      <c r="J3256" s="173"/>
    </row>
    <row r="3257" spans="1:10" x14ac:dyDescent="0.25">
      <c r="A3257" s="106"/>
      <c r="B3257" s="107"/>
      <c r="D3257" s="151"/>
      <c r="E3257" s="142"/>
      <c r="F3257" s="176"/>
      <c r="G3257" s="176"/>
      <c r="H3257" s="176"/>
      <c r="I3257" s="172"/>
      <c r="J3257" s="173"/>
    </row>
    <row r="3258" spans="1:10" x14ac:dyDescent="0.25">
      <c r="A3258" s="106"/>
      <c r="B3258" s="107"/>
      <c r="D3258" s="151"/>
      <c r="E3258" s="142"/>
      <c r="F3258" s="176"/>
      <c r="G3258" s="176"/>
      <c r="H3258" s="176"/>
      <c r="I3258" s="172"/>
      <c r="J3258" s="173"/>
    </row>
    <row r="3259" spans="1:10" x14ac:dyDescent="0.25">
      <c r="A3259" s="106"/>
      <c r="B3259" s="107"/>
      <c r="D3259" s="151"/>
      <c r="E3259" s="142"/>
      <c r="F3259" s="176"/>
      <c r="G3259" s="176"/>
      <c r="H3259" s="176"/>
      <c r="I3259" s="172"/>
      <c r="J3259" s="173"/>
    </row>
    <row r="3260" spans="1:10" x14ac:dyDescent="0.25">
      <c r="A3260" s="106"/>
      <c r="B3260" s="107"/>
      <c r="D3260" s="151"/>
      <c r="E3260" s="142"/>
      <c r="F3260" s="176"/>
      <c r="G3260" s="176"/>
      <c r="H3260" s="176"/>
      <c r="I3260" s="172"/>
      <c r="J3260" s="173"/>
    </row>
    <row r="3261" spans="1:10" x14ac:dyDescent="0.25">
      <c r="A3261" s="106"/>
      <c r="B3261" s="107"/>
      <c r="D3261" s="151"/>
      <c r="E3261" s="142"/>
      <c r="F3261" s="176"/>
      <c r="G3261" s="176"/>
      <c r="H3261" s="176"/>
      <c r="I3261" s="172"/>
      <c r="J3261" s="173"/>
    </row>
    <row r="3262" spans="1:10" x14ac:dyDescent="0.25">
      <c r="A3262" s="106"/>
      <c r="B3262" s="107"/>
      <c r="D3262" s="151"/>
      <c r="E3262" s="142"/>
      <c r="F3262" s="176"/>
      <c r="G3262" s="176"/>
      <c r="H3262" s="176"/>
      <c r="I3262" s="172"/>
      <c r="J3262" s="173"/>
    </row>
    <row r="3263" spans="1:10" x14ac:dyDescent="0.25">
      <c r="A3263" s="106"/>
      <c r="B3263" s="107"/>
      <c r="D3263" s="151"/>
      <c r="E3263" s="142"/>
      <c r="F3263" s="176"/>
      <c r="G3263" s="176"/>
      <c r="H3263" s="176"/>
      <c r="I3263" s="172"/>
      <c r="J3263" s="173"/>
    </row>
    <row r="3264" spans="1:10" x14ac:dyDescent="0.25">
      <c r="A3264" s="106"/>
      <c r="B3264" s="107"/>
      <c r="D3264" s="151"/>
      <c r="E3264" s="142"/>
      <c r="F3264" s="176"/>
      <c r="G3264" s="176"/>
      <c r="H3264" s="176"/>
      <c r="I3264" s="172"/>
      <c r="J3264" s="173"/>
    </row>
    <row r="3265" spans="1:10" x14ac:dyDescent="0.25">
      <c r="A3265" s="106"/>
      <c r="B3265" s="107"/>
      <c r="D3265" s="151"/>
      <c r="E3265" s="142"/>
      <c r="F3265" s="176"/>
      <c r="G3265" s="176"/>
      <c r="H3265" s="176"/>
      <c r="I3265" s="172"/>
      <c r="J3265" s="173"/>
    </row>
    <row r="3266" spans="1:10" x14ac:dyDescent="0.25">
      <c r="A3266" s="106"/>
      <c r="B3266" s="107"/>
      <c r="D3266" s="151"/>
      <c r="E3266" s="142"/>
      <c r="F3266" s="176"/>
      <c r="G3266" s="176"/>
      <c r="H3266" s="176"/>
      <c r="I3266" s="172"/>
      <c r="J3266" s="173"/>
    </row>
    <row r="3267" spans="1:10" x14ac:dyDescent="0.25">
      <c r="A3267" s="106"/>
      <c r="B3267" s="107"/>
      <c r="D3267" s="151"/>
      <c r="E3267" s="142"/>
      <c r="F3267" s="176"/>
      <c r="G3267" s="176"/>
      <c r="H3267" s="176"/>
      <c r="I3267" s="172"/>
      <c r="J3267" s="173"/>
    </row>
    <row r="3268" spans="1:10" x14ac:dyDescent="0.25">
      <c r="A3268" s="106"/>
      <c r="B3268" s="107"/>
      <c r="D3268" s="151"/>
      <c r="E3268" s="142"/>
      <c r="F3268" s="176"/>
      <c r="G3268" s="176"/>
      <c r="H3268" s="176"/>
      <c r="I3268" s="172"/>
      <c r="J3268" s="173"/>
    </row>
    <row r="3269" spans="1:10" x14ac:dyDescent="0.25">
      <c r="A3269" s="106"/>
      <c r="B3269" s="107"/>
      <c r="D3269" s="151"/>
      <c r="E3269" s="142"/>
      <c r="F3269" s="176"/>
      <c r="G3269" s="176"/>
      <c r="H3269" s="176"/>
      <c r="I3269" s="172"/>
      <c r="J3269" s="173"/>
    </row>
    <row r="3270" spans="1:10" x14ac:dyDescent="0.25">
      <c r="A3270" s="106"/>
      <c r="B3270" s="107"/>
      <c r="D3270" s="151"/>
      <c r="E3270" s="142"/>
      <c r="F3270" s="176"/>
      <c r="G3270" s="176"/>
      <c r="H3270" s="176"/>
      <c r="I3270" s="172"/>
      <c r="J3270" s="173"/>
    </row>
    <row r="3271" spans="1:10" x14ac:dyDescent="0.25">
      <c r="A3271" s="106"/>
      <c r="B3271" s="107"/>
      <c r="D3271" s="151"/>
      <c r="E3271" s="142"/>
      <c r="F3271" s="176"/>
      <c r="G3271" s="176"/>
      <c r="H3271" s="176"/>
      <c r="I3271" s="172"/>
      <c r="J3271" s="173"/>
    </row>
    <row r="3272" spans="1:10" x14ac:dyDescent="0.25">
      <c r="A3272" s="106"/>
      <c r="B3272" s="107"/>
      <c r="D3272" s="151"/>
      <c r="E3272" s="142"/>
      <c r="F3272" s="176"/>
      <c r="G3272" s="176"/>
      <c r="H3272" s="176"/>
      <c r="I3272" s="172"/>
      <c r="J3272" s="173"/>
    </row>
    <row r="3273" spans="1:10" x14ac:dyDescent="0.25">
      <c r="A3273" s="106"/>
      <c r="B3273" s="107"/>
      <c r="D3273" s="151"/>
      <c r="E3273" s="142"/>
      <c r="F3273" s="176"/>
      <c r="G3273" s="176"/>
      <c r="H3273" s="176"/>
      <c r="I3273" s="172"/>
      <c r="J3273" s="173"/>
    </row>
    <row r="3274" spans="1:10" x14ac:dyDescent="0.25">
      <c r="A3274" s="106"/>
      <c r="B3274" s="107"/>
      <c r="D3274" s="151"/>
      <c r="E3274" s="142"/>
      <c r="F3274" s="176"/>
      <c r="G3274" s="176"/>
      <c r="H3274" s="176"/>
      <c r="I3274" s="172"/>
      <c r="J3274" s="173"/>
    </row>
    <row r="3275" spans="1:10" x14ac:dyDescent="0.25">
      <c r="A3275" s="106"/>
      <c r="B3275" s="107"/>
      <c r="D3275" s="151"/>
      <c r="E3275" s="142"/>
      <c r="F3275" s="176"/>
      <c r="G3275" s="176"/>
      <c r="H3275" s="176"/>
      <c r="I3275" s="172"/>
      <c r="J3275" s="173"/>
    </row>
    <row r="3276" spans="1:10" x14ac:dyDescent="0.25">
      <c r="A3276" s="106"/>
      <c r="B3276" s="107"/>
      <c r="D3276" s="151"/>
      <c r="E3276" s="142"/>
      <c r="F3276" s="176"/>
      <c r="G3276" s="176"/>
      <c r="H3276" s="176"/>
      <c r="I3276" s="172"/>
      <c r="J3276" s="173"/>
    </row>
    <row r="3277" spans="1:10" x14ac:dyDescent="0.25">
      <c r="A3277" s="106"/>
      <c r="B3277" s="107"/>
      <c r="D3277" s="151"/>
      <c r="E3277" s="142"/>
      <c r="F3277" s="176"/>
      <c r="G3277" s="176"/>
      <c r="H3277" s="176"/>
      <c r="I3277" s="172"/>
      <c r="J3277" s="173"/>
    </row>
    <row r="3278" spans="1:10" x14ac:dyDescent="0.25">
      <c r="A3278" s="106"/>
      <c r="B3278" s="107"/>
      <c r="D3278" s="151"/>
      <c r="E3278" s="142"/>
      <c r="F3278" s="176"/>
      <c r="G3278" s="176"/>
      <c r="H3278" s="176"/>
      <c r="I3278" s="172"/>
      <c r="J3278" s="173"/>
    </row>
    <row r="3279" spans="1:10" x14ac:dyDescent="0.25">
      <c r="A3279" s="106"/>
      <c r="B3279" s="107"/>
      <c r="D3279" s="151"/>
      <c r="E3279" s="142"/>
      <c r="F3279" s="176"/>
      <c r="G3279" s="176"/>
      <c r="H3279" s="176"/>
      <c r="I3279" s="172"/>
      <c r="J3279" s="173"/>
    </row>
    <row r="3280" spans="1:10" x14ac:dyDescent="0.25">
      <c r="A3280" s="106"/>
      <c r="B3280" s="107"/>
      <c r="D3280" s="151"/>
      <c r="E3280" s="142"/>
      <c r="F3280" s="176"/>
      <c r="G3280" s="176"/>
      <c r="H3280" s="176"/>
      <c r="I3280" s="172"/>
      <c r="J3280" s="173"/>
    </row>
    <row r="3281" spans="1:10" x14ac:dyDescent="0.25">
      <c r="A3281" s="106"/>
      <c r="B3281" s="107"/>
      <c r="D3281" s="151"/>
      <c r="E3281" s="142"/>
      <c r="F3281" s="176"/>
      <c r="G3281" s="176"/>
      <c r="H3281" s="176"/>
      <c r="I3281" s="172"/>
      <c r="J3281" s="173"/>
    </row>
    <row r="3282" spans="1:10" x14ac:dyDescent="0.25">
      <c r="A3282" s="106"/>
      <c r="B3282" s="107"/>
      <c r="D3282" s="151"/>
      <c r="E3282" s="142"/>
      <c r="F3282" s="176"/>
      <c r="G3282" s="176"/>
      <c r="H3282" s="176"/>
      <c r="I3282" s="172"/>
      <c r="J3282" s="173"/>
    </row>
    <row r="3283" spans="1:10" x14ac:dyDescent="0.25">
      <c r="A3283" s="106"/>
      <c r="B3283" s="107"/>
      <c r="D3283" s="151"/>
      <c r="E3283" s="142"/>
      <c r="F3283" s="176"/>
      <c r="G3283" s="176"/>
      <c r="H3283" s="176"/>
      <c r="I3283" s="172"/>
      <c r="J3283" s="173"/>
    </row>
    <row r="3284" spans="1:10" x14ac:dyDescent="0.25">
      <c r="A3284" s="106"/>
      <c r="B3284" s="107"/>
      <c r="D3284" s="151"/>
      <c r="E3284" s="142"/>
      <c r="F3284" s="176"/>
      <c r="G3284" s="176"/>
      <c r="H3284" s="176"/>
      <c r="I3284" s="172"/>
      <c r="J3284" s="173"/>
    </row>
    <row r="3285" spans="1:10" x14ac:dyDescent="0.25">
      <c r="A3285" s="106"/>
      <c r="B3285" s="107"/>
      <c r="D3285" s="151"/>
      <c r="E3285" s="142"/>
      <c r="F3285" s="176"/>
      <c r="G3285" s="176"/>
      <c r="H3285" s="176"/>
      <c r="I3285" s="172"/>
      <c r="J3285" s="173"/>
    </row>
    <row r="3286" spans="1:10" x14ac:dyDescent="0.25">
      <c r="A3286" s="106"/>
      <c r="B3286" s="107"/>
      <c r="D3286" s="151"/>
      <c r="E3286" s="142"/>
      <c r="F3286" s="176"/>
      <c r="G3286" s="176"/>
      <c r="H3286" s="176"/>
      <c r="I3286" s="172"/>
      <c r="J3286" s="173"/>
    </row>
    <row r="3287" spans="1:10" x14ac:dyDescent="0.25">
      <c r="A3287" s="106"/>
      <c r="B3287" s="107"/>
      <c r="D3287" s="151"/>
      <c r="E3287" s="142"/>
      <c r="F3287" s="176"/>
      <c r="G3287" s="176"/>
      <c r="H3287" s="176"/>
      <c r="I3287" s="172"/>
      <c r="J3287" s="173"/>
    </row>
    <row r="3288" spans="1:10" x14ac:dyDescent="0.25">
      <c r="A3288" s="106"/>
      <c r="B3288" s="107"/>
      <c r="D3288" s="151"/>
      <c r="E3288" s="142"/>
      <c r="F3288" s="176"/>
      <c r="G3288" s="176"/>
      <c r="H3288" s="176"/>
      <c r="I3288" s="172"/>
      <c r="J3288" s="173"/>
    </row>
    <row r="3289" spans="1:10" x14ac:dyDescent="0.25">
      <c r="A3289" s="106"/>
      <c r="B3289" s="107"/>
      <c r="D3289" s="151"/>
      <c r="E3289" s="142"/>
      <c r="F3289" s="176"/>
      <c r="G3289" s="176"/>
      <c r="H3289" s="176"/>
      <c r="I3289" s="172"/>
      <c r="J3289" s="173"/>
    </row>
    <row r="3290" spans="1:10" x14ac:dyDescent="0.25">
      <c r="A3290" s="106"/>
      <c r="B3290" s="107"/>
      <c r="D3290" s="151"/>
      <c r="E3290" s="142"/>
      <c r="F3290" s="176"/>
      <c r="G3290" s="176"/>
      <c r="H3290" s="176"/>
      <c r="I3290" s="172"/>
      <c r="J3290" s="173"/>
    </row>
    <row r="3291" spans="1:10" x14ac:dyDescent="0.25">
      <c r="A3291" s="106"/>
      <c r="B3291" s="107"/>
      <c r="D3291" s="151"/>
      <c r="E3291" s="142"/>
      <c r="F3291" s="176"/>
      <c r="G3291" s="176"/>
      <c r="H3291" s="176"/>
      <c r="I3291" s="172"/>
      <c r="J3291" s="173"/>
    </row>
    <row r="3292" spans="1:10" x14ac:dyDescent="0.25">
      <c r="A3292" s="106"/>
      <c r="B3292" s="107"/>
      <c r="D3292" s="151"/>
      <c r="E3292" s="142"/>
      <c r="F3292" s="176"/>
      <c r="G3292" s="176"/>
      <c r="H3292" s="176"/>
      <c r="I3292" s="172"/>
      <c r="J3292" s="173"/>
    </row>
    <row r="3293" spans="1:10" x14ac:dyDescent="0.25">
      <c r="A3293" s="106"/>
      <c r="B3293" s="107"/>
      <c r="D3293" s="151"/>
      <c r="E3293" s="142"/>
      <c r="F3293" s="176"/>
      <c r="G3293" s="176"/>
      <c r="H3293" s="176"/>
      <c r="I3293" s="172"/>
      <c r="J3293" s="173"/>
    </row>
    <row r="3294" spans="1:10" x14ac:dyDescent="0.25">
      <c r="A3294" s="106"/>
      <c r="B3294" s="107"/>
      <c r="D3294" s="151"/>
      <c r="E3294" s="142"/>
      <c r="F3294" s="176"/>
      <c r="G3294" s="176"/>
      <c r="H3294" s="176"/>
      <c r="I3294" s="172"/>
      <c r="J3294" s="173"/>
    </row>
    <row r="3295" spans="1:10" x14ac:dyDescent="0.25">
      <c r="A3295" s="106"/>
      <c r="B3295" s="107"/>
      <c r="D3295" s="151"/>
      <c r="E3295" s="142"/>
      <c r="F3295" s="176"/>
      <c r="G3295" s="176"/>
      <c r="H3295" s="176"/>
      <c r="I3295" s="172"/>
      <c r="J3295" s="173"/>
    </row>
    <row r="3296" spans="1:10" x14ac:dyDescent="0.25">
      <c r="A3296" s="106"/>
      <c r="B3296" s="107"/>
      <c r="D3296" s="151"/>
      <c r="E3296" s="142"/>
      <c r="F3296" s="176"/>
      <c r="G3296" s="176"/>
      <c r="H3296" s="176"/>
      <c r="I3296" s="172"/>
      <c r="J3296" s="173"/>
    </row>
    <row r="3297" spans="1:10" x14ac:dyDescent="0.25">
      <c r="A3297" s="106"/>
      <c r="B3297" s="107"/>
      <c r="D3297" s="151"/>
      <c r="E3297" s="142"/>
      <c r="F3297" s="176"/>
      <c r="G3297" s="176"/>
      <c r="H3297" s="176"/>
      <c r="I3297" s="172"/>
      <c r="J3297" s="173"/>
    </row>
    <row r="3298" spans="1:10" x14ac:dyDescent="0.25">
      <c r="A3298" s="106"/>
      <c r="B3298" s="107"/>
      <c r="D3298" s="151"/>
      <c r="E3298" s="142"/>
      <c r="F3298" s="176"/>
      <c r="G3298" s="176"/>
      <c r="H3298" s="176"/>
      <c r="I3298" s="172"/>
      <c r="J3298" s="173"/>
    </row>
    <row r="3299" spans="1:10" x14ac:dyDescent="0.25">
      <c r="A3299" s="106"/>
      <c r="B3299" s="107"/>
      <c r="D3299" s="151"/>
      <c r="E3299" s="142"/>
      <c r="F3299" s="176"/>
      <c r="G3299" s="176"/>
      <c r="H3299" s="176"/>
      <c r="I3299" s="172"/>
      <c r="J3299" s="173"/>
    </row>
    <row r="3300" spans="1:10" x14ac:dyDescent="0.25">
      <c r="A3300" s="106"/>
      <c r="B3300" s="107"/>
      <c r="D3300" s="151"/>
      <c r="E3300" s="142"/>
      <c r="F3300" s="176"/>
      <c r="G3300" s="176"/>
      <c r="H3300" s="176"/>
      <c r="I3300" s="172"/>
      <c r="J3300" s="173"/>
    </row>
    <row r="3301" spans="1:10" x14ac:dyDescent="0.25">
      <c r="A3301" s="106"/>
      <c r="B3301" s="107"/>
      <c r="D3301" s="151"/>
      <c r="E3301" s="142"/>
      <c r="F3301" s="176"/>
      <c r="G3301" s="176"/>
      <c r="H3301" s="176"/>
      <c r="I3301" s="172"/>
      <c r="J3301" s="173"/>
    </row>
    <row r="3302" spans="1:10" x14ac:dyDescent="0.25">
      <c r="A3302" s="106"/>
      <c r="B3302" s="107"/>
      <c r="D3302" s="151"/>
      <c r="E3302" s="142"/>
      <c r="F3302" s="176"/>
      <c r="G3302" s="176"/>
      <c r="H3302" s="176"/>
      <c r="I3302" s="172"/>
      <c r="J3302" s="173"/>
    </row>
    <row r="3303" spans="1:10" x14ac:dyDescent="0.25">
      <c r="A3303" s="106"/>
      <c r="B3303" s="107"/>
      <c r="D3303" s="151"/>
      <c r="E3303" s="142"/>
      <c r="F3303" s="176"/>
      <c r="G3303" s="176"/>
      <c r="H3303" s="176"/>
      <c r="I3303" s="172"/>
      <c r="J3303" s="173"/>
    </row>
    <row r="3304" spans="1:10" x14ac:dyDescent="0.25">
      <c r="A3304" s="106"/>
      <c r="B3304" s="107"/>
      <c r="D3304" s="151"/>
      <c r="E3304" s="142"/>
      <c r="F3304" s="176"/>
      <c r="G3304" s="176"/>
      <c r="H3304" s="176"/>
      <c r="I3304" s="172"/>
      <c r="J3304" s="173"/>
    </row>
    <row r="3305" spans="1:10" x14ac:dyDescent="0.25">
      <c r="A3305" s="106"/>
      <c r="B3305" s="107"/>
      <c r="D3305" s="151"/>
      <c r="E3305" s="142"/>
      <c r="F3305" s="176"/>
      <c r="G3305" s="176"/>
      <c r="H3305" s="176"/>
      <c r="I3305" s="172"/>
      <c r="J3305" s="173"/>
    </row>
    <row r="3306" spans="1:10" x14ac:dyDescent="0.25">
      <c r="A3306" s="106"/>
      <c r="B3306" s="107"/>
      <c r="D3306" s="151"/>
      <c r="E3306" s="142"/>
      <c r="F3306" s="176"/>
      <c r="G3306" s="176"/>
      <c r="H3306" s="176"/>
      <c r="I3306" s="172"/>
      <c r="J3306" s="173"/>
    </row>
    <row r="3307" spans="1:10" x14ac:dyDescent="0.25">
      <c r="A3307" s="106"/>
      <c r="B3307" s="107"/>
      <c r="D3307" s="151"/>
      <c r="E3307" s="142"/>
      <c r="F3307" s="176"/>
      <c r="G3307" s="176"/>
      <c r="H3307" s="176"/>
      <c r="I3307" s="172"/>
      <c r="J3307" s="173"/>
    </row>
    <row r="3308" spans="1:10" x14ac:dyDescent="0.25">
      <c r="A3308" s="106"/>
      <c r="B3308" s="107"/>
      <c r="D3308" s="151"/>
      <c r="E3308" s="142"/>
      <c r="F3308" s="176"/>
      <c r="G3308" s="176"/>
      <c r="H3308" s="176"/>
      <c r="I3308" s="172"/>
      <c r="J3308" s="173"/>
    </row>
    <row r="3309" spans="1:10" x14ac:dyDescent="0.25">
      <c r="A3309" s="106"/>
      <c r="B3309" s="107"/>
      <c r="D3309" s="151"/>
      <c r="E3309" s="142"/>
      <c r="F3309" s="176"/>
      <c r="G3309" s="176"/>
      <c r="H3309" s="176"/>
      <c r="I3309" s="172"/>
      <c r="J3309" s="173"/>
    </row>
    <row r="3310" spans="1:10" x14ac:dyDescent="0.25">
      <c r="A3310" s="106"/>
      <c r="B3310" s="107"/>
      <c r="D3310" s="151"/>
      <c r="E3310" s="142"/>
      <c r="F3310" s="176"/>
      <c r="G3310" s="176"/>
      <c r="H3310" s="176"/>
      <c r="I3310" s="172"/>
      <c r="J3310" s="173"/>
    </row>
    <row r="3311" spans="1:10" x14ac:dyDescent="0.25">
      <c r="A3311" s="106"/>
      <c r="B3311" s="107"/>
      <c r="D3311" s="151"/>
      <c r="E3311" s="142"/>
      <c r="F3311" s="176"/>
      <c r="G3311" s="176"/>
      <c r="H3311" s="176"/>
      <c r="I3311" s="172"/>
      <c r="J3311" s="173"/>
    </row>
    <row r="3312" spans="1:10" x14ac:dyDescent="0.25">
      <c r="A3312" s="106"/>
      <c r="B3312" s="107"/>
      <c r="D3312" s="151"/>
      <c r="E3312" s="142"/>
      <c r="F3312" s="176"/>
      <c r="G3312" s="176"/>
      <c r="H3312" s="176"/>
      <c r="I3312" s="172"/>
      <c r="J3312" s="173"/>
    </row>
    <row r="3313" spans="1:10" x14ac:dyDescent="0.25">
      <c r="A3313" s="106"/>
      <c r="B3313" s="107"/>
      <c r="D3313" s="151"/>
      <c r="E3313" s="142"/>
      <c r="F3313" s="176"/>
      <c r="G3313" s="176"/>
      <c r="H3313" s="176"/>
      <c r="I3313" s="172"/>
      <c r="J3313" s="173"/>
    </row>
    <row r="3314" spans="1:10" x14ac:dyDescent="0.25">
      <c r="A3314" s="106"/>
      <c r="B3314" s="107"/>
      <c r="D3314" s="151"/>
      <c r="E3314" s="142"/>
      <c r="F3314" s="176"/>
      <c r="G3314" s="176"/>
      <c r="H3314" s="176"/>
      <c r="I3314" s="172"/>
      <c r="J3314" s="173"/>
    </row>
    <row r="3315" spans="1:10" x14ac:dyDescent="0.25">
      <c r="A3315" s="106"/>
      <c r="B3315" s="107"/>
      <c r="D3315" s="151"/>
      <c r="E3315" s="142"/>
      <c r="F3315" s="176"/>
      <c r="G3315" s="176"/>
      <c r="H3315" s="176"/>
      <c r="I3315" s="172"/>
      <c r="J3315" s="173"/>
    </row>
    <row r="3316" spans="1:10" x14ac:dyDescent="0.25">
      <c r="A3316" s="106"/>
      <c r="B3316" s="107"/>
      <c r="D3316" s="151"/>
      <c r="E3316" s="142"/>
      <c r="F3316" s="176"/>
      <c r="G3316" s="176"/>
      <c r="H3316" s="176"/>
      <c r="I3316" s="172"/>
      <c r="J3316" s="173"/>
    </row>
    <row r="3317" spans="1:10" x14ac:dyDescent="0.25">
      <c r="A3317" s="106"/>
      <c r="B3317" s="107"/>
      <c r="D3317" s="151"/>
      <c r="E3317" s="142"/>
      <c r="F3317" s="176"/>
      <c r="G3317" s="176"/>
      <c r="H3317" s="176"/>
      <c r="I3317" s="172"/>
      <c r="J3317" s="173"/>
    </row>
    <row r="3318" spans="1:10" x14ac:dyDescent="0.25">
      <c r="A3318" s="106"/>
      <c r="B3318" s="107"/>
      <c r="D3318" s="151"/>
      <c r="E3318" s="142"/>
      <c r="F3318" s="176"/>
      <c r="G3318" s="176"/>
      <c r="H3318" s="176"/>
      <c r="I3318" s="172"/>
      <c r="J3318" s="173"/>
    </row>
    <row r="3319" spans="1:10" x14ac:dyDescent="0.25">
      <c r="A3319" s="106"/>
      <c r="B3319" s="107"/>
      <c r="D3319" s="151"/>
      <c r="E3319" s="142"/>
      <c r="F3319" s="176"/>
      <c r="G3319" s="176"/>
      <c r="H3319" s="176"/>
      <c r="I3319" s="172"/>
      <c r="J3319" s="173"/>
    </row>
    <row r="3320" spans="1:10" x14ac:dyDescent="0.25">
      <c r="A3320" s="106"/>
      <c r="B3320" s="107"/>
      <c r="D3320" s="151"/>
      <c r="E3320" s="142"/>
      <c r="F3320" s="176"/>
      <c r="G3320" s="176"/>
      <c r="H3320" s="176"/>
      <c r="I3320" s="172"/>
      <c r="J3320" s="173"/>
    </row>
    <row r="3321" spans="1:10" x14ac:dyDescent="0.25">
      <c r="A3321" s="106"/>
      <c r="B3321" s="107"/>
      <c r="D3321" s="151"/>
      <c r="E3321" s="142"/>
      <c r="F3321" s="176"/>
      <c r="G3321" s="176"/>
      <c r="H3321" s="176"/>
      <c r="I3321" s="172"/>
      <c r="J3321" s="173"/>
    </row>
    <row r="3322" spans="1:10" x14ac:dyDescent="0.25">
      <c r="A3322" s="106"/>
      <c r="B3322" s="107"/>
      <c r="D3322" s="151"/>
      <c r="E3322" s="142"/>
      <c r="F3322" s="176"/>
      <c r="G3322" s="176"/>
      <c r="H3322" s="176"/>
      <c r="I3322" s="172"/>
      <c r="J3322" s="173"/>
    </row>
    <row r="3323" spans="1:10" x14ac:dyDescent="0.25">
      <c r="A3323" s="106"/>
      <c r="B3323" s="107"/>
      <c r="D3323" s="151"/>
      <c r="E3323" s="142"/>
      <c r="F3323" s="176"/>
      <c r="G3323" s="176"/>
      <c r="H3323" s="176"/>
      <c r="I3323" s="172"/>
      <c r="J3323" s="173"/>
    </row>
    <row r="3324" spans="1:10" x14ac:dyDescent="0.25">
      <c r="A3324" s="106"/>
      <c r="B3324" s="107"/>
      <c r="D3324" s="151"/>
      <c r="E3324" s="142"/>
      <c r="F3324" s="176"/>
      <c r="G3324" s="176"/>
      <c r="H3324" s="176"/>
      <c r="I3324" s="172"/>
      <c r="J3324" s="173"/>
    </row>
    <row r="3325" spans="1:10" x14ac:dyDescent="0.25">
      <c r="A3325" s="106"/>
      <c r="B3325" s="107"/>
      <c r="D3325" s="151"/>
      <c r="E3325" s="142"/>
      <c r="F3325" s="176"/>
      <c r="G3325" s="176"/>
      <c r="H3325" s="176"/>
      <c r="I3325" s="172"/>
      <c r="J3325" s="173"/>
    </row>
    <row r="3326" spans="1:10" x14ac:dyDescent="0.25">
      <c r="A3326" s="106"/>
      <c r="B3326" s="107"/>
      <c r="D3326" s="151"/>
      <c r="E3326" s="142"/>
      <c r="F3326" s="176"/>
      <c r="G3326" s="176"/>
      <c r="H3326" s="176"/>
      <c r="I3326" s="172"/>
      <c r="J3326" s="173"/>
    </row>
    <row r="3327" spans="1:10" x14ac:dyDescent="0.25">
      <c r="A3327" s="106"/>
      <c r="B3327" s="107"/>
      <c r="D3327" s="151"/>
      <c r="E3327" s="142"/>
      <c r="F3327" s="176"/>
      <c r="G3327" s="176"/>
      <c r="H3327" s="176"/>
      <c r="I3327" s="172"/>
      <c r="J3327" s="173"/>
    </row>
    <row r="3328" spans="1:10" x14ac:dyDescent="0.25">
      <c r="A3328" s="106"/>
      <c r="B3328" s="107"/>
      <c r="D3328" s="151"/>
      <c r="E3328" s="142"/>
      <c r="F3328" s="176"/>
      <c r="G3328" s="176"/>
      <c r="H3328" s="176"/>
      <c r="I3328" s="172"/>
      <c r="J3328" s="173"/>
    </row>
    <row r="3329" spans="1:10" x14ac:dyDescent="0.25">
      <c r="A3329" s="106"/>
      <c r="B3329" s="107"/>
      <c r="D3329" s="151"/>
      <c r="E3329" s="142"/>
      <c r="F3329" s="176"/>
      <c r="G3329" s="176"/>
      <c r="H3329" s="176"/>
      <c r="I3329" s="172"/>
      <c r="J3329" s="173"/>
    </row>
    <row r="3330" spans="1:10" x14ac:dyDescent="0.25">
      <c r="A3330" s="106"/>
      <c r="B3330" s="107"/>
      <c r="D3330" s="151"/>
      <c r="E3330" s="142"/>
      <c r="F3330" s="176"/>
      <c r="G3330" s="176"/>
      <c r="H3330" s="176"/>
      <c r="I3330" s="172"/>
      <c r="J3330" s="173"/>
    </row>
    <row r="3331" spans="1:10" x14ac:dyDescent="0.25">
      <c r="A3331" s="106"/>
      <c r="B3331" s="107"/>
      <c r="D3331" s="151"/>
      <c r="E3331" s="142"/>
      <c r="F3331" s="176"/>
      <c r="G3331" s="176"/>
      <c r="H3331" s="176"/>
      <c r="I3331" s="172"/>
      <c r="J3331" s="173"/>
    </row>
    <row r="3332" spans="1:10" x14ac:dyDescent="0.25">
      <c r="A3332" s="106"/>
      <c r="B3332" s="107"/>
      <c r="D3332" s="151"/>
      <c r="E3332" s="142"/>
      <c r="F3332" s="176"/>
      <c r="G3332" s="176"/>
      <c r="H3332" s="176"/>
      <c r="I3332" s="172"/>
      <c r="J3332" s="173"/>
    </row>
    <row r="3333" spans="1:10" x14ac:dyDescent="0.25">
      <c r="A3333" s="106"/>
      <c r="B3333" s="107"/>
      <c r="D3333" s="151"/>
      <c r="E3333" s="142"/>
      <c r="F3333" s="176"/>
      <c r="G3333" s="176"/>
      <c r="H3333" s="176"/>
      <c r="I3333" s="172"/>
      <c r="J3333" s="173"/>
    </row>
    <row r="3334" spans="1:10" x14ac:dyDescent="0.25">
      <c r="A3334" s="106"/>
      <c r="B3334" s="107"/>
      <c r="D3334" s="151"/>
      <c r="E3334" s="142"/>
      <c r="F3334" s="176"/>
      <c r="G3334" s="176"/>
      <c r="H3334" s="176"/>
      <c r="I3334" s="172"/>
      <c r="J3334" s="173"/>
    </row>
    <row r="3335" spans="1:10" x14ac:dyDescent="0.25">
      <c r="A3335" s="106"/>
      <c r="B3335" s="107"/>
      <c r="D3335" s="151"/>
      <c r="E3335" s="142"/>
      <c r="F3335" s="176"/>
      <c r="G3335" s="176"/>
      <c r="H3335" s="176"/>
      <c r="I3335" s="172"/>
      <c r="J3335" s="173"/>
    </row>
    <row r="3336" spans="1:10" x14ac:dyDescent="0.25">
      <c r="A3336" s="106"/>
      <c r="B3336" s="107"/>
      <c r="D3336" s="151"/>
      <c r="E3336" s="142"/>
      <c r="F3336" s="176"/>
      <c r="G3336" s="176"/>
      <c r="H3336" s="176"/>
      <c r="I3336" s="172"/>
      <c r="J3336" s="173"/>
    </row>
    <row r="3337" spans="1:10" x14ac:dyDescent="0.25">
      <c r="A3337" s="106"/>
      <c r="B3337" s="107"/>
      <c r="D3337" s="151"/>
      <c r="E3337" s="142"/>
      <c r="F3337" s="176"/>
      <c r="G3337" s="176"/>
      <c r="H3337" s="176"/>
      <c r="I3337" s="172"/>
      <c r="J3337" s="173"/>
    </row>
    <row r="3338" spans="1:10" x14ac:dyDescent="0.25">
      <c r="A3338" s="106"/>
      <c r="B3338" s="107"/>
      <c r="D3338" s="151"/>
      <c r="E3338" s="142"/>
      <c r="F3338" s="176"/>
      <c r="G3338" s="176"/>
      <c r="H3338" s="176"/>
      <c r="I3338" s="172"/>
      <c r="J3338" s="173"/>
    </row>
    <row r="3339" spans="1:10" x14ac:dyDescent="0.25">
      <c r="A3339" s="106"/>
      <c r="B3339" s="107"/>
      <c r="D3339" s="151"/>
      <c r="E3339" s="142"/>
      <c r="F3339" s="176"/>
      <c r="G3339" s="176"/>
      <c r="H3339" s="176"/>
      <c r="I3339" s="172"/>
      <c r="J3339" s="173"/>
    </row>
    <row r="3340" spans="1:10" x14ac:dyDescent="0.25">
      <c r="A3340" s="106"/>
      <c r="B3340" s="107"/>
      <c r="D3340" s="151"/>
      <c r="E3340" s="142"/>
      <c r="F3340" s="176"/>
      <c r="G3340" s="176"/>
      <c r="H3340" s="176"/>
      <c r="I3340" s="172"/>
      <c r="J3340" s="173"/>
    </row>
    <row r="3341" spans="1:10" x14ac:dyDescent="0.25">
      <c r="A3341" s="106"/>
      <c r="B3341" s="107"/>
      <c r="D3341" s="151"/>
      <c r="E3341" s="142"/>
      <c r="F3341" s="176"/>
      <c r="G3341" s="176"/>
      <c r="H3341" s="176"/>
      <c r="I3341" s="172"/>
      <c r="J3341" s="173"/>
    </row>
    <row r="3342" spans="1:10" x14ac:dyDescent="0.25">
      <c r="A3342" s="106"/>
      <c r="B3342" s="107"/>
      <c r="D3342" s="151"/>
      <c r="E3342" s="142"/>
      <c r="F3342" s="176"/>
      <c r="G3342" s="176"/>
      <c r="H3342" s="176"/>
      <c r="I3342" s="172"/>
      <c r="J3342" s="173"/>
    </row>
    <row r="3343" spans="1:10" x14ac:dyDescent="0.25">
      <c r="A3343" s="106"/>
      <c r="B3343" s="107"/>
      <c r="D3343" s="151"/>
      <c r="E3343" s="142"/>
      <c r="F3343" s="176"/>
      <c r="G3343" s="176"/>
      <c r="H3343" s="176"/>
      <c r="I3343" s="172"/>
      <c r="J3343" s="173"/>
    </row>
    <row r="3344" spans="1:10" x14ac:dyDescent="0.25">
      <c r="A3344" s="106"/>
      <c r="B3344" s="107"/>
      <c r="D3344" s="151"/>
      <c r="E3344" s="142"/>
      <c r="F3344" s="176"/>
      <c r="G3344" s="176"/>
      <c r="H3344" s="176"/>
      <c r="I3344" s="172"/>
      <c r="J3344" s="173"/>
    </row>
    <row r="3345" spans="1:10" x14ac:dyDescent="0.25">
      <c r="A3345" s="106"/>
      <c r="B3345" s="107"/>
      <c r="D3345" s="151"/>
      <c r="E3345" s="142"/>
      <c r="F3345" s="176"/>
      <c r="G3345" s="176"/>
      <c r="H3345" s="176"/>
      <c r="I3345" s="172"/>
      <c r="J3345" s="173"/>
    </row>
    <row r="3346" spans="1:10" x14ac:dyDescent="0.25">
      <c r="A3346" s="106"/>
      <c r="B3346" s="107"/>
      <c r="D3346" s="151"/>
      <c r="E3346" s="142"/>
      <c r="F3346" s="176"/>
      <c r="G3346" s="176"/>
      <c r="H3346" s="176"/>
      <c r="I3346" s="172"/>
      <c r="J3346" s="173"/>
    </row>
    <row r="3347" spans="1:10" x14ac:dyDescent="0.25">
      <c r="A3347" s="106"/>
      <c r="B3347" s="107"/>
      <c r="D3347" s="151"/>
      <c r="E3347" s="142"/>
      <c r="F3347" s="176"/>
      <c r="G3347" s="176"/>
      <c r="H3347" s="176"/>
      <c r="I3347" s="172"/>
      <c r="J3347" s="173"/>
    </row>
    <row r="3348" spans="1:10" x14ac:dyDescent="0.25">
      <c r="A3348" s="106"/>
      <c r="B3348" s="107"/>
      <c r="D3348" s="151"/>
      <c r="E3348" s="142"/>
      <c r="F3348" s="176"/>
      <c r="G3348" s="176"/>
      <c r="H3348" s="176"/>
      <c r="I3348" s="172"/>
      <c r="J3348" s="173"/>
    </row>
    <row r="3349" spans="1:10" x14ac:dyDescent="0.25">
      <c r="A3349" s="106"/>
      <c r="B3349" s="107"/>
      <c r="D3349" s="151"/>
      <c r="E3349" s="142"/>
      <c r="F3349" s="176"/>
      <c r="G3349" s="176"/>
      <c r="H3349" s="176"/>
      <c r="I3349" s="172"/>
      <c r="J3349" s="173"/>
    </row>
    <row r="3350" spans="1:10" x14ac:dyDescent="0.25">
      <c r="A3350" s="106"/>
      <c r="B3350" s="107"/>
      <c r="D3350" s="151"/>
      <c r="E3350" s="142"/>
      <c r="F3350" s="176"/>
      <c r="G3350" s="176"/>
      <c r="H3350" s="176"/>
      <c r="I3350" s="172"/>
      <c r="J3350" s="173"/>
    </row>
    <row r="3351" spans="1:10" x14ac:dyDescent="0.25">
      <c r="A3351" s="106"/>
      <c r="B3351" s="107"/>
      <c r="D3351" s="151"/>
      <c r="E3351" s="142"/>
      <c r="F3351" s="176"/>
      <c r="G3351" s="176"/>
      <c r="H3351" s="176"/>
      <c r="I3351" s="172"/>
      <c r="J3351" s="173"/>
    </row>
    <row r="3352" spans="1:10" x14ac:dyDescent="0.25">
      <c r="A3352" s="106"/>
      <c r="B3352" s="107"/>
      <c r="D3352" s="151"/>
      <c r="E3352" s="142"/>
      <c r="F3352" s="176"/>
      <c r="G3352" s="176"/>
      <c r="H3352" s="176"/>
      <c r="I3352" s="172"/>
      <c r="J3352" s="173"/>
    </row>
    <row r="3353" spans="1:10" x14ac:dyDescent="0.25">
      <c r="A3353" s="106"/>
      <c r="B3353" s="107"/>
      <c r="D3353" s="151"/>
      <c r="E3353" s="142"/>
      <c r="F3353" s="176"/>
      <c r="G3353" s="176"/>
      <c r="H3353" s="176"/>
      <c r="I3353" s="172"/>
      <c r="J3353" s="173"/>
    </row>
    <row r="3354" spans="1:10" x14ac:dyDescent="0.25">
      <c r="A3354" s="106"/>
      <c r="B3354" s="107"/>
      <c r="D3354" s="151"/>
      <c r="E3354" s="142"/>
      <c r="F3354" s="176"/>
      <c r="G3354" s="176"/>
      <c r="H3354" s="176"/>
      <c r="I3354" s="172"/>
      <c r="J3354" s="173"/>
    </row>
    <row r="3355" spans="1:10" x14ac:dyDescent="0.25">
      <c r="A3355" s="106"/>
      <c r="B3355" s="107"/>
      <c r="D3355" s="151"/>
      <c r="E3355" s="142"/>
      <c r="F3355" s="176"/>
      <c r="G3355" s="176"/>
      <c r="H3355" s="176"/>
      <c r="I3355" s="172"/>
      <c r="J3355" s="173"/>
    </row>
    <row r="3356" spans="1:10" x14ac:dyDescent="0.25">
      <c r="A3356" s="106"/>
      <c r="B3356" s="107"/>
      <c r="D3356" s="151"/>
      <c r="E3356" s="142"/>
      <c r="F3356" s="176"/>
      <c r="G3356" s="176"/>
      <c r="H3356" s="176"/>
      <c r="I3356" s="172"/>
      <c r="J3356" s="173"/>
    </row>
    <row r="3357" spans="1:10" x14ac:dyDescent="0.25">
      <c r="A3357" s="106"/>
      <c r="B3357" s="107"/>
      <c r="D3357" s="151"/>
      <c r="E3357" s="142"/>
      <c r="F3357" s="176"/>
      <c r="G3357" s="176"/>
      <c r="H3357" s="176"/>
      <c r="I3357" s="172"/>
      <c r="J3357" s="173"/>
    </row>
    <row r="3358" spans="1:10" x14ac:dyDescent="0.25">
      <c r="A3358" s="106"/>
      <c r="B3358" s="107"/>
      <c r="D3358" s="151"/>
      <c r="E3358" s="142"/>
      <c r="F3358" s="176"/>
      <c r="G3358" s="176"/>
      <c r="H3358" s="176"/>
      <c r="I3358" s="172"/>
      <c r="J3358" s="173"/>
    </row>
    <row r="3359" spans="1:10" x14ac:dyDescent="0.25">
      <c r="A3359" s="106"/>
      <c r="B3359" s="107"/>
      <c r="D3359" s="151"/>
      <c r="E3359" s="142"/>
      <c r="F3359" s="176"/>
      <c r="G3359" s="176"/>
      <c r="H3359" s="176"/>
      <c r="I3359" s="172"/>
      <c r="J3359" s="173"/>
    </row>
    <row r="3360" spans="1:10" x14ac:dyDescent="0.25">
      <c r="A3360" s="106"/>
      <c r="B3360" s="107"/>
      <c r="D3360" s="151"/>
      <c r="E3360" s="142"/>
      <c r="F3360" s="176"/>
      <c r="G3360" s="176"/>
      <c r="H3360" s="176"/>
      <c r="I3360" s="172"/>
      <c r="J3360" s="173"/>
    </row>
    <row r="3361" spans="1:10" x14ac:dyDescent="0.25">
      <c r="A3361" s="106"/>
      <c r="B3361" s="107"/>
      <c r="D3361" s="151"/>
      <c r="E3361" s="142"/>
      <c r="F3361" s="176"/>
      <c r="G3361" s="176"/>
      <c r="H3361" s="176"/>
      <c r="I3361" s="172"/>
      <c r="J3361" s="173"/>
    </row>
    <row r="3362" spans="1:10" x14ac:dyDescent="0.25">
      <c r="A3362" s="106"/>
      <c r="B3362" s="107"/>
      <c r="D3362" s="151"/>
      <c r="E3362" s="142"/>
      <c r="F3362" s="176"/>
      <c r="G3362" s="176"/>
      <c r="H3362" s="176"/>
      <c r="I3362" s="172"/>
      <c r="J3362" s="173"/>
    </row>
    <row r="3363" spans="1:10" x14ac:dyDescent="0.25">
      <c r="A3363" s="106"/>
      <c r="B3363" s="107"/>
      <c r="D3363" s="151"/>
      <c r="E3363" s="142"/>
      <c r="F3363" s="176"/>
      <c r="G3363" s="176"/>
      <c r="H3363" s="176"/>
      <c r="I3363" s="172"/>
      <c r="J3363" s="173"/>
    </row>
    <row r="3364" spans="1:10" x14ac:dyDescent="0.25">
      <c r="A3364" s="106"/>
      <c r="B3364" s="107"/>
      <c r="D3364" s="151"/>
      <c r="E3364" s="142"/>
      <c r="F3364" s="176"/>
      <c r="G3364" s="176"/>
      <c r="H3364" s="176"/>
      <c r="I3364" s="172"/>
      <c r="J3364" s="173"/>
    </row>
    <row r="3365" spans="1:10" x14ac:dyDescent="0.25">
      <c r="A3365" s="106"/>
      <c r="B3365" s="107"/>
      <c r="D3365" s="151"/>
      <c r="E3365" s="142"/>
      <c r="F3365" s="176"/>
      <c r="G3365" s="176"/>
      <c r="H3365" s="176"/>
      <c r="I3365" s="172"/>
      <c r="J3365" s="173"/>
    </row>
    <row r="3366" spans="1:10" x14ac:dyDescent="0.25">
      <c r="A3366" s="106"/>
      <c r="B3366" s="107"/>
      <c r="D3366" s="151"/>
      <c r="E3366" s="142"/>
      <c r="F3366" s="176"/>
      <c r="G3366" s="176"/>
      <c r="H3366" s="176"/>
      <c r="I3366" s="172"/>
      <c r="J3366" s="173"/>
    </row>
    <row r="3367" spans="1:10" x14ac:dyDescent="0.25">
      <c r="A3367" s="106"/>
      <c r="B3367" s="107"/>
      <c r="D3367" s="151"/>
      <c r="E3367" s="142"/>
      <c r="F3367" s="176"/>
      <c r="G3367" s="176"/>
      <c r="H3367" s="176"/>
      <c r="I3367" s="172"/>
      <c r="J3367" s="173"/>
    </row>
    <row r="3368" spans="1:10" x14ac:dyDescent="0.25">
      <c r="A3368" s="106"/>
      <c r="B3368" s="107"/>
      <c r="D3368" s="151"/>
      <c r="E3368" s="142"/>
      <c r="F3368" s="176"/>
      <c r="G3368" s="176"/>
      <c r="H3368" s="176"/>
      <c r="I3368" s="172"/>
      <c r="J3368" s="173"/>
    </row>
    <row r="3369" spans="1:10" x14ac:dyDescent="0.25">
      <c r="A3369" s="106"/>
      <c r="B3369" s="107"/>
      <c r="D3369" s="151"/>
      <c r="E3369" s="142"/>
      <c r="F3369" s="176"/>
      <c r="G3369" s="176"/>
      <c r="H3369" s="176"/>
      <c r="I3369" s="172"/>
      <c r="J3369" s="173"/>
    </row>
    <row r="3370" spans="1:10" x14ac:dyDescent="0.25">
      <c r="A3370" s="106"/>
      <c r="B3370" s="107"/>
      <c r="D3370" s="151"/>
      <c r="E3370" s="142"/>
      <c r="F3370" s="176"/>
      <c r="G3370" s="176"/>
      <c r="H3370" s="176"/>
      <c r="I3370" s="172"/>
      <c r="J3370" s="173"/>
    </row>
    <row r="3371" spans="1:10" x14ac:dyDescent="0.25">
      <c r="A3371" s="106"/>
      <c r="B3371" s="107"/>
      <c r="D3371" s="151"/>
      <c r="E3371" s="142"/>
      <c r="F3371" s="176"/>
      <c r="G3371" s="176"/>
      <c r="H3371" s="176"/>
      <c r="I3371" s="172"/>
      <c r="J3371" s="173"/>
    </row>
    <row r="3372" spans="1:10" x14ac:dyDescent="0.25">
      <c r="A3372" s="106"/>
      <c r="B3372" s="107"/>
      <c r="D3372" s="151"/>
      <c r="E3372" s="142"/>
      <c r="F3372" s="176"/>
      <c r="G3372" s="176"/>
      <c r="H3372" s="176"/>
      <c r="I3372" s="172"/>
      <c r="J3372" s="173"/>
    </row>
    <row r="3373" spans="1:10" x14ac:dyDescent="0.25">
      <c r="A3373" s="106"/>
      <c r="B3373" s="107"/>
      <c r="D3373" s="151"/>
      <c r="E3373" s="142"/>
      <c r="F3373" s="176"/>
      <c r="G3373" s="176"/>
      <c r="H3373" s="176"/>
      <c r="I3373" s="172"/>
      <c r="J3373" s="173"/>
    </row>
    <row r="3374" spans="1:10" x14ac:dyDescent="0.25">
      <c r="A3374" s="106"/>
      <c r="B3374" s="107"/>
      <c r="D3374" s="151"/>
      <c r="E3374" s="142"/>
      <c r="F3374" s="176"/>
      <c r="G3374" s="176"/>
      <c r="H3374" s="176"/>
      <c r="I3374" s="172"/>
      <c r="J3374" s="173"/>
    </row>
    <row r="3375" spans="1:10" x14ac:dyDescent="0.25">
      <c r="A3375" s="106"/>
      <c r="B3375" s="107"/>
      <c r="D3375" s="151"/>
      <c r="E3375" s="142"/>
      <c r="F3375" s="176"/>
      <c r="G3375" s="176"/>
      <c r="H3375" s="176"/>
      <c r="I3375" s="172"/>
      <c r="J3375" s="173"/>
    </row>
    <row r="3376" spans="1:10" x14ac:dyDescent="0.25">
      <c r="A3376" s="106"/>
      <c r="B3376" s="107"/>
      <c r="D3376" s="151"/>
      <c r="E3376" s="142"/>
      <c r="F3376" s="176"/>
      <c r="G3376" s="176"/>
      <c r="H3376" s="176"/>
      <c r="I3376" s="172"/>
      <c r="J3376" s="173"/>
    </row>
    <row r="3377" spans="1:10" x14ac:dyDescent="0.25">
      <c r="A3377" s="106"/>
      <c r="B3377" s="107"/>
      <c r="D3377" s="151"/>
      <c r="E3377" s="142"/>
      <c r="F3377" s="176"/>
      <c r="G3377" s="176"/>
      <c r="H3377" s="176"/>
      <c r="I3377" s="172"/>
      <c r="J3377" s="173"/>
    </row>
    <row r="3378" spans="1:10" x14ac:dyDescent="0.25">
      <c r="A3378" s="106"/>
      <c r="B3378" s="107"/>
      <c r="D3378" s="151"/>
      <c r="E3378" s="142"/>
      <c r="F3378" s="176"/>
      <c r="G3378" s="176"/>
      <c r="H3378" s="176"/>
      <c r="I3378" s="172"/>
      <c r="J3378" s="173"/>
    </row>
    <row r="3379" spans="1:10" x14ac:dyDescent="0.25">
      <c r="A3379" s="106"/>
      <c r="B3379" s="107"/>
      <c r="D3379" s="151"/>
      <c r="E3379" s="142"/>
      <c r="F3379" s="176"/>
      <c r="G3379" s="176"/>
      <c r="H3379" s="176"/>
      <c r="I3379" s="172"/>
      <c r="J3379" s="173"/>
    </row>
    <row r="3380" spans="1:10" x14ac:dyDescent="0.25">
      <c r="A3380" s="106"/>
      <c r="B3380" s="107"/>
      <c r="D3380" s="151"/>
      <c r="E3380" s="142"/>
      <c r="F3380" s="176"/>
      <c r="G3380" s="176"/>
      <c r="H3380" s="176"/>
      <c r="I3380" s="172"/>
      <c r="J3380" s="173"/>
    </row>
    <row r="3381" spans="1:10" x14ac:dyDescent="0.25">
      <c r="A3381" s="106"/>
      <c r="B3381" s="107"/>
      <c r="D3381" s="151"/>
      <c r="E3381" s="142"/>
      <c r="F3381" s="176"/>
      <c r="G3381" s="176"/>
      <c r="H3381" s="176"/>
      <c r="I3381" s="172"/>
      <c r="J3381" s="173"/>
    </row>
    <row r="3382" spans="1:10" x14ac:dyDescent="0.25">
      <c r="A3382" s="106"/>
      <c r="B3382" s="107"/>
      <c r="D3382" s="151"/>
      <c r="E3382" s="142"/>
      <c r="F3382" s="176"/>
      <c r="G3382" s="176"/>
      <c r="H3382" s="176"/>
      <c r="I3382" s="172"/>
      <c r="J3382" s="173"/>
    </row>
    <row r="3383" spans="1:10" x14ac:dyDescent="0.25">
      <c r="A3383" s="106"/>
      <c r="B3383" s="107"/>
      <c r="D3383" s="151"/>
      <c r="E3383" s="142"/>
      <c r="F3383" s="176"/>
      <c r="G3383" s="176"/>
      <c r="H3383" s="176"/>
      <c r="I3383" s="172"/>
      <c r="J3383" s="173"/>
    </row>
    <row r="3384" spans="1:10" x14ac:dyDescent="0.25">
      <c r="A3384" s="106"/>
      <c r="B3384" s="107"/>
      <c r="D3384" s="151"/>
      <c r="E3384" s="142"/>
      <c r="F3384" s="176"/>
      <c r="G3384" s="176"/>
      <c r="H3384" s="176"/>
      <c r="I3384" s="172"/>
      <c r="J3384" s="173"/>
    </row>
    <row r="3385" spans="1:10" x14ac:dyDescent="0.25">
      <c r="A3385" s="106"/>
      <c r="B3385" s="107"/>
      <c r="D3385" s="151"/>
      <c r="E3385" s="142"/>
      <c r="F3385" s="176"/>
      <c r="G3385" s="176"/>
      <c r="H3385" s="176"/>
      <c r="I3385" s="172"/>
      <c r="J3385" s="173"/>
    </row>
    <row r="3386" spans="1:10" x14ac:dyDescent="0.25">
      <c r="A3386" s="106"/>
      <c r="B3386" s="107"/>
      <c r="D3386" s="151"/>
      <c r="E3386" s="142"/>
      <c r="F3386" s="176"/>
      <c r="G3386" s="176"/>
      <c r="H3386" s="176"/>
      <c r="I3386" s="172"/>
      <c r="J3386" s="173"/>
    </row>
    <row r="3387" spans="1:10" x14ac:dyDescent="0.25">
      <c r="A3387" s="106"/>
      <c r="B3387" s="107"/>
      <c r="D3387" s="151"/>
      <c r="E3387" s="142"/>
      <c r="F3387" s="176"/>
      <c r="G3387" s="176"/>
      <c r="H3387" s="176"/>
      <c r="I3387" s="172"/>
      <c r="J3387" s="173"/>
    </row>
    <row r="3388" spans="1:10" x14ac:dyDescent="0.25">
      <c r="A3388" s="106"/>
      <c r="B3388" s="107"/>
      <c r="D3388" s="151"/>
      <c r="E3388" s="142"/>
      <c r="F3388" s="176"/>
      <c r="G3388" s="176"/>
      <c r="H3388" s="176"/>
      <c r="I3388" s="172"/>
      <c r="J3388" s="173"/>
    </row>
    <row r="3389" spans="1:10" x14ac:dyDescent="0.25">
      <c r="A3389" s="106"/>
      <c r="B3389" s="107"/>
      <c r="D3389" s="151"/>
      <c r="E3389" s="142"/>
      <c r="F3389" s="176"/>
      <c r="G3389" s="176"/>
      <c r="H3389" s="176"/>
      <c r="I3389" s="172"/>
      <c r="J3389" s="173"/>
    </row>
    <row r="3390" spans="1:10" x14ac:dyDescent="0.25">
      <c r="A3390" s="106"/>
      <c r="B3390" s="107"/>
      <c r="D3390" s="151"/>
      <c r="E3390" s="142"/>
      <c r="F3390" s="176"/>
      <c r="G3390" s="176"/>
      <c r="H3390" s="176"/>
      <c r="I3390" s="172"/>
      <c r="J3390" s="173"/>
    </row>
    <row r="3391" spans="1:10" x14ac:dyDescent="0.25">
      <c r="A3391" s="106"/>
      <c r="B3391" s="107"/>
      <c r="D3391" s="151"/>
      <c r="E3391" s="142"/>
      <c r="F3391" s="176"/>
      <c r="G3391" s="176"/>
      <c r="H3391" s="176"/>
      <c r="I3391" s="172"/>
      <c r="J3391" s="173"/>
    </row>
    <row r="3392" spans="1:10" x14ac:dyDescent="0.25">
      <c r="A3392" s="106"/>
      <c r="B3392" s="107"/>
      <c r="D3392" s="151"/>
      <c r="E3392" s="142"/>
      <c r="F3392" s="176"/>
      <c r="G3392" s="176"/>
      <c r="H3392" s="176"/>
      <c r="I3392" s="172"/>
      <c r="J3392" s="173"/>
    </row>
    <row r="3393" spans="1:10" x14ac:dyDescent="0.25">
      <c r="A3393" s="106"/>
      <c r="B3393" s="107"/>
      <c r="D3393" s="151"/>
      <c r="E3393" s="142"/>
      <c r="F3393" s="176"/>
      <c r="G3393" s="176"/>
      <c r="H3393" s="176"/>
      <c r="I3393" s="172"/>
      <c r="J3393" s="173"/>
    </row>
    <row r="3394" spans="1:10" x14ac:dyDescent="0.25">
      <c r="A3394" s="106"/>
      <c r="B3394" s="107"/>
      <c r="D3394" s="151"/>
      <c r="E3394" s="142"/>
      <c r="F3394" s="176"/>
      <c r="G3394" s="176"/>
      <c r="H3394" s="176"/>
      <c r="I3394" s="172"/>
      <c r="J3394" s="173"/>
    </row>
    <row r="3395" spans="1:10" x14ac:dyDescent="0.25">
      <c r="A3395" s="106"/>
      <c r="B3395" s="107"/>
      <c r="D3395" s="151"/>
      <c r="E3395" s="142"/>
      <c r="F3395" s="176"/>
      <c r="G3395" s="176"/>
      <c r="H3395" s="176"/>
      <c r="I3395" s="172"/>
      <c r="J3395" s="173"/>
    </row>
    <row r="3396" spans="1:10" x14ac:dyDescent="0.25">
      <c r="A3396" s="106"/>
      <c r="B3396" s="107"/>
      <c r="D3396" s="151"/>
      <c r="E3396" s="142"/>
      <c r="F3396" s="176"/>
      <c r="G3396" s="176"/>
      <c r="H3396" s="176"/>
      <c r="I3396" s="172"/>
      <c r="J3396" s="173"/>
    </row>
    <row r="3397" spans="1:10" x14ac:dyDescent="0.25">
      <c r="A3397" s="106"/>
      <c r="B3397" s="107"/>
      <c r="D3397" s="151"/>
      <c r="E3397" s="142"/>
      <c r="F3397" s="176"/>
      <c r="G3397" s="176"/>
      <c r="H3397" s="176"/>
      <c r="I3397" s="172"/>
      <c r="J3397" s="173"/>
    </row>
    <row r="3398" spans="1:10" x14ac:dyDescent="0.25">
      <c r="A3398" s="106"/>
      <c r="B3398" s="107"/>
      <c r="D3398" s="151"/>
      <c r="E3398" s="142"/>
      <c r="F3398" s="176"/>
      <c r="G3398" s="176"/>
      <c r="H3398" s="176"/>
      <c r="I3398" s="172"/>
      <c r="J3398" s="173"/>
    </row>
    <row r="3399" spans="1:10" x14ac:dyDescent="0.25">
      <c r="A3399" s="106"/>
      <c r="B3399" s="107"/>
      <c r="D3399" s="151"/>
      <c r="E3399" s="142"/>
      <c r="F3399" s="176"/>
      <c r="G3399" s="176"/>
      <c r="H3399" s="176"/>
      <c r="I3399" s="172"/>
      <c r="J3399" s="173"/>
    </row>
    <row r="3400" spans="1:10" x14ac:dyDescent="0.25">
      <c r="A3400" s="106"/>
      <c r="B3400" s="107"/>
      <c r="D3400" s="151"/>
      <c r="E3400" s="142"/>
      <c r="F3400" s="176"/>
      <c r="G3400" s="176"/>
      <c r="H3400" s="176"/>
      <c r="I3400" s="172"/>
      <c r="J3400" s="173"/>
    </row>
    <row r="3401" spans="1:10" x14ac:dyDescent="0.25">
      <c r="A3401" s="106"/>
      <c r="B3401" s="107"/>
      <c r="D3401" s="151"/>
      <c r="E3401" s="142"/>
      <c r="F3401" s="176"/>
      <c r="G3401" s="176"/>
      <c r="H3401" s="176"/>
      <c r="I3401" s="172"/>
      <c r="J3401" s="173"/>
    </row>
    <row r="3402" spans="1:10" x14ac:dyDescent="0.25">
      <c r="A3402" s="106"/>
      <c r="B3402" s="107"/>
      <c r="D3402" s="151"/>
      <c r="E3402" s="142"/>
      <c r="F3402" s="176"/>
      <c r="G3402" s="176"/>
      <c r="H3402" s="176"/>
      <c r="I3402" s="172"/>
      <c r="J3402" s="173"/>
    </row>
    <row r="3403" spans="1:10" x14ac:dyDescent="0.25">
      <c r="A3403" s="106"/>
      <c r="B3403" s="107"/>
      <c r="D3403" s="151"/>
      <c r="E3403" s="142"/>
      <c r="F3403" s="176"/>
      <c r="G3403" s="176"/>
      <c r="H3403" s="176"/>
      <c r="I3403" s="172"/>
      <c r="J3403" s="173"/>
    </row>
    <row r="3404" spans="1:10" x14ac:dyDescent="0.25">
      <c r="A3404" s="106"/>
      <c r="B3404" s="107"/>
      <c r="D3404" s="151"/>
      <c r="E3404" s="142"/>
      <c r="F3404" s="176"/>
      <c r="G3404" s="176"/>
      <c r="H3404" s="176"/>
      <c r="I3404" s="172"/>
      <c r="J3404" s="173"/>
    </row>
    <row r="3405" spans="1:10" x14ac:dyDescent="0.25">
      <c r="A3405" s="106"/>
      <c r="B3405" s="107"/>
      <c r="D3405" s="151"/>
      <c r="E3405" s="142"/>
      <c r="F3405" s="176"/>
      <c r="G3405" s="176"/>
      <c r="H3405" s="176"/>
      <c r="I3405" s="172"/>
      <c r="J3405" s="173"/>
    </row>
    <row r="3406" spans="1:10" x14ac:dyDescent="0.25">
      <c r="A3406" s="106"/>
      <c r="B3406" s="107"/>
      <c r="D3406" s="151"/>
      <c r="E3406" s="142"/>
      <c r="F3406" s="176"/>
      <c r="G3406" s="176"/>
      <c r="H3406" s="176"/>
      <c r="I3406" s="172"/>
      <c r="J3406" s="173"/>
    </row>
    <row r="3407" spans="1:10" x14ac:dyDescent="0.25">
      <c r="A3407" s="106"/>
      <c r="B3407" s="107"/>
      <c r="D3407" s="151"/>
      <c r="E3407" s="142"/>
      <c r="F3407" s="176"/>
      <c r="G3407" s="176"/>
      <c r="H3407" s="176"/>
      <c r="I3407" s="172"/>
      <c r="J3407" s="173"/>
    </row>
    <row r="3408" spans="1:10" x14ac:dyDescent="0.25">
      <c r="A3408" s="106"/>
      <c r="B3408" s="107"/>
      <c r="D3408" s="151"/>
      <c r="E3408" s="142"/>
      <c r="F3408" s="176"/>
      <c r="G3408" s="176"/>
      <c r="H3408" s="176"/>
      <c r="I3408" s="172"/>
      <c r="J3408" s="173"/>
    </row>
    <row r="3409" spans="1:10" x14ac:dyDescent="0.25">
      <c r="A3409" s="106"/>
      <c r="B3409" s="107"/>
      <c r="D3409" s="151"/>
      <c r="E3409" s="142"/>
      <c r="F3409" s="176"/>
      <c r="G3409" s="176"/>
      <c r="H3409" s="176"/>
      <c r="I3409" s="172"/>
      <c r="J3409" s="173"/>
    </row>
    <row r="3410" spans="1:10" x14ac:dyDescent="0.25">
      <c r="A3410" s="106"/>
      <c r="B3410" s="107"/>
      <c r="D3410" s="151"/>
      <c r="E3410" s="142"/>
      <c r="F3410" s="176"/>
      <c r="G3410" s="176"/>
      <c r="H3410" s="176"/>
      <c r="I3410" s="172"/>
      <c r="J3410" s="173"/>
    </row>
    <row r="3411" spans="1:10" x14ac:dyDescent="0.25">
      <c r="A3411" s="106"/>
      <c r="B3411" s="107"/>
      <c r="D3411" s="151"/>
      <c r="E3411" s="142"/>
      <c r="F3411" s="176"/>
      <c r="G3411" s="176"/>
      <c r="H3411" s="176"/>
      <c r="I3411" s="172"/>
      <c r="J3411" s="173"/>
    </row>
    <row r="3412" spans="1:10" x14ac:dyDescent="0.25">
      <c r="A3412" s="106"/>
      <c r="B3412" s="107"/>
      <c r="D3412" s="151"/>
      <c r="E3412" s="142"/>
      <c r="F3412" s="176"/>
      <c r="G3412" s="176"/>
      <c r="H3412" s="176"/>
      <c r="I3412" s="172"/>
      <c r="J3412" s="173"/>
    </row>
    <row r="3413" spans="1:10" x14ac:dyDescent="0.25">
      <c r="A3413" s="106"/>
      <c r="B3413" s="107"/>
      <c r="D3413" s="151"/>
      <c r="E3413" s="142"/>
      <c r="F3413" s="176"/>
      <c r="G3413" s="176"/>
      <c r="H3413" s="176"/>
      <c r="I3413" s="172"/>
      <c r="J3413" s="173"/>
    </row>
    <row r="3414" spans="1:10" x14ac:dyDescent="0.25">
      <c r="A3414" s="106"/>
      <c r="B3414" s="107"/>
      <c r="D3414" s="151"/>
      <c r="E3414" s="142"/>
      <c r="F3414" s="176"/>
      <c r="G3414" s="176"/>
      <c r="H3414" s="176"/>
      <c r="I3414" s="172"/>
      <c r="J3414" s="173"/>
    </row>
    <row r="3415" spans="1:10" x14ac:dyDescent="0.25">
      <c r="A3415" s="106"/>
      <c r="B3415" s="107"/>
      <c r="D3415" s="151"/>
      <c r="E3415" s="142"/>
      <c r="F3415" s="176"/>
      <c r="G3415" s="176"/>
      <c r="H3415" s="176"/>
      <c r="I3415" s="172"/>
      <c r="J3415" s="173"/>
    </row>
    <row r="3416" spans="1:10" x14ac:dyDescent="0.25">
      <c r="A3416" s="106"/>
      <c r="B3416" s="107"/>
      <c r="D3416" s="151"/>
      <c r="E3416" s="142"/>
      <c r="F3416" s="176"/>
      <c r="G3416" s="176"/>
      <c r="H3416" s="176"/>
      <c r="I3416" s="172"/>
      <c r="J3416" s="173"/>
    </row>
    <row r="3417" spans="1:10" x14ac:dyDescent="0.25">
      <c r="A3417" s="106"/>
      <c r="B3417" s="107"/>
      <c r="D3417" s="151"/>
      <c r="E3417" s="142"/>
      <c r="F3417" s="176"/>
      <c r="G3417" s="176"/>
      <c r="H3417" s="176"/>
      <c r="I3417" s="172"/>
      <c r="J3417" s="173"/>
    </row>
    <row r="3418" spans="1:10" x14ac:dyDescent="0.25">
      <c r="A3418" s="106"/>
      <c r="B3418" s="107"/>
      <c r="D3418" s="151"/>
      <c r="E3418" s="142"/>
      <c r="F3418" s="176"/>
      <c r="G3418" s="176"/>
      <c r="H3418" s="176"/>
      <c r="I3418" s="172"/>
      <c r="J3418" s="173"/>
    </row>
    <row r="3419" spans="1:10" x14ac:dyDescent="0.25">
      <c r="A3419" s="106"/>
      <c r="B3419" s="107"/>
      <c r="D3419" s="151"/>
      <c r="E3419" s="142"/>
      <c r="F3419" s="176"/>
      <c r="G3419" s="176"/>
      <c r="H3419" s="176"/>
      <c r="I3419" s="172"/>
      <c r="J3419" s="173"/>
    </row>
    <row r="3420" spans="1:10" x14ac:dyDescent="0.25">
      <c r="A3420" s="106"/>
      <c r="B3420" s="107"/>
      <c r="D3420" s="151"/>
      <c r="E3420" s="142"/>
      <c r="F3420" s="176"/>
      <c r="G3420" s="176"/>
      <c r="H3420" s="176"/>
      <c r="I3420" s="172"/>
      <c r="J3420" s="173"/>
    </row>
    <row r="3421" spans="1:10" x14ac:dyDescent="0.25">
      <c r="A3421" s="106"/>
      <c r="B3421" s="107"/>
      <c r="D3421" s="151"/>
      <c r="E3421" s="142"/>
      <c r="F3421" s="176"/>
      <c r="G3421" s="176"/>
      <c r="H3421" s="176"/>
      <c r="I3421" s="172"/>
      <c r="J3421" s="173"/>
    </row>
    <row r="3422" spans="1:10" x14ac:dyDescent="0.25">
      <c r="A3422" s="106"/>
      <c r="B3422" s="107"/>
      <c r="D3422" s="151"/>
      <c r="E3422" s="142"/>
      <c r="F3422" s="176"/>
      <c r="G3422" s="176"/>
      <c r="H3422" s="176"/>
      <c r="I3422" s="172"/>
      <c r="J3422" s="173"/>
    </row>
    <row r="3423" spans="1:10" x14ac:dyDescent="0.25">
      <c r="A3423" s="106"/>
      <c r="B3423" s="107"/>
      <c r="D3423" s="151"/>
      <c r="E3423" s="142"/>
      <c r="F3423" s="176"/>
      <c r="G3423" s="176"/>
      <c r="H3423" s="176"/>
      <c r="I3423" s="172"/>
      <c r="J3423" s="173"/>
    </row>
    <row r="3424" spans="1:10" x14ac:dyDescent="0.25">
      <c r="A3424" s="106"/>
      <c r="B3424" s="107"/>
      <c r="D3424" s="151"/>
      <c r="E3424" s="142"/>
      <c r="F3424" s="176"/>
      <c r="G3424" s="176"/>
      <c r="H3424" s="176"/>
      <c r="I3424" s="172"/>
      <c r="J3424" s="173"/>
    </row>
    <row r="3425" spans="1:10" x14ac:dyDescent="0.25">
      <c r="A3425" s="106"/>
      <c r="B3425" s="107"/>
      <c r="D3425" s="151"/>
      <c r="E3425" s="142"/>
      <c r="F3425" s="176"/>
      <c r="G3425" s="176"/>
      <c r="H3425" s="176"/>
      <c r="I3425" s="172"/>
      <c r="J3425" s="173"/>
    </row>
    <row r="3426" spans="1:10" x14ac:dyDescent="0.25">
      <c r="A3426" s="106"/>
      <c r="B3426" s="107"/>
      <c r="D3426" s="151"/>
      <c r="E3426" s="142"/>
      <c r="F3426" s="176"/>
      <c r="G3426" s="176"/>
      <c r="H3426" s="176"/>
      <c r="I3426" s="172"/>
      <c r="J3426" s="173"/>
    </row>
    <row r="3427" spans="1:10" x14ac:dyDescent="0.25">
      <c r="A3427" s="106"/>
      <c r="B3427" s="107"/>
      <c r="D3427" s="151"/>
      <c r="E3427" s="142"/>
      <c r="F3427" s="176"/>
      <c r="G3427" s="176"/>
      <c r="H3427" s="176"/>
      <c r="I3427" s="172"/>
      <c r="J3427" s="173"/>
    </row>
    <row r="3428" spans="1:10" x14ac:dyDescent="0.25">
      <c r="A3428" s="106"/>
      <c r="B3428" s="107"/>
      <c r="D3428" s="151"/>
      <c r="E3428" s="142"/>
      <c r="F3428" s="176"/>
      <c r="G3428" s="176"/>
      <c r="H3428" s="176"/>
      <c r="I3428" s="172"/>
      <c r="J3428" s="173"/>
    </row>
    <row r="3429" spans="1:10" x14ac:dyDescent="0.25">
      <c r="A3429" s="106"/>
      <c r="B3429" s="107"/>
      <c r="D3429" s="151"/>
      <c r="E3429" s="142"/>
      <c r="F3429" s="176"/>
      <c r="G3429" s="176"/>
      <c r="H3429" s="176"/>
      <c r="I3429" s="172"/>
      <c r="J3429" s="173"/>
    </row>
    <row r="3430" spans="1:10" x14ac:dyDescent="0.25">
      <c r="A3430" s="106"/>
      <c r="B3430" s="107"/>
      <c r="D3430" s="151"/>
      <c r="E3430" s="142"/>
      <c r="F3430" s="176"/>
      <c r="G3430" s="176"/>
      <c r="H3430" s="176"/>
      <c r="I3430" s="172"/>
      <c r="J3430" s="173"/>
    </row>
    <row r="3431" spans="1:10" x14ac:dyDescent="0.25">
      <c r="A3431" s="106"/>
      <c r="B3431" s="107"/>
      <c r="D3431" s="151"/>
      <c r="E3431" s="142"/>
      <c r="F3431" s="176"/>
      <c r="G3431" s="176"/>
      <c r="H3431" s="176"/>
      <c r="I3431" s="172"/>
      <c r="J3431" s="173"/>
    </row>
    <row r="3432" spans="1:10" x14ac:dyDescent="0.25">
      <c r="A3432" s="106"/>
      <c r="B3432" s="107"/>
      <c r="D3432" s="151"/>
      <c r="E3432" s="142"/>
      <c r="F3432" s="176"/>
      <c r="G3432" s="176"/>
      <c r="H3432" s="176"/>
      <c r="I3432" s="172"/>
      <c r="J3432" s="173"/>
    </row>
    <row r="3433" spans="1:10" x14ac:dyDescent="0.25">
      <c r="A3433" s="106"/>
      <c r="B3433" s="107"/>
      <c r="D3433" s="151"/>
      <c r="E3433" s="142"/>
      <c r="F3433" s="176"/>
      <c r="G3433" s="176"/>
      <c r="H3433" s="176"/>
      <c r="I3433" s="172"/>
      <c r="J3433" s="173"/>
    </row>
    <row r="3434" spans="1:10" x14ac:dyDescent="0.25">
      <c r="A3434" s="106"/>
      <c r="B3434" s="107"/>
      <c r="D3434" s="151"/>
      <c r="E3434" s="142"/>
      <c r="F3434" s="176"/>
      <c r="G3434" s="176"/>
      <c r="H3434" s="176"/>
      <c r="I3434" s="172"/>
      <c r="J3434" s="173"/>
    </row>
    <row r="3435" spans="1:10" x14ac:dyDescent="0.25">
      <c r="A3435" s="106"/>
      <c r="B3435" s="107"/>
      <c r="D3435" s="151"/>
      <c r="E3435" s="142"/>
      <c r="F3435" s="176"/>
      <c r="G3435" s="176"/>
      <c r="H3435" s="176"/>
      <c r="I3435" s="172"/>
      <c r="J3435" s="173"/>
    </row>
    <row r="3436" spans="1:10" x14ac:dyDescent="0.25">
      <c r="A3436" s="106"/>
      <c r="B3436" s="107"/>
      <c r="D3436" s="151"/>
      <c r="E3436" s="142"/>
      <c r="F3436" s="176"/>
      <c r="G3436" s="176"/>
      <c r="H3436" s="176"/>
      <c r="I3436" s="172"/>
      <c r="J3436" s="173"/>
    </row>
    <row r="3437" spans="1:10" x14ac:dyDescent="0.25">
      <c r="A3437" s="106"/>
      <c r="B3437" s="107"/>
      <c r="D3437" s="151"/>
      <c r="E3437" s="142"/>
      <c r="F3437" s="176"/>
      <c r="G3437" s="176"/>
      <c r="H3437" s="176"/>
      <c r="I3437" s="172"/>
      <c r="J3437" s="173"/>
    </row>
    <row r="3438" spans="1:10" x14ac:dyDescent="0.25">
      <c r="A3438" s="106"/>
      <c r="B3438" s="107"/>
      <c r="D3438" s="151"/>
      <c r="E3438" s="142"/>
      <c r="F3438" s="176"/>
      <c r="G3438" s="176"/>
      <c r="H3438" s="176"/>
      <c r="I3438" s="172"/>
      <c r="J3438" s="173"/>
    </row>
    <row r="3439" spans="1:10" x14ac:dyDescent="0.25">
      <c r="A3439" s="106"/>
      <c r="B3439" s="107"/>
      <c r="D3439" s="151"/>
      <c r="E3439" s="142"/>
      <c r="F3439" s="176"/>
      <c r="G3439" s="176"/>
      <c r="H3439" s="176"/>
      <c r="I3439" s="172"/>
      <c r="J3439" s="173"/>
    </row>
    <row r="3440" spans="1:10" x14ac:dyDescent="0.25">
      <c r="A3440" s="106"/>
      <c r="B3440" s="107"/>
      <c r="D3440" s="151"/>
      <c r="E3440" s="142"/>
      <c r="F3440" s="176"/>
      <c r="G3440" s="176"/>
      <c r="H3440" s="176"/>
      <c r="I3440" s="172"/>
      <c r="J3440" s="173"/>
    </row>
    <row r="3441" spans="1:10" x14ac:dyDescent="0.25">
      <c r="A3441" s="106"/>
      <c r="B3441" s="107"/>
      <c r="D3441" s="151"/>
      <c r="E3441" s="142"/>
      <c r="F3441" s="176"/>
      <c r="G3441" s="176"/>
      <c r="H3441" s="176"/>
      <c r="I3441" s="172"/>
      <c r="J3441" s="173"/>
    </row>
    <row r="3442" spans="1:10" x14ac:dyDescent="0.25">
      <c r="A3442" s="106"/>
      <c r="B3442" s="107"/>
      <c r="D3442" s="151"/>
      <c r="E3442" s="142"/>
      <c r="F3442" s="176"/>
      <c r="G3442" s="176"/>
      <c r="H3442" s="176"/>
      <c r="I3442" s="172"/>
      <c r="J3442" s="173"/>
    </row>
    <row r="3443" spans="1:10" x14ac:dyDescent="0.25">
      <c r="A3443" s="106"/>
      <c r="B3443" s="107"/>
      <c r="D3443" s="151"/>
      <c r="E3443" s="142"/>
      <c r="F3443" s="176"/>
      <c r="G3443" s="176"/>
      <c r="H3443" s="176"/>
      <c r="I3443" s="172"/>
      <c r="J3443" s="173"/>
    </row>
    <row r="3444" spans="1:10" x14ac:dyDescent="0.25">
      <c r="A3444" s="106"/>
      <c r="B3444" s="107"/>
      <c r="D3444" s="151"/>
      <c r="E3444" s="142"/>
      <c r="F3444" s="176"/>
      <c r="G3444" s="176"/>
      <c r="H3444" s="176"/>
      <c r="I3444" s="172"/>
      <c r="J3444" s="173"/>
    </row>
    <row r="3445" spans="1:10" x14ac:dyDescent="0.25">
      <c r="A3445" s="106"/>
      <c r="B3445" s="107"/>
      <c r="D3445" s="151"/>
      <c r="E3445" s="142"/>
      <c r="F3445" s="176"/>
      <c r="G3445" s="176"/>
      <c r="H3445" s="176"/>
      <c r="I3445" s="172"/>
      <c r="J3445" s="173"/>
    </row>
    <row r="3446" spans="1:10" x14ac:dyDescent="0.25">
      <c r="A3446" s="106"/>
      <c r="B3446" s="107"/>
      <c r="D3446" s="151"/>
      <c r="E3446" s="142"/>
      <c r="F3446" s="176"/>
      <c r="G3446" s="176"/>
      <c r="H3446" s="176"/>
      <c r="I3446" s="172"/>
      <c r="J3446" s="173"/>
    </row>
    <row r="3447" spans="1:10" x14ac:dyDescent="0.25">
      <c r="A3447" s="106"/>
      <c r="B3447" s="107"/>
      <c r="D3447" s="151"/>
      <c r="E3447" s="142"/>
      <c r="F3447" s="176"/>
      <c r="G3447" s="176"/>
      <c r="H3447" s="176"/>
      <c r="I3447" s="172"/>
      <c r="J3447" s="173"/>
    </row>
    <row r="3448" spans="1:10" x14ac:dyDescent="0.25">
      <c r="A3448" s="106"/>
      <c r="B3448" s="107"/>
      <c r="D3448" s="151"/>
      <c r="E3448" s="142"/>
      <c r="F3448" s="176"/>
      <c r="G3448" s="176"/>
      <c r="H3448" s="176"/>
      <c r="I3448" s="172"/>
      <c r="J3448" s="173"/>
    </row>
    <row r="3449" spans="1:10" x14ac:dyDescent="0.25">
      <c r="A3449" s="106"/>
      <c r="B3449" s="107"/>
      <c r="D3449" s="151"/>
      <c r="E3449" s="142"/>
      <c r="F3449" s="176"/>
      <c r="G3449" s="176"/>
      <c r="H3449" s="176"/>
      <c r="I3449" s="172"/>
      <c r="J3449" s="173"/>
    </row>
    <row r="3450" spans="1:10" x14ac:dyDescent="0.25">
      <c r="A3450" s="106"/>
      <c r="B3450" s="107"/>
      <c r="D3450" s="151"/>
      <c r="E3450" s="142"/>
      <c r="F3450" s="176"/>
      <c r="G3450" s="176"/>
      <c r="H3450" s="176"/>
      <c r="I3450" s="172"/>
      <c r="J3450" s="173"/>
    </row>
    <row r="3451" spans="1:10" x14ac:dyDescent="0.25">
      <c r="A3451" s="106"/>
      <c r="B3451" s="107"/>
      <c r="D3451" s="151"/>
      <c r="E3451" s="142"/>
      <c r="F3451" s="176"/>
      <c r="G3451" s="176"/>
      <c r="H3451" s="176"/>
      <c r="I3451" s="172"/>
      <c r="J3451" s="173"/>
    </row>
    <row r="3452" spans="1:10" x14ac:dyDescent="0.25">
      <c r="A3452" s="106"/>
      <c r="B3452" s="107"/>
      <c r="D3452" s="151"/>
      <c r="E3452" s="142"/>
      <c r="F3452" s="176"/>
      <c r="G3452" s="176"/>
      <c r="H3452" s="176"/>
      <c r="I3452" s="172"/>
      <c r="J3452" s="173"/>
    </row>
    <row r="3453" spans="1:10" x14ac:dyDescent="0.25">
      <c r="A3453" s="106"/>
      <c r="B3453" s="107"/>
      <c r="D3453" s="151"/>
      <c r="E3453" s="142"/>
      <c r="F3453" s="176"/>
      <c r="G3453" s="176"/>
      <c r="H3453" s="176"/>
      <c r="I3453" s="172"/>
      <c r="J3453" s="173"/>
    </row>
    <row r="3454" spans="1:10" x14ac:dyDescent="0.25">
      <c r="A3454" s="106"/>
      <c r="B3454" s="107"/>
      <c r="D3454" s="151"/>
      <c r="E3454" s="142"/>
      <c r="F3454" s="176"/>
      <c r="G3454" s="176"/>
      <c r="H3454" s="176"/>
      <c r="I3454" s="172"/>
      <c r="J3454" s="173"/>
    </row>
    <row r="3455" spans="1:10" x14ac:dyDescent="0.25">
      <c r="A3455" s="106"/>
      <c r="B3455" s="107"/>
      <c r="D3455" s="151"/>
      <c r="E3455" s="142"/>
      <c r="F3455" s="176"/>
      <c r="G3455" s="176"/>
      <c r="H3455" s="176"/>
      <c r="I3455" s="172"/>
      <c r="J3455" s="173"/>
    </row>
    <row r="3456" spans="1:10" x14ac:dyDescent="0.25">
      <c r="A3456" s="106"/>
      <c r="B3456" s="107"/>
      <c r="D3456" s="151"/>
      <c r="E3456" s="142"/>
      <c r="F3456" s="176"/>
      <c r="G3456" s="176"/>
      <c r="H3456" s="176"/>
      <c r="I3456" s="172"/>
      <c r="J3456" s="173"/>
    </row>
    <row r="3457" spans="1:10" x14ac:dyDescent="0.25">
      <c r="A3457" s="106"/>
      <c r="B3457" s="107"/>
      <c r="D3457" s="151"/>
      <c r="E3457" s="142"/>
      <c r="F3457" s="176"/>
      <c r="G3457" s="176"/>
      <c r="H3457" s="176"/>
      <c r="I3457" s="172"/>
      <c r="J3457" s="173"/>
    </row>
    <row r="3458" spans="1:10" x14ac:dyDescent="0.25">
      <c r="A3458" s="106"/>
      <c r="B3458" s="107"/>
      <c r="D3458" s="151"/>
      <c r="E3458" s="142"/>
      <c r="F3458" s="176"/>
      <c r="G3458" s="176"/>
      <c r="H3458" s="176"/>
      <c r="I3458" s="172"/>
      <c r="J3458" s="173"/>
    </row>
    <row r="3459" spans="1:10" x14ac:dyDescent="0.25">
      <c r="A3459" s="106"/>
      <c r="B3459" s="107"/>
      <c r="D3459" s="151"/>
      <c r="E3459" s="142"/>
      <c r="F3459" s="176"/>
      <c r="G3459" s="176"/>
      <c r="H3459" s="176"/>
      <c r="I3459" s="172"/>
      <c r="J3459" s="173"/>
    </row>
    <row r="3460" spans="1:10" x14ac:dyDescent="0.25">
      <c r="A3460" s="106"/>
      <c r="B3460" s="107"/>
      <c r="D3460" s="151"/>
      <c r="E3460" s="142"/>
      <c r="F3460" s="176"/>
      <c r="G3460" s="176"/>
      <c r="H3460" s="176"/>
      <c r="I3460" s="172"/>
      <c r="J3460" s="173"/>
    </row>
    <row r="3461" spans="1:10" x14ac:dyDescent="0.25">
      <c r="A3461" s="106"/>
      <c r="B3461" s="107"/>
      <c r="D3461" s="151"/>
      <c r="E3461" s="142"/>
      <c r="F3461" s="176"/>
      <c r="G3461" s="176"/>
      <c r="H3461" s="176"/>
      <c r="I3461" s="172"/>
      <c r="J3461" s="173"/>
    </row>
    <row r="3462" spans="1:10" x14ac:dyDescent="0.25">
      <c r="A3462" s="106"/>
      <c r="B3462" s="107"/>
      <c r="D3462" s="151"/>
      <c r="E3462" s="142"/>
      <c r="F3462" s="176"/>
      <c r="G3462" s="176"/>
      <c r="H3462" s="176"/>
      <c r="I3462" s="172"/>
      <c r="J3462" s="173"/>
    </row>
    <row r="3463" spans="1:10" x14ac:dyDescent="0.25">
      <c r="A3463" s="106"/>
      <c r="B3463" s="107"/>
      <c r="D3463" s="151"/>
      <c r="E3463" s="142"/>
      <c r="F3463" s="176"/>
      <c r="G3463" s="176"/>
      <c r="H3463" s="176"/>
      <c r="I3463" s="172"/>
      <c r="J3463" s="173"/>
    </row>
    <row r="3464" spans="1:10" x14ac:dyDescent="0.25">
      <c r="A3464" s="106"/>
      <c r="B3464" s="107"/>
      <c r="D3464" s="151"/>
      <c r="E3464" s="142"/>
      <c r="F3464" s="176"/>
      <c r="G3464" s="176"/>
      <c r="H3464" s="176"/>
      <c r="I3464" s="172"/>
      <c r="J3464" s="173"/>
    </row>
    <row r="3465" spans="1:10" x14ac:dyDescent="0.25">
      <c r="A3465" s="106"/>
      <c r="B3465" s="107"/>
      <c r="D3465" s="151"/>
      <c r="E3465" s="142"/>
      <c r="F3465" s="176"/>
      <c r="G3465" s="176"/>
      <c r="H3465" s="176"/>
      <c r="I3465" s="172"/>
      <c r="J3465" s="173"/>
    </row>
    <row r="3466" spans="1:10" x14ac:dyDescent="0.25">
      <c r="A3466" s="106"/>
      <c r="B3466" s="107"/>
      <c r="D3466" s="151"/>
      <c r="E3466" s="142"/>
      <c r="F3466" s="176"/>
      <c r="G3466" s="176"/>
      <c r="H3466" s="176"/>
      <c r="I3466" s="172"/>
      <c r="J3466" s="173"/>
    </row>
    <row r="3467" spans="1:10" x14ac:dyDescent="0.25">
      <c r="A3467" s="106"/>
      <c r="B3467" s="107"/>
      <c r="D3467" s="151"/>
      <c r="E3467" s="142"/>
      <c r="F3467" s="176"/>
      <c r="G3467" s="176"/>
      <c r="H3467" s="176"/>
      <c r="I3467" s="172"/>
      <c r="J3467" s="173"/>
    </row>
    <row r="3468" spans="1:10" x14ac:dyDescent="0.25">
      <c r="A3468" s="106"/>
      <c r="B3468" s="107"/>
      <c r="D3468" s="151"/>
      <c r="E3468" s="142"/>
      <c r="F3468" s="176"/>
      <c r="G3468" s="176"/>
      <c r="H3468" s="176"/>
      <c r="I3468" s="172"/>
      <c r="J3468" s="173"/>
    </row>
    <row r="3469" spans="1:10" x14ac:dyDescent="0.25">
      <c r="A3469" s="106"/>
      <c r="B3469" s="107"/>
      <c r="D3469" s="151"/>
      <c r="E3469" s="142"/>
      <c r="F3469" s="176"/>
      <c r="G3469" s="176"/>
      <c r="H3469" s="176"/>
      <c r="I3469" s="172"/>
      <c r="J3469" s="173"/>
    </row>
    <row r="3470" spans="1:10" x14ac:dyDescent="0.25">
      <c r="A3470" s="106"/>
      <c r="B3470" s="107"/>
      <c r="D3470" s="151"/>
      <c r="E3470" s="142"/>
      <c r="F3470" s="176"/>
      <c r="G3470" s="176"/>
      <c r="H3470" s="176"/>
      <c r="I3470" s="172"/>
      <c r="J3470" s="173"/>
    </row>
    <row r="3471" spans="1:10" x14ac:dyDescent="0.25">
      <c r="A3471" s="106"/>
      <c r="B3471" s="107"/>
      <c r="D3471" s="151"/>
      <c r="E3471" s="142"/>
      <c r="F3471" s="176"/>
      <c r="G3471" s="176"/>
      <c r="H3471" s="176"/>
      <c r="I3471" s="172"/>
      <c r="J3471" s="173"/>
    </row>
    <row r="3472" spans="1:10" x14ac:dyDescent="0.25">
      <c r="A3472" s="106"/>
      <c r="B3472" s="107"/>
      <c r="D3472" s="151"/>
      <c r="E3472" s="142"/>
      <c r="F3472" s="176"/>
      <c r="G3472" s="176"/>
      <c r="H3472" s="176"/>
      <c r="I3472" s="172"/>
      <c r="J3472" s="173"/>
    </row>
    <row r="3473" spans="1:10" x14ac:dyDescent="0.25">
      <c r="A3473" s="106"/>
      <c r="B3473" s="107"/>
      <c r="D3473" s="151"/>
      <c r="E3473" s="142"/>
      <c r="F3473" s="176"/>
      <c r="G3473" s="176"/>
      <c r="H3473" s="176"/>
      <c r="I3473" s="172"/>
      <c r="J3473" s="173"/>
    </row>
    <row r="3474" spans="1:10" x14ac:dyDescent="0.25">
      <c r="A3474" s="106"/>
      <c r="B3474" s="107"/>
      <c r="D3474" s="151"/>
      <c r="E3474" s="142"/>
      <c r="F3474" s="176"/>
      <c r="G3474" s="176"/>
      <c r="H3474" s="176"/>
      <c r="I3474" s="172"/>
      <c r="J3474" s="173"/>
    </row>
    <row r="3475" spans="1:10" x14ac:dyDescent="0.25">
      <c r="A3475" s="106"/>
      <c r="B3475" s="107"/>
      <c r="D3475" s="151"/>
      <c r="E3475" s="142"/>
      <c r="F3475" s="176"/>
      <c r="G3475" s="176"/>
      <c r="H3475" s="176"/>
      <c r="I3475" s="172"/>
      <c r="J3475" s="173"/>
    </row>
    <row r="3476" spans="1:10" x14ac:dyDescent="0.25">
      <c r="A3476" s="106"/>
      <c r="B3476" s="107"/>
      <c r="D3476" s="151"/>
      <c r="E3476" s="142"/>
      <c r="F3476" s="176"/>
      <c r="G3476" s="176"/>
      <c r="H3476" s="176"/>
      <c r="I3476" s="172"/>
      <c r="J3476" s="173"/>
    </row>
    <row r="3477" spans="1:10" x14ac:dyDescent="0.25">
      <c r="A3477" s="106"/>
      <c r="B3477" s="107"/>
      <c r="D3477" s="151"/>
      <c r="E3477" s="142"/>
      <c r="F3477" s="176"/>
      <c r="G3477" s="176"/>
      <c r="H3477" s="176"/>
      <c r="I3477" s="172"/>
      <c r="J3477" s="173"/>
    </row>
    <row r="3478" spans="1:10" x14ac:dyDescent="0.25">
      <c r="A3478" s="106"/>
      <c r="B3478" s="107"/>
      <c r="D3478" s="151"/>
      <c r="E3478" s="142"/>
      <c r="F3478" s="176"/>
      <c r="G3478" s="176"/>
      <c r="H3478" s="176"/>
      <c r="I3478" s="172"/>
      <c r="J3478" s="173"/>
    </row>
    <row r="3479" spans="1:10" x14ac:dyDescent="0.25">
      <c r="A3479" s="106"/>
      <c r="B3479" s="107"/>
      <c r="D3479" s="151"/>
      <c r="E3479" s="142"/>
      <c r="F3479" s="176"/>
      <c r="G3479" s="176"/>
      <c r="H3479" s="176"/>
      <c r="I3479" s="172"/>
      <c r="J3479" s="173"/>
    </row>
    <row r="3480" spans="1:10" x14ac:dyDescent="0.25">
      <c r="A3480" s="106"/>
      <c r="B3480" s="107"/>
      <c r="D3480" s="151"/>
      <c r="E3480" s="142"/>
      <c r="F3480" s="176"/>
      <c r="G3480" s="176"/>
      <c r="H3480" s="176"/>
      <c r="I3480" s="172"/>
      <c r="J3480" s="173"/>
    </row>
    <row r="3481" spans="1:10" x14ac:dyDescent="0.25">
      <c r="A3481" s="106"/>
      <c r="B3481" s="107"/>
      <c r="D3481" s="151"/>
      <c r="E3481" s="142"/>
      <c r="F3481" s="176"/>
      <c r="G3481" s="176"/>
      <c r="H3481" s="176"/>
      <c r="I3481" s="172"/>
      <c r="J3481" s="173"/>
    </row>
    <row r="3482" spans="1:10" x14ac:dyDescent="0.25">
      <c r="A3482" s="106"/>
      <c r="B3482" s="107"/>
      <c r="D3482" s="151"/>
      <c r="E3482" s="142"/>
      <c r="F3482" s="176"/>
      <c r="G3482" s="176"/>
      <c r="H3482" s="176"/>
      <c r="I3482" s="172"/>
      <c r="J3482" s="173"/>
    </row>
    <row r="3483" spans="1:10" x14ac:dyDescent="0.25">
      <c r="A3483" s="106"/>
      <c r="B3483" s="107"/>
      <c r="D3483" s="151"/>
      <c r="E3483" s="142"/>
      <c r="F3483" s="176"/>
      <c r="G3483" s="176"/>
      <c r="H3483" s="176"/>
      <c r="I3483" s="172"/>
      <c r="J3483" s="173"/>
    </row>
    <row r="3484" spans="1:10" x14ac:dyDescent="0.25">
      <c r="A3484" s="106"/>
      <c r="B3484" s="107"/>
      <c r="D3484" s="151"/>
      <c r="E3484" s="142"/>
      <c r="F3484" s="176"/>
      <c r="G3484" s="176"/>
      <c r="H3484" s="176"/>
      <c r="I3484" s="172"/>
      <c r="J3484" s="173"/>
    </row>
    <row r="3485" spans="1:10" x14ac:dyDescent="0.25">
      <c r="A3485" s="106"/>
      <c r="B3485" s="107"/>
      <c r="D3485" s="151"/>
      <c r="E3485" s="142"/>
      <c r="F3485" s="176"/>
      <c r="G3485" s="176"/>
      <c r="H3485" s="176"/>
      <c r="I3485" s="172"/>
      <c r="J3485" s="173"/>
    </row>
    <row r="3486" spans="1:10" x14ac:dyDescent="0.25">
      <c r="A3486" s="106"/>
      <c r="B3486" s="107"/>
      <c r="D3486" s="151"/>
      <c r="E3486" s="142"/>
      <c r="F3486" s="176"/>
      <c r="G3486" s="176"/>
      <c r="H3486" s="176"/>
      <c r="I3486" s="172"/>
      <c r="J3486" s="173"/>
    </row>
    <row r="3487" spans="1:10" x14ac:dyDescent="0.25">
      <c r="A3487" s="106"/>
      <c r="B3487" s="107"/>
      <c r="D3487" s="151"/>
      <c r="E3487" s="142"/>
      <c r="F3487" s="176"/>
      <c r="G3487" s="176"/>
      <c r="H3487" s="176"/>
      <c r="I3487" s="172"/>
      <c r="J3487" s="173"/>
    </row>
    <row r="3488" spans="1:10" x14ac:dyDescent="0.25">
      <c r="A3488" s="106"/>
      <c r="B3488" s="107"/>
      <c r="D3488" s="151"/>
      <c r="E3488" s="142"/>
      <c r="F3488" s="176"/>
      <c r="G3488" s="176"/>
      <c r="H3488" s="176"/>
      <c r="I3488" s="172"/>
      <c r="J3488" s="173"/>
    </row>
    <row r="3489" spans="1:10" x14ac:dyDescent="0.25">
      <c r="A3489" s="106"/>
      <c r="B3489" s="107"/>
      <c r="D3489" s="151"/>
      <c r="E3489" s="142"/>
      <c r="F3489" s="176"/>
      <c r="G3489" s="176"/>
      <c r="H3489" s="176"/>
      <c r="I3489" s="172"/>
      <c r="J3489" s="173"/>
    </row>
    <row r="3490" spans="1:10" x14ac:dyDescent="0.25">
      <c r="A3490" s="106"/>
      <c r="B3490" s="107"/>
      <c r="D3490" s="151"/>
      <c r="E3490" s="142"/>
      <c r="F3490" s="176"/>
      <c r="G3490" s="176"/>
      <c r="H3490" s="176"/>
      <c r="I3490" s="172"/>
      <c r="J3490" s="173"/>
    </row>
    <row r="3491" spans="1:10" x14ac:dyDescent="0.25">
      <c r="A3491" s="106"/>
      <c r="B3491" s="107"/>
      <c r="D3491" s="151"/>
      <c r="E3491" s="142"/>
      <c r="F3491" s="176"/>
      <c r="G3491" s="176"/>
      <c r="H3491" s="176"/>
      <c r="I3491" s="172"/>
      <c r="J3491" s="173"/>
    </row>
    <row r="3492" spans="1:10" x14ac:dyDescent="0.25">
      <c r="A3492" s="106"/>
      <c r="B3492" s="107"/>
      <c r="D3492" s="151"/>
      <c r="E3492" s="142"/>
      <c r="F3492" s="176"/>
      <c r="G3492" s="176"/>
      <c r="H3492" s="176"/>
      <c r="I3492" s="172"/>
      <c r="J3492" s="173"/>
    </row>
    <row r="3493" spans="1:10" x14ac:dyDescent="0.25">
      <c r="A3493" s="106"/>
      <c r="B3493" s="107"/>
      <c r="D3493" s="151"/>
      <c r="E3493" s="142"/>
      <c r="F3493" s="176"/>
      <c r="G3493" s="176"/>
      <c r="H3493" s="176"/>
      <c r="I3493" s="172"/>
      <c r="J3493" s="173"/>
    </row>
    <row r="3494" spans="1:10" x14ac:dyDescent="0.25">
      <c r="A3494" s="106"/>
      <c r="B3494" s="107"/>
      <c r="D3494" s="151"/>
      <c r="E3494" s="142"/>
      <c r="F3494" s="176"/>
      <c r="G3494" s="176"/>
      <c r="H3494" s="176"/>
      <c r="I3494" s="172"/>
      <c r="J3494" s="173"/>
    </row>
    <row r="3495" spans="1:10" x14ac:dyDescent="0.25">
      <c r="A3495" s="106"/>
      <c r="B3495" s="107"/>
      <c r="D3495" s="151"/>
      <c r="E3495" s="142"/>
      <c r="F3495" s="176"/>
      <c r="G3495" s="176"/>
      <c r="H3495" s="176"/>
      <c r="I3495" s="172"/>
      <c r="J3495" s="173"/>
    </row>
    <row r="3496" spans="1:10" x14ac:dyDescent="0.25">
      <c r="A3496" s="106"/>
      <c r="B3496" s="107"/>
      <c r="D3496" s="151"/>
      <c r="E3496" s="142"/>
      <c r="F3496" s="176"/>
      <c r="G3496" s="176"/>
      <c r="H3496" s="176"/>
      <c r="I3496" s="172"/>
      <c r="J3496" s="173"/>
    </row>
    <row r="3497" spans="1:10" x14ac:dyDescent="0.25">
      <c r="A3497" s="106"/>
      <c r="B3497" s="107"/>
      <c r="D3497" s="151"/>
      <c r="E3497" s="142"/>
      <c r="F3497" s="176"/>
      <c r="G3497" s="176"/>
      <c r="H3497" s="176"/>
      <c r="I3497" s="172"/>
      <c r="J3497" s="173"/>
    </row>
    <row r="3498" spans="1:10" x14ac:dyDescent="0.25">
      <c r="A3498" s="106"/>
      <c r="B3498" s="107"/>
      <c r="D3498" s="151"/>
      <c r="E3498" s="142"/>
      <c r="F3498" s="176"/>
      <c r="G3498" s="176"/>
      <c r="H3498" s="176"/>
      <c r="I3498" s="172"/>
      <c r="J3498" s="173"/>
    </row>
    <row r="3499" spans="1:10" x14ac:dyDescent="0.25">
      <c r="A3499" s="106"/>
      <c r="B3499" s="107"/>
      <c r="D3499" s="151"/>
      <c r="E3499" s="142"/>
      <c r="F3499" s="176"/>
      <c r="G3499" s="176"/>
      <c r="H3499" s="176"/>
      <c r="I3499" s="172"/>
      <c r="J3499" s="173"/>
    </row>
    <row r="3500" spans="1:10" x14ac:dyDescent="0.25">
      <c r="A3500" s="106"/>
      <c r="B3500" s="107"/>
      <c r="D3500" s="151"/>
      <c r="E3500" s="142"/>
      <c r="F3500" s="176"/>
      <c r="G3500" s="176"/>
      <c r="H3500" s="176"/>
      <c r="I3500" s="172"/>
      <c r="J3500" s="173"/>
    </row>
    <row r="3501" spans="1:10" x14ac:dyDescent="0.25">
      <c r="A3501" s="106"/>
      <c r="B3501" s="107"/>
      <c r="D3501" s="151"/>
      <c r="E3501" s="142"/>
      <c r="F3501" s="176"/>
      <c r="G3501" s="176"/>
      <c r="H3501" s="176"/>
      <c r="I3501" s="172"/>
      <c r="J3501" s="173"/>
    </row>
    <row r="3502" spans="1:10" x14ac:dyDescent="0.25">
      <c r="A3502" s="106"/>
      <c r="B3502" s="107"/>
      <c r="D3502" s="151"/>
      <c r="E3502" s="142"/>
      <c r="F3502" s="176"/>
      <c r="G3502" s="176"/>
      <c r="H3502" s="176"/>
      <c r="I3502" s="172"/>
      <c r="J3502" s="173"/>
    </row>
    <row r="3503" spans="1:10" x14ac:dyDescent="0.25">
      <c r="A3503" s="106"/>
      <c r="B3503" s="107"/>
      <c r="D3503" s="151"/>
      <c r="E3503" s="142"/>
      <c r="F3503" s="176"/>
      <c r="G3503" s="176"/>
      <c r="H3503" s="176"/>
      <c r="I3503" s="172"/>
      <c r="J3503" s="173"/>
    </row>
    <row r="3504" spans="1:10" x14ac:dyDescent="0.25">
      <c r="A3504" s="106"/>
      <c r="B3504" s="107"/>
      <c r="D3504" s="151"/>
      <c r="E3504" s="142"/>
      <c r="F3504" s="176"/>
      <c r="G3504" s="176"/>
      <c r="H3504" s="176"/>
      <c r="I3504" s="172"/>
      <c r="J3504" s="173"/>
    </row>
    <row r="3505" spans="1:10" x14ac:dyDescent="0.25">
      <c r="A3505" s="106"/>
      <c r="B3505" s="107"/>
      <c r="D3505" s="151"/>
      <c r="E3505" s="142"/>
      <c r="F3505" s="176"/>
      <c r="G3505" s="176"/>
      <c r="H3505" s="176"/>
      <c r="I3505" s="172"/>
      <c r="J3505" s="173"/>
    </row>
    <row r="3506" spans="1:10" x14ac:dyDescent="0.25">
      <c r="A3506" s="106"/>
      <c r="B3506" s="107"/>
      <c r="D3506" s="151"/>
      <c r="E3506" s="142"/>
      <c r="F3506" s="176"/>
      <c r="G3506" s="176"/>
      <c r="H3506" s="176"/>
      <c r="I3506" s="172"/>
      <c r="J3506" s="173"/>
    </row>
    <row r="3507" spans="1:10" x14ac:dyDescent="0.25">
      <c r="A3507" s="106"/>
      <c r="B3507" s="107"/>
      <c r="D3507" s="151"/>
      <c r="E3507" s="142"/>
      <c r="F3507" s="176"/>
      <c r="G3507" s="176"/>
      <c r="H3507" s="176"/>
      <c r="I3507" s="172"/>
      <c r="J3507" s="173"/>
    </row>
    <row r="3508" spans="1:10" x14ac:dyDescent="0.25">
      <c r="A3508" s="106"/>
      <c r="B3508" s="107"/>
      <c r="D3508" s="151"/>
      <c r="E3508" s="142"/>
      <c r="F3508" s="176"/>
      <c r="G3508" s="176"/>
      <c r="H3508" s="176"/>
      <c r="I3508" s="172"/>
      <c r="J3508" s="173"/>
    </row>
    <row r="3509" spans="1:10" x14ac:dyDescent="0.25">
      <c r="A3509" s="106"/>
      <c r="B3509" s="107"/>
      <c r="D3509" s="151"/>
      <c r="E3509" s="142"/>
      <c r="F3509" s="176"/>
      <c r="G3509" s="176"/>
      <c r="H3509" s="176"/>
      <c r="I3509" s="172"/>
      <c r="J3509" s="173"/>
    </row>
    <row r="3510" spans="1:10" x14ac:dyDescent="0.25">
      <c r="A3510" s="106"/>
      <c r="B3510" s="107"/>
      <c r="D3510" s="151"/>
      <c r="E3510" s="142"/>
      <c r="F3510" s="176"/>
      <c r="G3510" s="176"/>
      <c r="H3510" s="176"/>
      <c r="I3510" s="172"/>
      <c r="J3510" s="173"/>
    </row>
    <row r="3511" spans="1:10" x14ac:dyDescent="0.25">
      <c r="A3511" s="106"/>
      <c r="B3511" s="107"/>
      <c r="D3511" s="151"/>
      <c r="E3511" s="142"/>
      <c r="F3511" s="176"/>
      <c r="G3511" s="176"/>
      <c r="H3511" s="176"/>
      <c r="I3511" s="172"/>
      <c r="J3511" s="173"/>
    </row>
    <row r="3512" spans="1:10" x14ac:dyDescent="0.25">
      <c r="A3512" s="106"/>
      <c r="B3512" s="107"/>
      <c r="D3512" s="151"/>
      <c r="E3512" s="142"/>
      <c r="F3512" s="176"/>
      <c r="G3512" s="176"/>
      <c r="H3512" s="176"/>
      <c r="I3512" s="172"/>
      <c r="J3512" s="173"/>
    </row>
    <row r="3513" spans="1:10" x14ac:dyDescent="0.25">
      <c r="A3513" s="106"/>
      <c r="B3513" s="107"/>
      <c r="D3513" s="151"/>
      <c r="E3513" s="142"/>
      <c r="F3513" s="176"/>
      <c r="G3513" s="176"/>
      <c r="H3513" s="176"/>
      <c r="I3513" s="172"/>
      <c r="J3513" s="173"/>
    </row>
    <row r="3514" spans="1:10" x14ac:dyDescent="0.25">
      <c r="A3514" s="106"/>
      <c r="B3514" s="107"/>
      <c r="D3514" s="151"/>
      <c r="E3514" s="142"/>
      <c r="F3514" s="176"/>
      <c r="G3514" s="176"/>
      <c r="H3514" s="176"/>
      <c r="I3514" s="172"/>
      <c r="J3514" s="173"/>
    </row>
    <row r="3515" spans="1:10" x14ac:dyDescent="0.25">
      <c r="A3515" s="106"/>
      <c r="B3515" s="107"/>
      <c r="D3515" s="151"/>
      <c r="E3515" s="142"/>
      <c r="F3515" s="176"/>
      <c r="G3515" s="176"/>
      <c r="H3515" s="176"/>
      <c r="I3515" s="172"/>
      <c r="J3515" s="173"/>
    </row>
    <row r="3516" spans="1:10" x14ac:dyDescent="0.25">
      <c r="A3516" s="106"/>
      <c r="B3516" s="107"/>
      <c r="D3516" s="151"/>
      <c r="E3516" s="142"/>
      <c r="F3516" s="176"/>
      <c r="G3516" s="176"/>
      <c r="H3516" s="176"/>
      <c r="I3516" s="172"/>
      <c r="J3516" s="173"/>
    </row>
    <row r="3517" spans="1:10" x14ac:dyDescent="0.25">
      <c r="A3517" s="106"/>
      <c r="B3517" s="107"/>
      <c r="D3517" s="151"/>
      <c r="E3517" s="142"/>
      <c r="F3517" s="176"/>
      <c r="G3517" s="176"/>
      <c r="H3517" s="176"/>
      <c r="I3517" s="172"/>
      <c r="J3517" s="173"/>
    </row>
    <row r="3518" spans="1:10" x14ac:dyDescent="0.25">
      <c r="A3518" s="106"/>
      <c r="B3518" s="107"/>
      <c r="D3518" s="151"/>
      <c r="E3518" s="142"/>
      <c r="F3518" s="176"/>
      <c r="G3518" s="176"/>
      <c r="H3518" s="176"/>
      <c r="I3518" s="172"/>
      <c r="J3518" s="173"/>
    </row>
    <row r="3519" spans="1:10" x14ac:dyDescent="0.25">
      <c r="A3519" s="106"/>
      <c r="B3519" s="107"/>
      <c r="D3519" s="151"/>
      <c r="E3519" s="142"/>
      <c r="F3519" s="176"/>
      <c r="G3519" s="176"/>
      <c r="H3519" s="176"/>
      <c r="I3519" s="172"/>
      <c r="J3519" s="173"/>
    </row>
    <row r="3520" spans="1:10" x14ac:dyDescent="0.25">
      <c r="A3520" s="106"/>
      <c r="B3520" s="107"/>
      <c r="D3520" s="151"/>
      <c r="E3520" s="142"/>
      <c r="F3520" s="176"/>
      <c r="G3520" s="176"/>
      <c r="H3520" s="176"/>
      <c r="I3520" s="172"/>
      <c r="J3520" s="173"/>
    </row>
    <row r="3521" spans="1:10" x14ac:dyDescent="0.25">
      <c r="A3521" s="106"/>
      <c r="B3521" s="107"/>
      <c r="D3521" s="151"/>
      <c r="E3521" s="142"/>
      <c r="F3521" s="176"/>
      <c r="G3521" s="176"/>
      <c r="H3521" s="176"/>
      <c r="I3521" s="172"/>
      <c r="J3521" s="173"/>
    </row>
    <row r="3522" spans="1:10" x14ac:dyDescent="0.25">
      <c r="A3522" s="106"/>
      <c r="B3522" s="107"/>
      <c r="D3522" s="151"/>
      <c r="E3522" s="142"/>
      <c r="F3522" s="176"/>
      <c r="G3522" s="176"/>
      <c r="H3522" s="176"/>
      <c r="I3522" s="172"/>
      <c r="J3522" s="173"/>
    </row>
    <row r="3523" spans="1:10" x14ac:dyDescent="0.25">
      <c r="A3523" s="106"/>
      <c r="B3523" s="107"/>
      <c r="D3523" s="151"/>
      <c r="E3523" s="142"/>
      <c r="F3523" s="176"/>
      <c r="G3523" s="176"/>
      <c r="H3523" s="176"/>
      <c r="I3523" s="172"/>
      <c r="J3523" s="173"/>
    </row>
    <row r="3524" spans="1:10" x14ac:dyDescent="0.25">
      <c r="A3524" s="106"/>
      <c r="B3524" s="107"/>
      <c r="D3524" s="151"/>
      <c r="E3524" s="142"/>
      <c r="F3524" s="176"/>
      <c r="G3524" s="176"/>
      <c r="H3524" s="176"/>
      <c r="I3524" s="172"/>
      <c r="J3524" s="173"/>
    </row>
    <row r="3525" spans="1:10" x14ac:dyDescent="0.25">
      <c r="A3525" s="106"/>
      <c r="B3525" s="107"/>
      <c r="D3525" s="151"/>
      <c r="E3525" s="142"/>
      <c r="F3525" s="176"/>
      <c r="G3525" s="176"/>
      <c r="H3525" s="176"/>
      <c r="I3525" s="172"/>
      <c r="J3525" s="173"/>
    </row>
    <row r="3526" spans="1:10" x14ac:dyDescent="0.25">
      <c r="A3526" s="106"/>
      <c r="B3526" s="107"/>
      <c r="D3526" s="151"/>
      <c r="E3526" s="142"/>
      <c r="F3526" s="176"/>
      <c r="G3526" s="176"/>
      <c r="H3526" s="176"/>
      <c r="I3526" s="172"/>
      <c r="J3526" s="173"/>
    </row>
    <row r="3527" spans="1:10" x14ac:dyDescent="0.25">
      <c r="A3527" s="106"/>
      <c r="B3527" s="107"/>
      <c r="D3527" s="151"/>
      <c r="E3527" s="142"/>
      <c r="F3527" s="176"/>
      <c r="G3527" s="176"/>
      <c r="H3527" s="176"/>
      <c r="I3527" s="172"/>
      <c r="J3527" s="173"/>
    </row>
    <row r="3528" spans="1:10" x14ac:dyDescent="0.25">
      <c r="A3528" s="106"/>
      <c r="B3528" s="107"/>
      <c r="D3528" s="151"/>
      <c r="E3528" s="142"/>
      <c r="F3528" s="176"/>
      <c r="G3528" s="176"/>
      <c r="H3528" s="176"/>
      <c r="I3528" s="172"/>
      <c r="J3528" s="173"/>
    </row>
    <row r="3529" spans="1:10" x14ac:dyDescent="0.25">
      <c r="A3529" s="106"/>
      <c r="B3529" s="107"/>
      <c r="D3529" s="151"/>
      <c r="E3529" s="142"/>
      <c r="F3529" s="176"/>
      <c r="G3529" s="176"/>
      <c r="H3529" s="176"/>
      <c r="I3529" s="172"/>
      <c r="J3529" s="173"/>
    </row>
    <row r="3530" spans="1:10" x14ac:dyDescent="0.25">
      <c r="A3530" s="106"/>
      <c r="B3530" s="107"/>
      <c r="D3530" s="151"/>
      <c r="E3530" s="142"/>
      <c r="F3530" s="176"/>
      <c r="G3530" s="176"/>
      <c r="H3530" s="176"/>
      <c r="I3530" s="172"/>
      <c r="J3530" s="173"/>
    </row>
    <row r="3531" spans="1:10" x14ac:dyDescent="0.25">
      <c r="A3531" s="106"/>
      <c r="B3531" s="107"/>
      <c r="D3531" s="151"/>
      <c r="E3531" s="142"/>
      <c r="F3531" s="176"/>
      <c r="G3531" s="176"/>
      <c r="H3531" s="176"/>
      <c r="I3531" s="172"/>
      <c r="J3531" s="173"/>
    </row>
    <row r="3532" spans="1:10" x14ac:dyDescent="0.25">
      <c r="A3532" s="106"/>
      <c r="B3532" s="107"/>
      <c r="D3532" s="151"/>
      <c r="E3532" s="142"/>
      <c r="F3532" s="176"/>
      <c r="G3532" s="176"/>
      <c r="H3532" s="176"/>
      <c r="I3532" s="172"/>
      <c r="J3532" s="173"/>
    </row>
    <row r="3533" spans="1:10" x14ac:dyDescent="0.25">
      <c r="A3533" s="106"/>
      <c r="B3533" s="107"/>
      <c r="D3533" s="151"/>
      <c r="E3533" s="142"/>
      <c r="F3533" s="176"/>
      <c r="G3533" s="176"/>
      <c r="H3533" s="176"/>
      <c r="I3533" s="172"/>
      <c r="J3533" s="173"/>
    </row>
    <row r="3534" spans="1:10" x14ac:dyDescent="0.25">
      <c r="A3534" s="106"/>
      <c r="B3534" s="107"/>
      <c r="D3534" s="151"/>
      <c r="E3534" s="142"/>
      <c r="F3534" s="176"/>
      <c r="G3534" s="176"/>
      <c r="H3534" s="176"/>
      <c r="I3534" s="172"/>
      <c r="J3534" s="173"/>
    </row>
    <row r="3535" spans="1:10" x14ac:dyDescent="0.25">
      <c r="A3535" s="106"/>
      <c r="B3535" s="107"/>
      <c r="D3535" s="151"/>
      <c r="E3535" s="142"/>
      <c r="F3535" s="176"/>
      <c r="G3535" s="176"/>
      <c r="H3535" s="176"/>
      <c r="I3535" s="172"/>
      <c r="J3535" s="173"/>
    </row>
    <row r="3536" spans="1:10" x14ac:dyDescent="0.25">
      <c r="A3536" s="106"/>
      <c r="B3536" s="107"/>
      <c r="D3536" s="151"/>
      <c r="E3536" s="142"/>
      <c r="F3536" s="176"/>
      <c r="G3536" s="176"/>
      <c r="H3536" s="176"/>
      <c r="I3536" s="172"/>
      <c r="J3536" s="173"/>
    </row>
    <row r="3537" spans="1:10" x14ac:dyDescent="0.25">
      <c r="A3537" s="106"/>
      <c r="B3537" s="107"/>
      <c r="D3537" s="151"/>
      <c r="E3537" s="142"/>
      <c r="F3537" s="176"/>
      <c r="G3537" s="176"/>
      <c r="H3537" s="176"/>
      <c r="I3537" s="172"/>
      <c r="J3537" s="173"/>
    </row>
    <row r="3538" spans="1:10" x14ac:dyDescent="0.25">
      <c r="A3538" s="106"/>
      <c r="B3538" s="107"/>
      <c r="D3538" s="151"/>
      <c r="E3538" s="142"/>
      <c r="F3538" s="176"/>
      <c r="G3538" s="176"/>
      <c r="H3538" s="176"/>
      <c r="I3538" s="172"/>
      <c r="J3538" s="173"/>
    </row>
    <row r="3539" spans="1:10" x14ac:dyDescent="0.25">
      <c r="A3539" s="106"/>
      <c r="B3539" s="107"/>
      <c r="D3539" s="151"/>
      <c r="E3539" s="142"/>
      <c r="F3539" s="176"/>
      <c r="G3539" s="176"/>
      <c r="H3539" s="176"/>
      <c r="I3539" s="172"/>
      <c r="J3539" s="173"/>
    </row>
    <row r="3540" spans="1:10" x14ac:dyDescent="0.25">
      <c r="A3540" s="106"/>
      <c r="B3540" s="107"/>
      <c r="D3540" s="151"/>
      <c r="E3540" s="142"/>
      <c r="F3540" s="176"/>
      <c r="G3540" s="176"/>
      <c r="H3540" s="176"/>
      <c r="I3540" s="172"/>
      <c r="J3540" s="173"/>
    </row>
    <row r="3541" spans="1:10" x14ac:dyDescent="0.25">
      <c r="A3541" s="106"/>
      <c r="B3541" s="107"/>
      <c r="D3541" s="151"/>
      <c r="E3541" s="142"/>
      <c r="F3541" s="176"/>
      <c r="G3541" s="176"/>
      <c r="H3541" s="176"/>
      <c r="I3541" s="172"/>
      <c r="J3541" s="173"/>
    </row>
    <row r="3542" spans="1:10" x14ac:dyDescent="0.25">
      <c r="A3542" s="106"/>
      <c r="B3542" s="107"/>
      <c r="D3542" s="151"/>
      <c r="E3542" s="142"/>
      <c r="F3542" s="176"/>
      <c r="G3542" s="176"/>
      <c r="H3542" s="176"/>
      <c r="I3542" s="172"/>
      <c r="J3542" s="173"/>
    </row>
    <row r="3543" spans="1:10" x14ac:dyDescent="0.25">
      <c r="A3543" s="106"/>
      <c r="B3543" s="107"/>
      <c r="D3543" s="151"/>
      <c r="E3543" s="142"/>
      <c r="F3543" s="176"/>
      <c r="G3543" s="176"/>
      <c r="H3543" s="176"/>
      <c r="I3543" s="172"/>
      <c r="J3543" s="173"/>
    </row>
    <row r="3544" spans="1:10" x14ac:dyDescent="0.25">
      <c r="A3544" s="106"/>
      <c r="B3544" s="107"/>
      <c r="D3544" s="151"/>
      <c r="E3544" s="142"/>
      <c r="F3544" s="176"/>
      <c r="G3544" s="176"/>
      <c r="H3544" s="176"/>
      <c r="I3544" s="172"/>
      <c r="J3544" s="173"/>
    </row>
    <row r="3545" spans="1:10" x14ac:dyDescent="0.25">
      <c r="A3545" s="106"/>
      <c r="B3545" s="107"/>
      <c r="D3545" s="151"/>
      <c r="E3545" s="142"/>
      <c r="F3545" s="176"/>
      <c r="G3545" s="176"/>
      <c r="H3545" s="176"/>
      <c r="I3545" s="172"/>
      <c r="J3545" s="173"/>
    </row>
    <row r="3546" spans="1:10" x14ac:dyDescent="0.25">
      <c r="A3546" s="106"/>
      <c r="B3546" s="107"/>
      <c r="D3546" s="151"/>
      <c r="E3546" s="142"/>
      <c r="F3546" s="176"/>
      <c r="G3546" s="176"/>
      <c r="H3546" s="176"/>
      <c r="I3546" s="172"/>
      <c r="J3546" s="173"/>
    </row>
    <row r="3547" spans="1:10" x14ac:dyDescent="0.25">
      <c r="A3547" s="106"/>
      <c r="B3547" s="107"/>
      <c r="D3547" s="151"/>
      <c r="E3547" s="142"/>
      <c r="F3547" s="176"/>
      <c r="G3547" s="176"/>
      <c r="H3547" s="176"/>
      <c r="I3547" s="172"/>
      <c r="J3547" s="173"/>
    </row>
    <row r="3548" spans="1:10" x14ac:dyDescent="0.25">
      <c r="A3548" s="106"/>
      <c r="B3548" s="107"/>
      <c r="D3548" s="151"/>
      <c r="E3548" s="142"/>
      <c r="F3548" s="176"/>
      <c r="G3548" s="176"/>
      <c r="H3548" s="176"/>
      <c r="I3548" s="172"/>
      <c r="J3548" s="173"/>
    </row>
    <row r="3549" spans="1:10" x14ac:dyDescent="0.25">
      <c r="A3549" s="106"/>
      <c r="B3549" s="107"/>
      <c r="D3549" s="151"/>
      <c r="E3549" s="142"/>
      <c r="F3549" s="176"/>
      <c r="G3549" s="176"/>
      <c r="H3549" s="176"/>
      <c r="I3549" s="172"/>
      <c r="J3549" s="173"/>
    </row>
    <row r="3550" spans="1:10" x14ac:dyDescent="0.25">
      <c r="A3550" s="106"/>
      <c r="B3550" s="107"/>
      <c r="D3550" s="151"/>
      <c r="E3550" s="142"/>
      <c r="F3550" s="176"/>
      <c r="G3550" s="176"/>
      <c r="H3550" s="176"/>
      <c r="I3550" s="172"/>
      <c r="J3550" s="173"/>
    </row>
    <row r="3551" spans="1:10" x14ac:dyDescent="0.25">
      <c r="A3551" s="106"/>
      <c r="B3551" s="107"/>
      <c r="D3551" s="151"/>
      <c r="E3551" s="142"/>
      <c r="F3551" s="176"/>
      <c r="G3551" s="176"/>
      <c r="H3551" s="176"/>
      <c r="I3551" s="172"/>
      <c r="J3551" s="173"/>
    </row>
    <row r="3552" spans="1:10" x14ac:dyDescent="0.25">
      <c r="A3552" s="106"/>
      <c r="B3552" s="107"/>
      <c r="D3552" s="151"/>
      <c r="E3552" s="142"/>
      <c r="F3552" s="176"/>
      <c r="G3552" s="176"/>
      <c r="H3552" s="176"/>
      <c r="I3552" s="172"/>
      <c r="J3552" s="173"/>
    </row>
    <row r="3553" spans="1:10" x14ac:dyDescent="0.25">
      <c r="A3553" s="106"/>
      <c r="B3553" s="107"/>
      <c r="D3553" s="151"/>
      <c r="E3553" s="142"/>
      <c r="F3553" s="176"/>
      <c r="G3553" s="176"/>
      <c r="H3553" s="176"/>
      <c r="I3553" s="172"/>
      <c r="J3553" s="173"/>
    </row>
    <row r="3554" spans="1:10" x14ac:dyDescent="0.25">
      <c r="A3554" s="106"/>
      <c r="B3554" s="107"/>
      <c r="D3554" s="151"/>
      <c r="E3554" s="142"/>
      <c r="F3554" s="176"/>
      <c r="G3554" s="176"/>
      <c r="H3554" s="176"/>
      <c r="I3554" s="172"/>
      <c r="J3554" s="173"/>
    </row>
    <row r="3555" spans="1:10" x14ac:dyDescent="0.25">
      <c r="A3555" s="106"/>
      <c r="B3555" s="107"/>
      <c r="D3555" s="151"/>
      <c r="E3555" s="142"/>
      <c r="F3555" s="176"/>
      <c r="G3555" s="176"/>
      <c r="H3555" s="176"/>
      <c r="I3555" s="172"/>
      <c r="J3555" s="173"/>
    </row>
    <row r="3556" spans="1:10" x14ac:dyDescent="0.25">
      <c r="A3556" s="106"/>
      <c r="B3556" s="107"/>
      <c r="D3556" s="151"/>
      <c r="E3556" s="142"/>
      <c r="F3556" s="176"/>
      <c r="G3556" s="176"/>
      <c r="H3556" s="176"/>
      <c r="I3556" s="172"/>
      <c r="J3556" s="173"/>
    </row>
    <row r="3557" spans="1:10" x14ac:dyDescent="0.25">
      <c r="A3557" s="106"/>
      <c r="B3557" s="107"/>
      <c r="D3557" s="151"/>
      <c r="E3557" s="142"/>
      <c r="F3557" s="176"/>
      <c r="G3557" s="176"/>
      <c r="H3557" s="176"/>
      <c r="I3557" s="172"/>
      <c r="J3557" s="173"/>
    </row>
    <row r="3558" spans="1:10" x14ac:dyDescent="0.25">
      <c r="A3558" s="106"/>
      <c r="B3558" s="107"/>
      <c r="D3558" s="151"/>
      <c r="E3558" s="142"/>
      <c r="F3558" s="176"/>
      <c r="G3558" s="176"/>
      <c r="H3558" s="176"/>
      <c r="I3558" s="172"/>
      <c r="J3558" s="173"/>
    </row>
    <row r="3559" spans="1:10" x14ac:dyDescent="0.25">
      <c r="A3559" s="106"/>
      <c r="B3559" s="107"/>
      <c r="D3559" s="151"/>
      <c r="E3559" s="142"/>
      <c r="F3559" s="176"/>
      <c r="G3559" s="176"/>
      <c r="H3559" s="176"/>
      <c r="I3559" s="172"/>
      <c r="J3559" s="173"/>
    </row>
    <row r="3560" spans="1:10" x14ac:dyDescent="0.25">
      <c r="A3560" s="106"/>
      <c r="B3560" s="107"/>
      <c r="D3560" s="151"/>
      <c r="E3560" s="142"/>
      <c r="F3560" s="176"/>
      <c r="G3560" s="176"/>
      <c r="H3560" s="176"/>
      <c r="I3560" s="172"/>
      <c r="J3560" s="173"/>
    </row>
    <row r="3561" spans="1:10" x14ac:dyDescent="0.25">
      <c r="A3561" s="106"/>
      <c r="B3561" s="107"/>
      <c r="D3561" s="151"/>
      <c r="E3561" s="142"/>
      <c r="F3561" s="176"/>
      <c r="G3561" s="176"/>
      <c r="H3561" s="176"/>
      <c r="I3561" s="172"/>
      <c r="J3561" s="173"/>
    </row>
    <row r="3562" spans="1:10" x14ac:dyDescent="0.25">
      <c r="A3562" s="106"/>
      <c r="B3562" s="107"/>
      <c r="D3562" s="151"/>
      <c r="E3562" s="142"/>
      <c r="F3562" s="176"/>
      <c r="G3562" s="176"/>
      <c r="H3562" s="176"/>
      <c r="I3562" s="172"/>
      <c r="J3562" s="173"/>
    </row>
    <row r="3563" spans="1:10" x14ac:dyDescent="0.25">
      <c r="A3563" s="106"/>
      <c r="B3563" s="107"/>
      <c r="D3563" s="151"/>
      <c r="E3563" s="142"/>
      <c r="F3563" s="176"/>
      <c r="G3563" s="176"/>
      <c r="H3563" s="176"/>
      <c r="I3563" s="172"/>
      <c r="J3563" s="173"/>
    </row>
    <row r="3564" spans="1:10" x14ac:dyDescent="0.25">
      <c r="A3564" s="106"/>
      <c r="B3564" s="107"/>
      <c r="D3564" s="151"/>
      <c r="E3564" s="142"/>
      <c r="F3564" s="176"/>
      <c r="G3564" s="176"/>
      <c r="H3564" s="176"/>
      <c r="I3564" s="172"/>
      <c r="J3564" s="173"/>
    </row>
    <row r="3565" spans="1:10" x14ac:dyDescent="0.25">
      <c r="A3565" s="106"/>
      <c r="B3565" s="107"/>
      <c r="D3565" s="151"/>
      <c r="E3565" s="142"/>
      <c r="F3565" s="176"/>
      <c r="G3565" s="176"/>
      <c r="H3565" s="176"/>
      <c r="I3565" s="172"/>
      <c r="J3565" s="173"/>
    </row>
    <row r="3566" spans="1:10" x14ac:dyDescent="0.25">
      <c r="A3566" s="106"/>
      <c r="B3566" s="107"/>
      <c r="D3566" s="151"/>
      <c r="E3566" s="142"/>
      <c r="F3566" s="176"/>
      <c r="G3566" s="176"/>
      <c r="H3566" s="176"/>
      <c r="I3566" s="172"/>
      <c r="J3566" s="173"/>
    </row>
    <row r="3567" spans="1:10" x14ac:dyDescent="0.25">
      <c r="A3567" s="106"/>
      <c r="B3567" s="107"/>
      <c r="D3567" s="151"/>
      <c r="E3567" s="142"/>
      <c r="F3567" s="176"/>
      <c r="G3567" s="176"/>
      <c r="H3567" s="176"/>
      <c r="I3567" s="172"/>
      <c r="J3567" s="173"/>
    </row>
    <row r="3568" spans="1:10" x14ac:dyDescent="0.25">
      <c r="A3568" s="106"/>
      <c r="B3568" s="107"/>
      <c r="D3568" s="151"/>
      <c r="E3568" s="142"/>
      <c r="F3568" s="176"/>
      <c r="G3568" s="176"/>
      <c r="H3568" s="176"/>
      <c r="I3568" s="172"/>
      <c r="J3568" s="173"/>
    </row>
    <row r="3569" spans="1:10" x14ac:dyDescent="0.25">
      <c r="A3569" s="106"/>
      <c r="B3569" s="107"/>
      <c r="D3569" s="151"/>
      <c r="E3569" s="142"/>
      <c r="F3569" s="176"/>
      <c r="G3569" s="176"/>
      <c r="H3569" s="176"/>
      <c r="I3569" s="172"/>
      <c r="J3569" s="173"/>
    </row>
    <row r="3570" spans="1:10" x14ac:dyDescent="0.25">
      <c r="A3570" s="106"/>
      <c r="B3570" s="107"/>
      <c r="D3570" s="151"/>
      <c r="E3570" s="142"/>
      <c r="F3570" s="176"/>
      <c r="G3570" s="176"/>
      <c r="H3570" s="176"/>
      <c r="I3570" s="172"/>
      <c r="J3570" s="173"/>
    </row>
    <row r="3571" spans="1:10" x14ac:dyDescent="0.25">
      <c r="A3571" s="106"/>
      <c r="B3571" s="107"/>
      <c r="D3571" s="151"/>
      <c r="E3571" s="142"/>
      <c r="F3571" s="176"/>
      <c r="G3571" s="176"/>
      <c r="H3571" s="176"/>
      <c r="I3571" s="172"/>
      <c r="J3571" s="173"/>
    </row>
    <row r="3572" spans="1:10" x14ac:dyDescent="0.25">
      <c r="A3572" s="106"/>
      <c r="B3572" s="107"/>
      <c r="D3572" s="151"/>
      <c r="E3572" s="142"/>
      <c r="F3572" s="176"/>
      <c r="G3572" s="176"/>
      <c r="H3572" s="176"/>
      <c r="I3572" s="172"/>
      <c r="J3572" s="173"/>
    </row>
    <row r="3573" spans="1:10" x14ac:dyDescent="0.25">
      <c r="A3573" s="106"/>
      <c r="B3573" s="107"/>
      <c r="D3573" s="151"/>
      <c r="E3573" s="142"/>
      <c r="F3573" s="176"/>
      <c r="G3573" s="176"/>
      <c r="H3573" s="176"/>
      <c r="I3573" s="172"/>
      <c r="J3573" s="173"/>
    </row>
    <row r="3574" spans="1:10" x14ac:dyDescent="0.25">
      <c r="A3574" s="106"/>
      <c r="B3574" s="107"/>
      <c r="D3574" s="151"/>
      <c r="E3574" s="142"/>
      <c r="F3574" s="176"/>
      <c r="G3574" s="176"/>
      <c r="H3574" s="176"/>
      <c r="I3574" s="172"/>
      <c r="J3574" s="173"/>
    </row>
    <row r="3575" spans="1:10" x14ac:dyDescent="0.25">
      <c r="A3575" s="106"/>
      <c r="B3575" s="107"/>
      <c r="D3575" s="151"/>
      <c r="E3575" s="142"/>
      <c r="F3575" s="176"/>
      <c r="G3575" s="176"/>
      <c r="H3575" s="176"/>
      <c r="I3575" s="172"/>
      <c r="J3575" s="173"/>
    </row>
    <row r="3576" spans="1:10" x14ac:dyDescent="0.25">
      <c r="A3576" s="106"/>
      <c r="B3576" s="107"/>
      <c r="D3576" s="151"/>
      <c r="E3576" s="142"/>
      <c r="F3576" s="176"/>
      <c r="G3576" s="176"/>
      <c r="H3576" s="176"/>
      <c r="I3576" s="172"/>
      <c r="J3576" s="173"/>
    </row>
    <row r="3577" spans="1:10" x14ac:dyDescent="0.25">
      <c r="A3577" s="106"/>
      <c r="B3577" s="107"/>
      <c r="D3577" s="151"/>
      <c r="E3577" s="142"/>
      <c r="F3577" s="176"/>
      <c r="G3577" s="176"/>
      <c r="H3577" s="176"/>
      <c r="I3577" s="172"/>
      <c r="J3577" s="173"/>
    </row>
    <row r="3578" spans="1:10" x14ac:dyDescent="0.25">
      <c r="A3578" s="106"/>
      <c r="B3578" s="107"/>
      <c r="D3578" s="151"/>
      <c r="E3578" s="142"/>
      <c r="F3578" s="176"/>
      <c r="G3578" s="176"/>
      <c r="H3578" s="176"/>
      <c r="I3578" s="172"/>
      <c r="J3578" s="173"/>
    </row>
    <row r="3579" spans="1:10" x14ac:dyDescent="0.25">
      <c r="A3579" s="106"/>
      <c r="B3579" s="107"/>
      <c r="D3579" s="151"/>
      <c r="E3579" s="142"/>
      <c r="F3579" s="176"/>
      <c r="G3579" s="176"/>
      <c r="H3579" s="176"/>
      <c r="I3579" s="172"/>
      <c r="J3579" s="173"/>
    </row>
    <row r="3580" spans="1:10" x14ac:dyDescent="0.25">
      <c r="A3580" s="106"/>
      <c r="B3580" s="107"/>
      <c r="D3580" s="151"/>
      <c r="E3580" s="142"/>
      <c r="F3580" s="176"/>
      <c r="G3580" s="176"/>
      <c r="H3580" s="176"/>
      <c r="I3580" s="172"/>
      <c r="J3580" s="173"/>
    </row>
    <row r="3581" spans="1:10" x14ac:dyDescent="0.25">
      <c r="A3581" s="106"/>
      <c r="B3581" s="107"/>
      <c r="D3581" s="151"/>
      <c r="E3581" s="142"/>
      <c r="F3581" s="176"/>
      <c r="G3581" s="176"/>
      <c r="H3581" s="176"/>
      <c r="I3581" s="172"/>
      <c r="J3581" s="173"/>
    </row>
    <row r="3582" spans="1:10" x14ac:dyDescent="0.25">
      <c r="A3582" s="106"/>
      <c r="B3582" s="107"/>
      <c r="D3582" s="151"/>
      <c r="E3582" s="142"/>
      <c r="F3582" s="176"/>
      <c r="G3582" s="176"/>
      <c r="H3582" s="176"/>
      <c r="I3582" s="172"/>
      <c r="J3582" s="173"/>
    </row>
    <row r="3583" spans="1:10" x14ac:dyDescent="0.25">
      <c r="A3583" s="106"/>
      <c r="B3583" s="107"/>
      <c r="D3583" s="151"/>
      <c r="E3583" s="142"/>
      <c r="F3583" s="176"/>
      <c r="G3583" s="176"/>
      <c r="H3583" s="176"/>
      <c r="I3583" s="172"/>
      <c r="J3583" s="173"/>
    </row>
    <row r="3584" spans="1:10" x14ac:dyDescent="0.25">
      <c r="A3584" s="106"/>
      <c r="B3584" s="107"/>
      <c r="D3584" s="151"/>
      <c r="E3584" s="142"/>
      <c r="F3584" s="176"/>
      <c r="G3584" s="176"/>
      <c r="H3584" s="176"/>
      <c r="I3584" s="172"/>
      <c r="J3584" s="173"/>
    </row>
    <row r="3585" spans="1:10" x14ac:dyDescent="0.25">
      <c r="A3585" s="106"/>
      <c r="B3585" s="107"/>
      <c r="D3585" s="151"/>
      <c r="E3585" s="142"/>
      <c r="F3585" s="176"/>
      <c r="G3585" s="176"/>
      <c r="H3585" s="176"/>
      <c r="I3585" s="172"/>
      <c r="J3585" s="173"/>
    </row>
    <row r="3586" spans="1:10" x14ac:dyDescent="0.25">
      <c r="A3586" s="106"/>
      <c r="B3586" s="107"/>
      <c r="D3586" s="151"/>
      <c r="E3586" s="142"/>
      <c r="F3586" s="176"/>
      <c r="G3586" s="176"/>
      <c r="H3586" s="176"/>
      <c r="I3586" s="172"/>
      <c r="J3586" s="173"/>
    </row>
    <row r="3587" spans="1:10" x14ac:dyDescent="0.25">
      <c r="A3587" s="106"/>
      <c r="B3587" s="107"/>
      <c r="D3587" s="151"/>
      <c r="E3587" s="142"/>
      <c r="F3587" s="176"/>
      <c r="G3587" s="176"/>
      <c r="H3587" s="176"/>
      <c r="I3587" s="172"/>
      <c r="J3587" s="173"/>
    </row>
    <row r="3588" spans="1:10" x14ac:dyDescent="0.25">
      <c r="A3588" s="106"/>
      <c r="B3588" s="107"/>
      <c r="D3588" s="151"/>
      <c r="E3588" s="142"/>
      <c r="F3588" s="176"/>
      <c r="G3588" s="176"/>
      <c r="H3588" s="176"/>
      <c r="I3588" s="172"/>
      <c r="J3588" s="173"/>
    </row>
    <row r="3589" spans="1:10" x14ac:dyDescent="0.25">
      <c r="A3589" s="106"/>
      <c r="B3589" s="107"/>
      <c r="D3589" s="151"/>
      <c r="E3589" s="142"/>
      <c r="F3589" s="176"/>
      <c r="G3589" s="176"/>
      <c r="H3589" s="176"/>
      <c r="I3589" s="172"/>
      <c r="J3589" s="173"/>
    </row>
    <row r="3590" spans="1:10" x14ac:dyDescent="0.25">
      <c r="A3590" s="106"/>
      <c r="B3590" s="107"/>
      <c r="D3590" s="151"/>
      <c r="E3590" s="142"/>
      <c r="F3590" s="176"/>
      <c r="G3590" s="176"/>
      <c r="H3590" s="176"/>
      <c r="I3590" s="172"/>
      <c r="J3590" s="173"/>
    </row>
    <row r="3591" spans="1:10" x14ac:dyDescent="0.25">
      <c r="A3591" s="106"/>
      <c r="B3591" s="107"/>
      <c r="D3591" s="151"/>
      <c r="E3591" s="142"/>
      <c r="F3591" s="176"/>
      <c r="G3591" s="176"/>
      <c r="H3591" s="176"/>
      <c r="I3591" s="172"/>
      <c r="J3591" s="173"/>
    </row>
    <row r="3592" spans="1:10" x14ac:dyDescent="0.25">
      <c r="A3592" s="106"/>
      <c r="B3592" s="107"/>
      <c r="D3592" s="151"/>
      <c r="E3592" s="142"/>
      <c r="F3592" s="176"/>
      <c r="G3592" s="176"/>
      <c r="H3592" s="176"/>
      <c r="I3592" s="172"/>
      <c r="J3592" s="173"/>
    </row>
    <row r="3593" spans="1:10" x14ac:dyDescent="0.25">
      <c r="A3593" s="106"/>
      <c r="B3593" s="107"/>
      <c r="D3593" s="151"/>
      <c r="E3593" s="142"/>
      <c r="F3593" s="176"/>
      <c r="G3593" s="176"/>
      <c r="H3593" s="176"/>
      <c r="I3593" s="172"/>
      <c r="J3593" s="173"/>
    </row>
    <row r="3594" spans="1:10" x14ac:dyDescent="0.25">
      <c r="A3594" s="106"/>
      <c r="B3594" s="107"/>
      <c r="D3594" s="151"/>
      <c r="E3594" s="142"/>
      <c r="F3594" s="176"/>
      <c r="G3594" s="176"/>
      <c r="H3594" s="176"/>
      <c r="I3594" s="172"/>
      <c r="J3594" s="173"/>
    </row>
    <row r="3595" spans="1:10" x14ac:dyDescent="0.25">
      <c r="A3595" s="106"/>
      <c r="B3595" s="107"/>
      <c r="D3595" s="151"/>
      <c r="E3595" s="142"/>
      <c r="F3595" s="176"/>
      <c r="G3595" s="176"/>
      <c r="H3595" s="176"/>
      <c r="I3595" s="172"/>
      <c r="J3595" s="173"/>
    </row>
    <row r="3596" spans="1:10" x14ac:dyDescent="0.25">
      <c r="A3596" s="106"/>
      <c r="B3596" s="107"/>
      <c r="D3596" s="151"/>
      <c r="E3596" s="142"/>
      <c r="F3596" s="176"/>
      <c r="G3596" s="176"/>
      <c r="H3596" s="176"/>
      <c r="I3596" s="172"/>
      <c r="J3596" s="173"/>
    </row>
    <row r="3597" spans="1:10" x14ac:dyDescent="0.25">
      <c r="A3597" s="106"/>
      <c r="B3597" s="107"/>
      <c r="D3597" s="151"/>
      <c r="E3597" s="142"/>
      <c r="F3597" s="176"/>
      <c r="G3597" s="176"/>
      <c r="H3597" s="176"/>
      <c r="I3597" s="172"/>
      <c r="J3597" s="173"/>
    </row>
    <row r="3598" spans="1:10" x14ac:dyDescent="0.25">
      <c r="A3598" s="106"/>
      <c r="B3598" s="107"/>
      <c r="D3598" s="151"/>
      <c r="E3598" s="142"/>
      <c r="F3598" s="176"/>
      <c r="G3598" s="176"/>
      <c r="H3598" s="176"/>
      <c r="I3598" s="172"/>
      <c r="J3598" s="173"/>
    </row>
    <row r="3599" spans="1:10" x14ac:dyDescent="0.25">
      <c r="A3599" s="106"/>
      <c r="B3599" s="107"/>
      <c r="D3599" s="151"/>
      <c r="E3599" s="142"/>
      <c r="F3599" s="176"/>
      <c r="G3599" s="176"/>
      <c r="H3599" s="176"/>
      <c r="I3599" s="172"/>
      <c r="J3599" s="173"/>
    </row>
    <row r="3600" spans="1:10" x14ac:dyDescent="0.25">
      <c r="A3600" s="106"/>
      <c r="B3600" s="107"/>
      <c r="D3600" s="151"/>
      <c r="E3600" s="142"/>
      <c r="F3600" s="176"/>
      <c r="G3600" s="176"/>
      <c r="H3600" s="176"/>
      <c r="I3600" s="172"/>
      <c r="J3600" s="173"/>
    </row>
    <row r="3601" spans="1:10" x14ac:dyDescent="0.25">
      <c r="A3601" s="106"/>
      <c r="B3601" s="107"/>
      <c r="D3601" s="151"/>
      <c r="E3601" s="142"/>
      <c r="F3601" s="176"/>
      <c r="G3601" s="176"/>
      <c r="H3601" s="176"/>
      <c r="I3601" s="172"/>
      <c r="J3601" s="173"/>
    </row>
    <row r="3602" spans="1:10" x14ac:dyDescent="0.25">
      <c r="A3602" s="106"/>
      <c r="B3602" s="107"/>
      <c r="D3602" s="151"/>
      <c r="E3602" s="142"/>
      <c r="F3602" s="176"/>
      <c r="G3602" s="176"/>
      <c r="H3602" s="176"/>
      <c r="I3602" s="172"/>
      <c r="J3602" s="173"/>
    </row>
    <row r="3603" spans="1:10" x14ac:dyDescent="0.25">
      <c r="A3603" s="106"/>
      <c r="B3603" s="107"/>
      <c r="D3603" s="151"/>
      <c r="E3603" s="142"/>
      <c r="F3603" s="176"/>
      <c r="G3603" s="176"/>
      <c r="H3603" s="176"/>
      <c r="I3603" s="172"/>
      <c r="J3603" s="173"/>
    </row>
    <row r="3604" spans="1:10" x14ac:dyDescent="0.25">
      <c r="A3604" s="106"/>
      <c r="B3604" s="107"/>
      <c r="D3604" s="151"/>
      <c r="E3604" s="142"/>
      <c r="F3604" s="176"/>
      <c r="G3604" s="176"/>
      <c r="H3604" s="176"/>
      <c r="I3604" s="172"/>
      <c r="J3604" s="173"/>
    </row>
    <row r="3605" spans="1:10" x14ac:dyDescent="0.25">
      <c r="A3605" s="106"/>
      <c r="B3605" s="107"/>
      <c r="D3605" s="151"/>
      <c r="E3605" s="142"/>
      <c r="F3605" s="176"/>
      <c r="G3605" s="176"/>
      <c r="H3605" s="176"/>
      <c r="I3605" s="172"/>
      <c r="J3605" s="173"/>
    </row>
    <row r="3606" spans="1:10" x14ac:dyDescent="0.25">
      <c r="A3606" s="106"/>
      <c r="B3606" s="107"/>
      <c r="D3606" s="151"/>
      <c r="E3606" s="142"/>
      <c r="F3606" s="176"/>
      <c r="G3606" s="176"/>
      <c r="H3606" s="176"/>
      <c r="I3606" s="172"/>
      <c r="J3606" s="173"/>
    </row>
    <row r="3607" spans="1:10" x14ac:dyDescent="0.25">
      <c r="A3607" s="106"/>
      <c r="B3607" s="107"/>
      <c r="D3607" s="151"/>
      <c r="E3607" s="142"/>
      <c r="F3607" s="176"/>
      <c r="G3607" s="176"/>
      <c r="H3607" s="176"/>
      <c r="I3607" s="172"/>
      <c r="J3607" s="173"/>
    </row>
    <row r="3608" spans="1:10" x14ac:dyDescent="0.25">
      <c r="A3608" s="106"/>
      <c r="B3608" s="107"/>
      <c r="D3608" s="151"/>
      <c r="E3608" s="142"/>
      <c r="F3608" s="176"/>
      <c r="G3608" s="176"/>
      <c r="H3608" s="176"/>
      <c r="I3608" s="172"/>
      <c r="J3608" s="173"/>
    </row>
    <row r="3609" spans="1:10" x14ac:dyDescent="0.25">
      <c r="A3609" s="106"/>
      <c r="B3609" s="107"/>
      <c r="D3609" s="151"/>
      <c r="E3609" s="142"/>
      <c r="F3609" s="176"/>
      <c r="G3609" s="176"/>
      <c r="H3609" s="176"/>
      <c r="I3609" s="172"/>
      <c r="J3609" s="173"/>
    </row>
    <row r="3610" spans="1:10" x14ac:dyDescent="0.25">
      <c r="A3610" s="106"/>
      <c r="B3610" s="107"/>
      <c r="D3610" s="151"/>
      <c r="E3610" s="142"/>
      <c r="F3610" s="176"/>
      <c r="G3610" s="176"/>
      <c r="H3610" s="176"/>
      <c r="I3610" s="172"/>
      <c r="J3610" s="173"/>
    </row>
    <row r="3611" spans="1:10" x14ac:dyDescent="0.25">
      <c r="A3611" s="106"/>
      <c r="B3611" s="107"/>
      <c r="D3611" s="151"/>
      <c r="E3611" s="142"/>
      <c r="F3611" s="176"/>
      <c r="G3611" s="176"/>
      <c r="H3611" s="176"/>
      <c r="I3611" s="172"/>
      <c r="J3611" s="173"/>
    </row>
    <row r="3612" spans="1:10" x14ac:dyDescent="0.25">
      <c r="A3612" s="106"/>
      <c r="B3612" s="107"/>
      <c r="D3612" s="151"/>
      <c r="E3612" s="142"/>
      <c r="F3612" s="176"/>
      <c r="G3612" s="176"/>
      <c r="H3612" s="176"/>
      <c r="I3612" s="172"/>
      <c r="J3612" s="173"/>
    </row>
    <row r="3613" spans="1:10" x14ac:dyDescent="0.25">
      <c r="A3613" s="106"/>
      <c r="B3613" s="107"/>
      <c r="D3613" s="151"/>
      <c r="E3613" s="142"/>
      <c r="F3613" s="176"/>
      <c r="G3613" s="176"/>
      <c r="H3613" s="176"/>
      <c r="I3613" s="172"/>
      <c r="J3613" s="173"/>
    </row>
    <row r="3614" spans="1:10" x14ac:dyDescent="0.25">
      <c r="A3614" s="106"/>
      <c r="B3614" s="107"/>
      <c r="D3614" s="151"/>
      <c r="E3614" s="142"/>
      <c r="F3614" s="176"/>
      <c r="G3614" s="176"/>
      <c r="H3614" s="176"/>
      <c r="I3614" s="172"/>
      <c r="J3614" s="173"/>
    </row>
    <row r="3615" spans="1:10" x14ac:dyDescent="0.25">
      <c r="A3615" s="106"/>
      <c r="B3615" s="107"/>
      <c r="D3615" s="151"/>
      <c r="E3615" s="142"/>
      <c r="F3615" s="176"/>
      <c r="G3615" s="176"/>
      <c r="H3615" s="176"/>
      <c r="I3615" s="172"/>
      <c r="J3615" s="173"/>
    </row>
    <row r="3616" spans="1:10" x14ac:dyDescent="0.25">
      <c r="A3616" s="106"/>
      <c r="B3616" s="107"/>
      <c r="D3616" s="151"/>
      <c r="E3616" s="142"/>
      <c r="F3616" s="176"/>
      <c r="G3616" s="176"/>
      <c r="H3616" s="176"/>
      <c r="I3616" s="172"/>
      <c r="J3616" s="173"/>
    </row>
    <row r="3617" spans="1:10" x14ac:dyDescent="0.25">
      <c r="A3617" s="106"/>
      <c r="B3617" s="107"/>
      <c r="D3617" s="151"/>
      <c r="E3617" s="142"/>
      <c r="F3617" s="176"/>
      <c r="G3617" s="176"/>
      <c r="H3617" s="176"/>
      <c r="I3617" s="172"/>
      <c r="J3617" s="173"/>
    </row>
    <row r="3618" spans="1:10" x14ac:dyDescent="0.25">
      <c r="A3618" s="106"/>
      <c r="B3618" s="107"/>
      <c r="D3618" s="151"/>
      <c r="E3618" s="142"/>
      <c r="F3618" s="176"/>
      <c r="G3618" s="176"/>
      <c r="H3618" s="176"/>
      <c r="I3618" s="172"/>
      <c r="J3618" s="173"/>
    </row>
    <row r="3619" spans="1:10" x14ac:dyDescent="0.25">
      <c r="A3619" s="106"/>
      <c r="B3619" s="107"/>
      <c r="D3619" s="151"/>
      <c r="E3619" s="142"/>
      <c r="F3619" s="176"/>
      <c r="G3619" s="176"/>
      <c r="H3619" s="176"/>
      <c r="I3619" s="172"/>
      <c r="J3619" s="173"/>
    </row>
    <row r="3620" spans="1:10" x14ac:dyDescent="0.25">
      <c r="A3620" s="106"/>
      <c r="B3620" s="107"/>
      <c r="D3620" s="151"/>
      <c r="E3620" s="142"/>
      <c r="F3620" s="176"/>
      <c r="G3620" s="176"/>
      <c r="H3620" s="176"/>
      <c r="I3620" s="172"/>
      <c r="J3620" s="173"/>
    </row>
    <row r="3621" spans="1:10" x14ac:dyDescent="0.25">
      <c r="A3621" s="106"/>
      <c r="B3621" s="107"/>
      <c r="D3621" s="151"/>
      <c r="E3621" s="142"/>
      <c r="F3621" s="176"/>
      <c r="G3621" s="176"/>
      <c r="H3621" s="176"/>
      <c r="I3621" s="172"/>
      <c r="J3621" s="173"/>
    </row>
    <row r="3622" spans="1:10" x14ac:dyDescent="0.25">
      <c r="A3622" s="106"/>
      <c r="B3622" s="107"/>
      <c r="D3622" s="151"/>
      <c r="E3622" s="142"/>
      <c r="F3622" s="176"/>
      <c r="G3622" s="176"/>
      <c r="H3622" s="176"/>
      <c r="I3622" s="172"/>
      <c r="J3622" s="173"/>
    </row>
    <row r="3623" spans="1:10" x14ac:dyDescent="0.25">
      <c r="A3623" s="106"/>
      <c r="B3623" s="107"/>
      <c r="D3623" s="151"/>
      <c r="E3623" s="142"/>
      <c r="F3623" s="176"/>
      <c r="G3623" s="176"/>
      <c r="H3623" s="176"/>
      <c r="I3623" s="172"/>
      <c r="J3623" s="173"/>
    </row>
    <row r="3624" spans="1:10" x14ac:dyDescent="0.25">
      <c r="A3624" s="106"/>
      <c r="B3624" s="107"/>
      <c r="D3624" s="151"/>
      <c r="E3624" s="142"/>
      <c r="F3624" s="176"/>
      <c r="G3624" s="176"/>
      <c r="H3624" s="176"/>
      <c r="I3624" s="172"/>
      <c r="J3624" s="173"/>
    </row>
    <row r="3625" spans="1:10" x14ac:dyDescent="0.25">
      <c r="A3625" s="106"/>
      <c r="B3625" s="107"/>
      <c r="D3625" s="151"/>
      <c r="E3625" s="142"/>
      <c r="F3625" s="176"/>
      <c r="G3625" s="176"/>
      <c r="H3625" s="176"/>
      <c r="I3625" s="172"/>
      <c r="J3625" s="173"/>
    </row>
    <row r="3626" spans="1:10" x14ac:dyDescent="0.25">
      <c r="A3626" s="106"/>
      <c r="B3626" s="107"/>
      <c r="D3626" s="151"/>
      <c r="E3626" s="142"/>
      <c r="F3626" s="176"/>
      <c r="G3626" s="176"/>
      <c r="H3626" s="176"/>
      <c r="I3626" s="172"/>
      <c r="J3626" s="173"/>
    </row>
    <row r="3627" spans="1:10" x14ac:dyDescent="0.25">
      <c r="A3627" s="106"/>
      <c r="B3627" s="107"/>
      <c r="D3627" s="151"/>
      <c r="E3627" s="142"/>
      <c r="F3627" s="176"/>
      <c r="G3627" s="176"/>
      <c r="H3627" s="176"/>
      <c r="I3627" s="172"/>
      <c r="J3627" s="173"/>
    </row>
    <row r="3628" spans="1:10" x14ac:dyDescent="0.25">
      <c r="A3628" s="106"/>
      <c r="B3628" s="107"/>
      <c r="D3628" s="151"/>
      <c r="E3628" s="142"/>
      <c r="F3628" s="176"/>
      <c r="G3628" s="176"/>
      <c r="H3628" s="176"/>
      <c r="I3628" s="172"/>
      <c r="J3628" s="173"/>
    </row>
    <row r="3629" spans="1:10" x14ac:dyDescent="0.25">
      <c r="A3629" s="106"/>
      <c r="B3629" s="107"/>
      <c r="D3629" s="151"/>
      <c r="E3629" s="142"/>
      <c r="F3629" s="176"/>
      <c r="G3629" s="176"/>
      <c r="H3629" s="176"/>
      <c r="I3629" s="172"/>
      <c r="J3629" s="173"/>
    </row>
    <row r="3630" spans="1:10" x14ac:dyDescent="0.25">
      <c r="A3630" s="106"/>
      <c r="B3630" s="107"/>
      <c r="D3630" s="151"/>
      <c r="E3630" s="142"/>
      <c r="F3630" s="176"/>
      <c r="G3630" s="176"/>
      <c r="H3630" s="176"/>
      <c r="I3630" s="172"/>
      <c r="J3630" s="173"/>
    </row>
    <row r="3631" spans="1:10" x14ac:dyDescent="0.25">
      <c r="A3631" s="106"/>
      <c r="B3631" s="107"/>
      <c r="D3631" s="151"/>
      <c r="E3631" s="142"/>
      <c r="F3631" s="176"/>
      <c r="G3631" s="176"/>
      <c r="H3631" s="176"/>
      <c r="I3631" s="172"/>
      <c r="J3631" s="173"/>
    </row>
    <row r="3632" spans="1:10" x14ac:dyDescent="0.25">
      <c r="A3632" s="106"/>
      <c r="B3632" s="107"/>
      <c r="D3632" s="151"/>
      <c r="E3632" s="142"/>
      <c r="F3632" s="176"/>
      <c r="G3632" s="176"/>
      <c r="H3632" s="176"/>
      <c r="I3632" s="172"/>
      <c r="J3632" s="173"/>
    </row>
    <row r="3633" spans="1:10" x14ac:dyDescent="0.25">
      <c r="A3633" s="106"/>
      <c r="B3633" s="107"/>
      <c r="D3633" s="151"/>
      <c r="E3633" s="142"/>
      <c r="F3633" s="176"/>
      <c r="G3633" s="176"/>
      <c r="H3633" s="176"/>
      <c r="I3633" s="172"/>
      <c r="J3633" s="173"/>
    </row>
    <row r="3634" spans="1:10" x14ac:dyDescent="0.25">
      <c r="A3634" s="106"/>
      <c r="B3634" s="107"/>
      <c r="D3634" s="151"/>
      <c r="E3634" s="142"/>
      <c r="F3634" s="176"/>
      <c r="G3634" s="176"/>
      <c r="H3634" s="176"/>
      <c r="I3634" s="172"/>
      <c r="J3634" s="173"/>
    </row>
    <row r="3635" spans="1:10" x14ac:dyDescent="0.25">
      <c r="A3635" s="106"/>
      <c r="B3635" s="107"/>
      <c r="D3635" s="151"/>
      <c r="E3635" s="142"/>
      <c r="F3635" s="176"/>
      <c r="G3635" s="176"/>
      <c r="H3635" s="176"/>
      <c r="I3635" s="172"/>
      <c r="J3635" s="173"/>
    </row>
    <row r="3636" spans="1:10" x14ac:dyDescent="0.25">
      <c r="A3636" s="106"/>
      <c r="B3636" s="107"/>
      <c r="D3636" s="151"/>
      <c r="E3636" s="142"/>
      <c r="F3636" s="176"/>
      <c r="G3636" s="176"/>
      <c r="H3636" s="176"/>
      <c r="I3636" s="172"/>
      <c r="J3636" s="173"/>
    </row>
    <row r="3637" spans="1:10" x14ac:dyDescent="0.25">
      <c r="A3637" s="106"/>
      <c r="B3637" s="107"/>
      <c r="D3637" s="151"/>
      <c r="E3637" s="142"/>
      <c r="F3637" s="176"/>
      <c r="G3637" s="176"/>
      <c r="H3637" s="176"/>
      <c r="I3637" s="172"/>
      <c r="J3637" s="173"/>
    </row>
    <row r="3638" spans="1:10" x14ac:dyDescent="0.25">
      <c r="A3638" s="106"/>
      <c r="B3638" s="107"/>
      <c r="D3638" s="151"/>
      <c r="E3638" s="142"/>
      <c r="F3638" s="176"/>
      <c r="G3638" s="176"/>
      <c r="H3638" s="176"/>
      <c r="I3638" s="172"/>
      <c r="J3638" s="173"/>
    </row>
    <row r="3639" spans="1:10" x14ac:dyDescent="0.25">
      <c r="A3639" s="106"/>
      <c r="B3639" s="107"/>
      <c r="D3639" s="151"/>
      <c r="E3639" s="142"/>
      <c r="F3639" s="176"/>
      <c r="G3639" s="176"/>
      <c r="H3639" s="176"/>
      <c r="I3639" s="172"/>
      <c r="J3639" s="173"/>
    </row>
    <row r="3640" spans="1:10" x14ac:dyDescent="0.25">
      <c r="A3640" s="106"/>
      <c r="B3640" s="107"/>
      <c r="D3640" s="151"/>
      <c r="E3640" s="142"/>
      <c r="F3640" s="176"/>
      <c r="G3640" s="176"/>
      <c r="H3640" s="176"/>
      <c r="I3640" s="172"/>
      <c r="J3640" s="173"/>
    </row>
    <row r="3641" spans="1:10" x14ac:dyDescent="0.25">
      <c r="A3641" s="106"/>
      <c r="B3641" s="107"/>
      <c r="D3641" s="151"/>
      <c r="E3641" s="142"/>
      <c r="F3641" s="176"/>
      <c r="G3641" s="176"/>
      <c r="H3641" s="176"/>
      <c r="I3641" s="172"/>
      <c r="J3641" s="173"/>
    </row>
    <row r="3642" spans="1:10" x14ac:dyDescent="0.25">
      <c r="A3642" s="106"/>
      <c r="B3642" s="107"/>
      <c r="D3642" s="151"/>
      <c r="E3642" s="142"/>
      <c r="F3642" s="176"/>
      <c r="G3642" s="176"/>
      <c r="H3642" s="176"/>
      <c r="I3642" s="172"/>
      <c r="J3642" s="173"/>
    </row>
    <row r="3643" spans="1:10" x14ac:dyDescent="0.25">
      <c r="A3643" s="106"/>
      <c r="B3643" s="107"/>
      <c r="D3643" s="151"/>
      <c r="E3643" s="142"/>
      <c r="F3643" s="176"/>
      <c r="G3643" s="176"/>
      <c r="H3643" s="176"/>
      <c r="I3643" s="172"/>
      <c r="J3643" s="173"/>
    </row>
    <row r="3644" spans="1:10" x14ac:dyDescent="0.25">
      <c r="A3644" s="106"/>
      <c r="B3644" s="107"/>
      <c r="D3644" s="151"/>
      <c r="E3644" s="142"/>
      <c r="F3644" s="176"/>
      <c r="G3644" s="176"/>
      <c r="H3644" s="176"/>
      <c r="I3644" s="172"/>
      <c r="J3644" s="173"/>
    </row>
    <row r="3645" spans="1:10" x14ac:dyDescent="0.25">
      <c r="A3645" s="106"/>
      <c r="B3645" s="107"/>
      <c r="D3645" s="151"/>
      <c r="E3645" s="142"/>
      <c r="F3645" s="176"/>
      <c r="G3645" s="176"/>
      <c r="H3645" s="176"/>
      <c r="I3645" s="172"/>
      <c r="J3645" s="173"/>
    </row>
    <row r="3646" spans="1:10" x14ac:dyDescent="0.25">
      <c r="A3646" s="106"/>
      <c r="B3646" s="107"/>
      <c r="D3646" s="151"/>
      <c r="E3646" s="142"/>
      <c r="F3646" s="176"/>
      <c r="G3646" s="176"/>
      <c r="H3646" s="176"/>
      <c r="I3646" s="172"/>
      <c r="J3646" s="173"/>
    </row>
    <row r="3647" spans="1:10" x14ac:dyDescent="0.25">
      <c r="A3647" s="106"/>
      <c r="B3647" s="107"/>
      <c r="D3647" s="151"/>
      <c r="E3647" s="142"/>
      <c r="F3647" s="176"/>
      <c r="G3647" s="176"/>
      <c r="H3647" s="176"/>
      <c r="I3647" s="172"/>
      <c r="J3647" s="173"/>
    </row>
    <row r="3648" spans="1:10" x14ac:dyDescent="0.25">
      <c r="A3648" s="106"/>
      <c r="B3648" s="107"/>
      <c r="D3648" s="151"/>
      <c r="E3648" s="142"/>
      <c r="F3648" s="176"/>
      <c r="G3648" s="176"/>
      <c r="H3648" s="176"/>
      <c r="I3648" s="172"/>
      <c r="J3648" s="173"/>
    </row>
    <row r="3649" spans="1:10" x14ac:dyDescent="0.25">
      <c r="A3649" s="106"/>
      <c r="B3649" s="107"/>
      <c r="D3649" s="151"/>
      <c r="E3649" s="142"/>
      <c r="F3649" s="176"/>
      <c r="G3649" s="176"/>
      <c r="H3649" s="176"/>
      <c r="I3649" s="172"/>
      <c r="J3649" s="173"/>
    </row>
    <row r="3650" spans="1:10" x14ac:dyDescent="0.25">
      <c r="A3650" s="106"/>
      <c r="B3650" s="107"/>
      <c r="D3650" s="151"/>
      <c r="E3650" s="142"/>
      <c r="F3650" s="176"/>
      <c r="G3650" s="176"/>
      <c r="H3650" s="176"/>
      <c r="I3650" s="172"/>
      <c r="J3650" s="173"/>
    </row>
    <row r="3651" spans="1:10" x14ac:dyDescent="0.25">
      <c r="A3651" s="106"/>
      <c r="B3651" s="107"/>
      <c r="D3651" s="151"/>
      <c r="E3651" s="142"/>
      <c r="F3651" s="176"/>
      <c r="G3651" s="176"/>
      <c r="H3651" s="176"/>
      <c r="I3651" s="172"/>
      <c r="J3651" s="173"/>
    </row>
    <row r="3652" spans="1:10" x14ac:dyDescent="0.25">
      <c r="A3652" s="106"/>
      <c r="B3652" s="107"/>
      <c r="D3652" s="151"/>
      <c r="E3652" s="142"/>
      <c r="F3652" s="176"/>
      <c r="G3652" s="176"/>
      <c r="H3652" s="176"/>
      <c r="I3652" s="172"/>
      <c r="J3652" s="173"/>
    </row>
    <row r="3653" spans="1:10" x14ac:dyDescent="0.25">
      <c r="A3653" s="106"/>
      <c r="B3653" s="107"/>
      <c r="D3653" s="151"/>
      <c r="E3653" s="142"/>
      <c r="F3653" s="176"/>
      <c r="G3653" s="176"/>
      <c r="H3653" s="176"/>
      <c r="I3653" s="172"/>
      <c r="J3653" s="173"/>
    </row>
    <row r="3654" spans="1:10" x14ac:dyDescent="0.25">
      <c r="A3654" s="106"/>
      <c r="B3654" s="107"/>
      <c r="D3654" s="151"/>
      <c r="E3654" s="142"/>
      <c r="F3654" s="176"/>
      <c r="G3654" s="176"/>
      <c r="H3654" s="176"/>
      <c r="I3654" s="172"/>
      <c r="J3654" s="173"/>
    </row>
    <row r="3655" spans="1:10" x14ac:dyDescent="0.25">
      <c r="A3655" s="106"/>
      <c r="B3655" s="107"/>
      <c r="D3655" s="151"/>
      <c r="E3655" s="142"/>
      <c r="F3655" s="176"/>
      <c r="G3655" s="176"/>
      <c r="H3655" s="176"/>
      <c r="I3655" s="172"/>
      <c r="J3655" s="173"/>
    </row>
    <row r="3656" spans="1:10" x14ac:dyDescent="0.25">
      <c r="A3656" s="106"/>
      <c r="B3656" s="107"/>
      <c r="D3656" s="151"/>
      <c r="E3656" s="142"/>
      <c r="F3656" s="176"/>
      <c r="G3656" s="176"/>
      <c r="H3656" s="176"/>
      <c r="I3656" s="172"/>
      <c r="J3656" s="173"/>
    </row>
    <row r="3657" spans="1:10" x14ac:dyDescent="0.25">
      <c r="A3657" s="106"/>
      <c r="B3657" s="107"/>
      <c r="D3657" s="151"/>
      <c r="E3657" s="142"/>
      <c r="F3657" s="176"/>
      <c r="G3657" s="176"/>
      <c r="H3657" s="176"/>
      <c r="I3657" s="172"/>
      <c r="J3657" s="173"/>
    </row>
    <row r="3658" spans="1:10" x14ac:dyDescent="0.25">
      <c r="A3658" s="106"/>
      <c r="B3658" s="107"/>
      <c r="D3658" s="151"/>
      <c r="E3658" s="142"/>
      <c r="F3658" s="176"/>
      <c r="G3658" s="176"/>
      <c r="H3658" s="176"/>
      <c r="I3658" s="172"/>
      <c r="J3658" s="173"/>
    </row>
    <row r="3659" spans="1:10" x14ac:dyDescent="0.25">
      <c r="A3659" s="106"/>
      <c r="B3659" s="107"/>
      <c r="D3659" s="151"/>
      <c r="E3659" s="142"/>
      <c r="F3659" s="176"/>
      <c r="G3659" s="176"/>
      <c r="H3659" s="176"/>
      <c r="I3659" s="172"/>
      <c r="J3659" s="173"/>
    </row>
    <row r="3660" spans="1:10" x14ac:dyDescent="0.25">
      <c r="A3660" s="106"/>
      <c r="B3660" s="107"/>
      <c r="D3660" s="151"/>
      <c r="E3660" s="142"/>
      <c r="F3660" s="176"/>
      <c r="G3660" s="176"/>
      <c r="H3660" s="176"/>
      <c r="I3660" s="172"/>
      <c r="J3660" s="173"/>
    </row>
    <row r="3661" spans="1:10" x14ac:dyDescent="0.25">
      <c r="A3661" s="106"/>
      <c r="B3661" s="107"/>
      <c r="D3661" s="151"/>
      <c r="E3661" s="142"/>
      <c r="F3661" s="176"/>
      <c r="G3661" s="176"/>
      <c r="H3661" s="176"/>
      <c r="I3661" s="172"/>
      <c r="J3661" s="173"/>
    </row>
    <row r="3662" spans="1:10" x14ac:dyDescent="0.25">
      <c r="A3662" s="106"/>
      <c r="B3662" s="107"/>
      <c r="D3662" s="151"/>
      <c r="E3662" s="142"/>
      <c r="F3662" s="176"/>
      <c r="G3662" s="176"/>
      <c r="H3662" s="176"/>
      <c r="I3662" s="172"/>
      <c r="J3662" s="173"/>
    </row>
    <row r="3663" spans="1:10" x14ac:dyDescent="0.25">
      <c r="A3663" s="106"/>
      <c r="B3663" s="107"/>
      <c r="D3663" s="151"/>
      <c r="E3663" s="142"/>
      <c r="F3663" s="176"/>
      <c r="G3663" s="176"/>
      <c r="H3663" s="176"/>
      <c r="I3663" s="172"/>
      <c r="J3663" s="173"/>
    </row>
    <row r="3664" spans="1:10" x14ac:dyDescent="0.25">
      <c r="A3664" s="106"/>
      <c r="B3664" s="107"/>
      <c r="D3664" s="151"/>
      <c r="E3664" s="142"/>
      <c r="F3664" s="176"/>
      <c r="G3664" s="176"/>
      <c r="H3664" s="176"/>
      <c r="I3664" s="172"/>
      <c r="J3664" s="173"/>
    </row>
    <row r="3665" spans="1:10" x14ac:dyDescent="0.25">
      <c r="A3665" s="106"/>
      <c r="B3665" s="107"/>
      <c r="D3665" s="151"/>
      <c r="E3665" s="142"/>
      <c r="F3665" s="176"/>
      <c r="G3665" s="176"/>
      <c r="H3665" s="176"/>
      <c r="I3665" s="172"/>
      <c r="J3665" s="173"/>
    </row>
    <row r="3666" spans="1:10" x14ac:dyDescent="0.25">
      <c r="A3666" s="106"/>
      <c r="B3666" s="107"/>
      <c r="D3666" s="151"/>
      <c r="E3666" s="142"/>
      <c r="F3666" s="176"/>
      <c r="G3666" s="176"/>
      <c r="H3666" s="176"/>
      <c r="I3666" s="172"/>
      <c r="J3666" s="173"/>
    </row>
    <row r="3667" spans="1:10" x14ac:dyDescent="0.25">
      <c r="A3667" s="106"/>
      <c r="B3667" s="107"/>
      <c r="D3667" s="151"/>
      <c r="E3667" s="142"/>
      <c r="F3667" s="176"/>
      <c r="G3667" s="176"/>
      <c r="H3667" s="176"/>
      <c r="I3667" s="172"/>
      <c r="J3667" s="173"/>
    </row>
    <row r="3668" spans="1:10" x14ac:dyDescent="0.25">
      <c r="A3668" s="106"/>
      <c r="B3668" s="107"/>
      <c r="D3668" s="151"/>
      <c r="E3668" s="142"/>
      <c r="F3668" s="176"/>
      <c r="G3668" s="176"/>
      <c r="H3668" s="176"/>
      <c r="I3668" s="172"/>
      <c r="J3668" s="173"/>
    </row>
    <row r="3669" spans="1:10" x14ac:dyDescent="0.25">
      <c r="A3669" s="106"/>
      <c r="B3669" s="107"/>
      <c r="D3669" s="151"/>
      <c r="E3669" s="142"/>
      <c r="F3669" s="176"/>
      <c r="G3669" s="176"/>
      <c r="H3669" s="176"/>
      <c r="I3669" s="172"/>
      <c r="J3669" s="173"/>
    </row>
    <row r="3670" spans="1:10" x14ac:dyDescent="0.25">
      <c r="A3670" s="106"/>
      <c r="B3670" s="107"/>
      <c r="D3670" s="151"/>
      <c r="E3670" s="142"/>
      <c r="F3670" s="176"/>
      <c r="G3670" s="176"/>
      <c r="H3670" s="176"/>
      <c r="I3670" s="172"/>
      <c r="J3670" s="173"/>
    </row>
    <row r="3671" spans="1:10" x14ac:dyDescent="0.25">
      <c r="A3671" s="106"/>
      <c r="B3671" s="107"/>
      <c r="D3671" s="151"/>
      <c r="E3671" s="142"/>
      <c r="F3671" s="176"/>
      <c r="G3671" s="176"/>
      <c r="H3671" s="176"/>
      <c r="I3671" s="172"/>
      <c r="J3671" s="173"/>
    </row>
    <row r="3672" spans="1:10" x14ac:dyDescent="0.25">
      <c r="A3672" s="106"/>
      <c r="B3672" s="107"/>
      <c r="D3672" s="151"/>
      <c r="E3672" s="142"/>
      <c r="F3672" s="176"/>
      <c r="G3672" s="176"/>
      <c r="H3672" s="176"/>
      <c r="I3672" s="172"/>
      <c r="J3672" s="173"/>
    </row>
    <row r="3673" spans="1:10" x14ac:dyDescent="0.25">
      <c r="A3673" s="106"/>
      <c r="B3673" s="107"/>
      <c r="D3673" s="151"/>
      <c r="E3673" s="142"/>
      <c r="F3673" s="176"/>
      <c r="G3673" s="176"/>
      <c r="H3673" s="176"/>
      <c r="I3673" s="172"/>
      <c r="J3673" s="173"/>
    </row>
    <row r="3674" spans="1:10" x14ac:dyDescent="0.25">
      <c r="A3674" s="106"/>
      <c r="B3674" s="107"/>
      <c r="D3674" s="151"/>
      <c r="E3674" s="142"/>
      <c r="F3674" s="176"/>
      <c r="G3674" s="176"/>
      <c r="H3674" s="176"/>
      <c r="I3674" s="172"/>
      <c r="J3674" s="173"/>
    </row>
    <row r="3675" spans="1:10" x14ac:dyDescent="0.25">
      <c r="A3675" s="106"/>
      <c r="B3675" s="107"/>
      <c r="D3675" s="151"/>
      <c r="E3675" s="142"/>
      <c r="F3675" s="176"/>
      <c r="G3675" s="176"/>
      <c r="H3675" s="176"/>
      <c r="I3675" s="172"/>
      <c r="J3675" s="173"/>
    </row>
    <row r="3676" spans="1:10" x14ac:dyDescent="0.25">
      <c r="A3676" s="106"/>
      <c r="B3676" s="107"/>
      <c r="D3676" s="151"/>
      <c r="E3676" s="142"/>
      <c r="F3676" s="176"/>
      <c r="G3676" s="176"/>
      <c r="H3676" s="176"/>
      <c r="I3676" s="172"/>
      <c r="J3676" s="173"/>
    </row>
    <row r="3677" spans="1:10" x14ac:dyDescent="0.25">
      <c r="A3677" s="106"/>
      <c r="B3677" s="107"/>
      <c r="D3677" s="151"/>
      <c r="E3677" s="142"/>
      <c r="F3677" s="176"/>
      <c r="G3677" s="176"/>
      <c r="H3677" s="176"/>
      <c r="I3677" s="172"/>
      <c r="J3677" s="173"/>
    </row>
    <row r="3678" spans="1:10" x14ac:dyDescent="0.25">
      <c r="A3678" s="106"/>
      <c r="B3678" s="107"/>
      <c r="D3678" s="151"/>
      <c r="E3678" s="142"/>
      <c r="F3678" s="176"/>
      <c r="G3678" s="176"/>
      <c r="H3678" s="176"/>
      <c r="I3678" s="172"/>
      <c r="J3678" s="173"/>
    </row>
    <row r="3679" spans="1:10" x14ac:dyDescent="0.25">
      <c r="A3679" s="106"/>
      <c r="B3679" s="107"/>
      <c r="D3679" s="151"/>
      <c r="E3679" s="142"/>
      <c r="F3679" s="176"/>
      <c r="G3679" s="176"/>
      <c r="H3679" s="176"/>
      <c r="I3679" s="172"/>
      <c r="J3679" s="173"/>
    </row>
    <row r="3680" spans="1:10" x14ac:dyDescent="0.25">
      <c r="A3680" s="106"/>
      <c r="B3680" s="107"/>
      <c r="D3680" s="151"/>
      <c r="E3680" s="142"/>
      <c r="F3680" s="176"/>
      <c r="G3680" s="176"/>
      <c r="H3680" s="176"/>
      <c r="I3680" s="172"/>
      <c r="J3680" s="173"/>
    </row>
    <row r="3681" spans="1:10" x14ac:dyDescent="0.25">
      <c r="A3681" s="106"/>
      <c r="B3681" s="107"/>
      <c r="D3681" s="151"/>
      <c r="E3681" s="142"/>
      <c r="F3681" s="176"/>
      <c r="G3681" s="176"/>
      <c r="H3681" s="176"/>
      <c r="I3681" s="172"/>
      <c r="J3681" s="173"/>
    </row>
    <row r="3682" spans="1:10" x14ac:dyDescent="0.25">
      <c r="A3682" s="106"/>
      <c r="B3682" s="107"/>
      <c r="D3682" s="151"/>
      <c r="E3682" s="142"/>
      <c r="F3682" s="176"/>
      <c r="G3682" s="176"/>
      <c r="H3682" s="176"/>
      <c r="I3682" s="172"/>
      <c r="J3682" s="173"/>
    </row>
    <row r="3683" spans="1:10" x14ac:dyDescent="0.25">
      <c r="A3683" s="106"/>
      <c r="B3683" s="107"/>
      <c r="D3683" s="151"/>
      <c r="E3683" s="142"/>
      <c r="F3683" s="176"/>
      <c r="G3683" s="176"/>
      <c r="H3683" s="176"/>
      <c r="I3683" s="172"/>
      <c r="J3683" s="173"/>
    </row>
    <row r="3684" spans="1:10" x14ac:dyDescent="0.25">
      <c r="A3684" s="106"/>
      <c r="B3684" s="107"/>
      <c r="D3684" s="151"/>
      <c r="E3684" s="142"/>
      <c r="F3684" s="176"/>
      <c r="G3684" s="176"/>
      <c r="H3684" s="176"/>
      <c r="I3684" s="172"/>
      <c r="J3684" s="173"/>
    </row>
    <row r="3685" spans="1:10" x14ac:dyDescent="0.25">
      <c r="A3685" s="106"/>
      <c r="B3685" s="107"/>
      <c r="D3685" s="151"/>
      <c r="E3685" s="142"/>
      <c r="F3685" s="176"/>
      <c r="G3685" s="176"/>
      <c r="H3685" s="176"/>
      <c r="I3685" s="172"/>
      <c r="J3685" s="173"/>
    </row>
    <row r="3686" spans="1:10" x14ac:dyDescent="0.25">
      <c r="A3686" s="106"/>
      <c r="B3686" s="107"/>
      <c r="D3686" s="151"/>
      <c r="E3686" s="142"/>
      <c r="F3686" s="176"/>
      <c r="G3686" s="176"/>
      <c r="H3686" s="176"/>
      <c r="I3686" s="172"/>
      <c r="J3686" s="173"/>
    </row>
    <row r="3687" spans="1:10" x14ac:dyDescent="0.25">
      <c r="A3687" s="106"/>
      <c r="B3687" s="107"/>
      <c r="D3687" s="151"/>
      <c r="E3687" s="142"/>
      <c r="F3687" s="176"/>
      <c r="G3687" s="176"/>
      <c r="H3687" s="176"/>
      <c r="I3687" s="172"/>
      <c r="J3687" s="173"/>
    </row>
    <row r="3688" spans="1:10" x14ac:dyDescent="0.25">
      <c r="A3688" s="106"/>
      <c r="B3688" s="107"/>
      <c r="D3688" s="151"/>
      <c r="E3688" s="142"/>
      <c r="F3688" s="176"/>
      <c r="G3688" s="176"/>
      <c r="H3688" s="176"/>
      <c r="I3688" s="172"/>
      <c r="J3688" s="173"/>
    </row>
    <row r="3689" spans="1:10" x14ac:dyDescent="0.25">
      <c r="A3689" s="106"/>
      <c r="B3689" s="107"/>
      <c r="D3689" s="151"/>
      <c r="E3689" s="142"/>
      <c r="F3689" s="176"/>
      <c r="G3689" s="176"/>
      <c r="H3689" s="176"/>
      <c r="I3689" s="172"/>
      <c r="J3689" s="173"/>
    </row>
    <row r="3690" spans="1:10" x14ac:dyDescent="0.25">
      <c r="A3690" s="106"/>
      <c r="B3690" s="107"/>
      <c r="D3690" s="151"/>
      <c r="E3690" s="142"/>
      <c r="F3690" s="176"/>
      <c r="G3690" s="176"/>
      <c r="H3690" s="176"/>
      <c r="I3690" s="172"/>
      <c r="J3690" s="173"/>
    </row>
    <row r="3691" spans="1:10" x14ac:dyDescent="0.25">
      <c r="A3691" s="106"/>
      <c r="B3691" s="107"/>
      <c r="D3691" s="151"/>
      <c r="E3691" s="142"/>
      <c r="F3691" s="176"/>
      <c r="G3691" s="176"/>
      <c r="H3691" s="176"/>
      <c r="I3691" s="172"/>
      <c r="J3691" s="173"/>
    </row>
    <row r="3692" spans="1:10" x14ac:dyDescent="0.25">
      <c r="A3692" s="106"/>
      <c r="B3692" s="107"/>
      <c r="D3692" s="151"/>
      <c r="E3692" s="142"/>
      <c r="F3692" s="176"/>
      <c r="G3692" s="176"/>
      <c r="H3692" s="176"/>
      <c r="I3692" s="172"/>
      <c r="J3692" s="173"/>
    </row>
    <row r="3693" spans="1:10" x14ac:dyDescent="0.25">
      <c r="A3693" s="106"/>
      <c r="B3693" s="107"/>
      <c r="D3693" s="151"/>
      <c r="E3693" s="142"/>
      <c r="F3693" s="176"/>
      <c r="G3693" s="176"/>
      <c r="H3693" s="176"/>
      <c r="I3693" s="172"/>
      <c r="J3693" s="173"/>
    </row>
    <row r="3694" spans="1:10" x14ac:dyDescent="0.25">
      <c r="A3694" s="106"/>
      <c r="B3694" s="107"/>
      <c r="D3694" s="151"/>
      <c r="E3694" s="142"/>
      <c r="F3694" s="176"/>
      <c r="G3694" s="176"/>
      <c r="H3694" s="176"/>
      <c r="I3694" s="172"/>
      <c r="J3694" s="173"/>
    </row>
    <row r="3695" spans="1:10" x14ac:dyDescent="0.25">
      <c r="A3695" s="106"/>
      <c r="B3695" s="107"/>
      <c r="D3695" s="151"/>
      <c r="E3695" s="142"/>
      <c r="F3695" s="176"/>
      <c r="G3695" s="176"/>
      <c r="H3695" s="176"/>
      <c r="I3695" s="172"/>
      <c r="J3695" s="173"/>
    </row>
    <row r="3696" spans="1:10" x14ac:dyDescent="0.25">
      <c r="A3696" s="106"/>
      <c r="B3696" s="107"/>
      <c r="D3696" s="151"/>
      <c r="E3696" s="142"/>
      <c r="F3696" s="176"/>
      <c r="G3696" s="176"/>
      <c r="H3696" s="176"/>
      <c r="I3696" s="172"/>
      <c r="J3696" s="173"/>
    </row>
    <row r="3697" spans="1:10" x14ac:dyDescent="0.25">
      <c r="A3697" s="106"/>
      <c r="B3697" s="107"/>
      <c r="D3697" s="151"/>
      <c r="E3697" s="142"/>
      <c r="F3697" s="176"/>
      <c r="G3697" s="176"/>
      <c r="H3697" s="176"/>
      <c r="I3697" s="172"/>
      <c r="J3697" s="173"/>
    </row>
    <row r="3698" spans="1:10" x14ac:dyDescent="0.25">
      <c r="A3698" s="106"/>
      <c r="B3698" s="107"/>
      <c r="D3698" s="151"/>
      <c r="E3698" s="142"/>
      <c r="F3698" s="176"/>
      <c r="G3698" s="176"/>
      <c r="H3698" s="176"/>
      <c r="I3698" s="172"/>
      <c r="J3698" s="173"/>
    </row>
    <row r="3699" spans="1:10" x14ac:dyDescent="0.25">
      <c r="A3699" s="106"/>
      <c r="B3699" s="107"/>
      <c r="D3699" s="151"/>
      <c r="E3699" s="142"/>
      <c r="F3699" s="176"/>
      <c r="G3699" s="176"/>
      <c r="H3699" s="176"/>
      <c r="I3699" s="172"/>
      <c r="J3699" s="173"/>
    </row>
    <row r="3700" spans="1:10" x14ac:dyDescent="0.25">
      <c r="A3700" s="106"/>
      <c r="B3700" s="107"/>
      <c r="D3700" s="151"/>
      <c r="E3700" s="142"/>
      <c r="F3700" s="176"/>
      <c r="G3700" s="176"/>
      <c r="H3700" s="176"/>
      <c r="I3700" s="172"/>
      <c r="J3700" s="173"/>
    </row>
    <row r="3701" spans="1:10" x14ac:dyDescent="0.25">
      <c r="A3701" s="106"/>
      <c r="B3701" s="107"/>
      <c r="D3701" s="151"/>
      <c r="E3701" s="142"/>
      <c r="F3701" s="176"/>
      <c r="G3701" s="176"/>
      <c r="H3701" s="176"/>
      <c r="I3701" s="172"/>
      <c r="J3701" s="173"/>
    </row>
    <row r="3702" spans="1:10" x14ac:dyDescent="0.25">
      <c r="A3702" s="106"/>
      <c r="B3702" s="107"/>
      <c r="D3702" s="151"/>
      <c r="E3702" s="142"/>
      <c r="F3702" s="176"/>
      <c r="G3702" s="176"/>
      <c r="H3702" s="176"/>
      <c r="I3702" s="172"/>
      <c r="J3702" s="173"/>
    </row>
    <row r="3703" spans="1:10" x14ac:dyDescent="0.25">
      <c r="A3703" s="106"/>
      <c r="B3703" s="107"/>
      <c r="D3703" s="151"/>
      <c r="E3703" s="142"/>
      <c r="F3703" s="176"/>
      <c r="G3703" s="176"/>
      <c r="H3703" s="176"/>
      <c r="I3703" s="172"/>
      <c r="J3703" s="173"/>
    </row>
    <row r="3704" spans="1:10" x14ac:dyDescent="0.25">
      <c r="A3704" s="106"/>
      <c r="B3704" s="107"/>
      <c r="D3704" s="151"/>
      <c r="E3704" s="142"/>
      <c r="F3704" s="176"/>
      <c r="G3704" s="176"/>
      <c r="H3704" s="176"/>
      <c r="I3704" s="172"/>
      <c r="J3704" s="173"/>
    </row>
    <row r="3705" spans="1:10" x14ac:dyDescent="0.25">
      <c r="A3705" s="106"/>
      <c r="B3705" s="107"/>
      <c r="D3705" s="151"/>
      <c r="E3705" s="142"/>
      <c r="F3705" s="176"/>
      <c r="G3705" s="176"/>
      <c r="H3705" s="176"/>
      <c r="I3705" s="172"/>
      <c r="J3705" s="173"/>
    </row>
    <row r="3706" spans="1:10" x14ac:dyDescent="0.25">
      <c r="A3706" s="106"/>
      <c r="B3706" s="107"/>
      <c r="D3706" s="151"/>
      <c r="E3706" s="142"/>
      <c r="F3706" s="176"/>
      <c r="G3706" s="176"/>
      <c r="H3706" s="176"/>
      <c r="I3706" s="172"/>
      <c r="J3706" s="173"/>
    </row>
    <row r="3707" spans="1:10" x14ac:dyDescent="0.25">
      <c r="A3707" s="106"/>
      <c r="B3707" s="107"/>
      <c r="D3707" s="151"/>
      <c r="E3707" s="142"/>
      <c r="F3707" s="176"/>
      <c r="G3707" s="176"/>
      <c r="H3707" s="176"/>
      <c r="I3707" s="172"/>
      <c r="J3707" s="173"/>
    </row>
    <row r="3708" spans="1:10" x14ac:dyDescent="0.25">
      <c r="A3708" s="106"/>
      <c r="B3708" s="107"/>
      <c r="D3708" s="151"/>
      <c r="E3708" s="142"/>
      <c r="F3708" s="176"/>
      <c r="G3708" s="176"/>
      <c r="H3708" s="176"/>
      <c r="I3708" s="172"/>
      <c r="J3708" s="173"/>
    </row>
    <row r="3709" spans="1:10" x14ac:dyDescent="0.25">
      <c r="A3709" s="106"/>
      <c r="B3709" s="107"/>
      <c r="D3709" s="151"/>
      <c r="E3709" s="142"/>
      <c r="F3709" s="176"/>
      <c r="G3709" s="176"/>
      <c r="H3709" s="176"/>
      <c r="I3709" s="172"/>
      <c r="J3709" s="173"/>
    </row>
    <row r="3710" spans="1:10" x14ac:dyDescent="0.25">
      <c r="A3710" s="106"/>
      <c r="B3710" s="107"/>
      <c r="D3710" s="151"/>
      <c r="E3710" s="142"/>
      <c r="F3710" s="176"/>
      <c r="G3710" s="176"/>
      <c r="H3710" s="176"/>
      <c r="I3710" s="172"/>
      <c r="J3710" s="173"/>
    </row>
    <row r="3711" spans="1:10" x14ac:dyDescent="0.25">
      <c r="A3711" s="106"/>
      <c r="B3711" s="107"/>
      <c r="D3711" s="151"/>
      <c r="E3711" s="142"/>
      <c r="F3711" s="176"/>
      <c r="G3711" s="176"/>
      <c r="H3711" s="176"/>
      <c r="I3711" s="172"/>
      <c r="J3711" s="173"/>
    </row>
    <row r="3712" spans="1:10" x14ac:dyDescent="0.25">
      <c r="A3712" s="106"/>
      <c r="B3712" s="107"/>
      <c r="D3712" s="151"/>
      <c r="E3712" s="142"/>
      <c r="F3712" s="176"/>
      <c r="G3712" s="176"/>
      <c r="H3712" s="176"/>
      <c r="I3712" s="172"/>
      <c r="J3712" s="173"/>
    </row>
    <row r="3713" spans="1:10" x14ac:dyDescent="0.25">
      <c r="A3713" s="106"/>
      <c r="B3713" s="107"/>
      <c r="D3713" s="151"/>
      <c r="E3713" s="142"/>
      <c r="F3713" s="176"/>
      <c r="G3713" s="176"/>
      <c r="H3713" s="176"/>
      <c r="I3713" s="172"/>
      <c r="J3713" s="173"/>
    </row>
    <row r="3714" spans="1:10" x14ac:dyDescent="0.25">
      <c r="A3714" s="106"/>
      <c r="B3714" s="107"/>
      <c r="D3714" s="151"/>
      <c r="E3714" s="142"/>
      <c r="F3714" s="176"/>
      <c r="G3714" s="176"/>
      <c r="H3714" s="176"/>
      <c r="I3714" s="172"/>
      <c r="J3714" s="173"/>
    </row>
    <row r="3715" spans="1:10" x14ac:dyDescent="0.25">
      <c r="A3715" s="106"/>
      <c r="B3715" s="107"/>
      <c r="D3715" s="151"/>
      <c r="E3715" s="142"/>
      <c r="F3715" s="176"/>
      <c r="G3715" s="176"/>
      <c r="H3715" s="176"/>
      <c r="I3715" s="172"/>
      <c r="J3715" s="173"/>
    </row>
    <row r="3716" spans="1:10" x14ac:dyDescent="0.25">
      <c r="A3716" s="106"/>
      <c r="B3716" s="107"/>
      <c r="D3716" s="151"/>
      <c r="E3716" s="142"/>
      <c r="F3716" s="176"/>
      <c r="G3716" s="176"/>
      <c r="H3716" s="176"/>
      <c r="I3716" s="172"/>
      <c r="J3716" s="173"/>
    </row>
    <row r="3717" spans="1:10" x14ac:dyDescent="0.25">
      <c r="A3717" s="106"/>
      <c r="B3717" s="107"/>
      <c r="D3717" s="151"/>
      <c r="E3717" s="142"/>
      <c r="F3717" s="176"/>
      <c r="G3717" s="176"/>
      <c r="H3717" s="176"/>
      <c r="I3717" s="172"/>
      <c r="J3717" s="173"/>
    </row>
    <row r="3718" spans="1:10" x14ac:dyDescent="0.25">
      <c r="A3718" s="106"/>
      <c r="B3718" s="107"/>
      <c r="D3718" s="151"/>
      <c r="E3718" s="142"/>
      <c r="F3718" s="176"/>
      <c r="G3718" s="176"/>
      <c r="H3718" s="176"/>
      <c r="I3718" s="172"/>
      <c r="J3718" s="173"/>
    </row>
    <row r="3719" spans="1:10" x14ac:dyDescent="0.25">
      <c r="A3719" s="106"/>
      <c r="B3719" s="107"/>
      <c r="D3719" s="151"/>
      <c r="E3719" s="142"/>
      <c r="F3719" s="176"/>
      <c r="G3719" s="176"/>
      <c r="H3719" s="176"/>
      <c r="I3719" s="172"/>
      <c r="J3719" s="173"/>
    </row>
    <row r="3720" spans="1:10" x14ac:dyDescent="0.25">
      <c r="A3720" s="106"/>
      <c r="B3720" s="107"/>
      <c r="D3720" s="151"/>
      <c r="E3720" s="142"/>
      <c r="F3720" s="176"/>
      <c r="G3720" s="176"/>
      <c r="H3720" s="176"/>
      <c r="I3720" s="172"/>
      <c r="J3720" s="173"/>
    </row>
    <row r="3721" spans="1:10" x14ac:dyDescent="0.25">
      <c r="A3721" s="106"/>
      <c r="B3721" s="107"/>
      <c r="D3721" s="151"/>
      <c r="E3721" s="142"/>
      <c r="F3721" s="176"/>
      <c r="G3721" s="176"/>
      <c r="H3721" s="176"/>
      <c r="I3721" s="172"/>
      <c r="J3721" s="173"/>
    </row>
    <row r="3722" spans="1:10" x14ac:dyDescent="0.25">
      <c r="A3722" s="106"/>
      <c r="B3722" s="107"/>
      <c r="D3722" s="151"/>
      <c r="E3722" s="142"/>
      <c r="F3722" s="176"/>
      <c r="G3722" s="176"/>
      <c r="H3722" s="176"/>
      <c r="I3722" s="172"/>
      <c r="J3722" s="173"/>
    </row>
    <row r="3723" spans="1:10" x14ac:dyDescent="0.25">
      <c r="A3723" s="106"/>
      <c r="B3723" s="107"/>
      <c r="D3723" s="151"/>
      <c r="E3723" s="142"/>
      <c r="F3723" s="176"/>
      <c r="G3723" s="176"/>
      <c r="H3723" s="176"/>
      <c r="I3723" s="172"/>
      <c r="J3723" s="173"/>
    </row>
    <row r="3724" spans="1:10" x14ac:dyDescent="0.25">
      <c r="A3724" s="106"/>
      <c r="B3724" s="107"/>
      <c r="D3724" s="151"/>
      <c r="E3724" s="142"/>
      <c r="F3724" s="176"/>
      <c r="G3724" s="176"/>
      <c r="H3724" s="176"/>
      <c r="I3724" s="172"/>
      <c r="J3724" s="173"/>
    </row>
    <row r="3725" spans="1:10" x14ac:dyDescent="0.25">
      <c r="A3725" s="106"/>
      <c r="B3725" s="107"/>
      <c r="D3725" s="151"/>
      <c r="E3725" s="142"/>
      <c r="F3725" s="176"/>
      <c r="G3725" s="176"/>
      <c r="H3725" s="176"/>
      <c r="I3725" s="172"/>
      <c r="J3725" s="173"/>
    </row>
    <row r="3726" spans="1:10" x14ac:dyDescent="0.25">
      <c r="A3726" s="106"/>
      <c r="B3726" s="107"/>
      <c r="D3726" s="151"/>
      <c r="E3726" s="142"/>
      <c r="F3726" s="176"/>
      <c r="G3726" s="176"/>
      <c r="H3726" s="176"/>
      <c r="I3726" s="172"/>
      <c r="J3726" s="173"/>
    </row>
    <row r="3727" spans="1:10" x14ac:dyDescent="0.25">
      <c r="A3727" s="106"/>
      <c r="B3727" s="107"/>
      <c r="D3727" s="151"/>
      <c r="E3727" s="142"/>
      <c r="F3727" s="176"/>
      <c r="G3727" s="176"/>
      <c r="H3727" s="176"/>
      <c r="I3727" s="172"/>
      <c r="J3727" s="173"/>
    </row>
    <row r="3728" spans="1:10" x14ac:dyDescent="0.25">
      <c r="A3728" s="106"/>
      <c r="B3728" s="107"/>
      <c r="D3728" s="151"/>
      <c r="E3728" s="142"/>
      <c r="F3728" s="176"/>
      <c r="G3728" s="176"/>
      <c r="H3728" s="176"/>
      <c r="I3728" s="172"/>
      <c r="J3728" s="173"/>
    </row>
    <row r="3729" spans="1:10" x14ac:dyDescent="0.25">
      <c r="A3729" s="106"/>
      <c r="B3729" s="107"/>
      <c r="D3729" s="151"/>
      <c r="E3729" s="142"/>
      <c r="F3729" s="176"/>
      <c r="G3729" s="176"/>
      <c r="H3729" s="176"/>
      <c r="I3729" s="172"/>
      <c r="J3729" s="173"/>
    </row>
    <row r="3730" spans="1:10" x14ac:dyDescent="0.25">
      <c r="A3730" s="106"/>
      <c r="B3730" s="107"/>
      <c r="D3730" s="151"/>
      <c r="E3730" s="142"/>
      <c r="F3730" s="176"/>
      <c r="G3730" s="176"/>
      <c r="H3730" s="176"/>
      <c r="I3730" s="172"/>
      <c r="J3730" s="173"/>
    </row>
    <row r="3731" spans="1:10" x14ac:dyDescent="0.25">
      <c r="A3731" s="106"/>
      <c r="B3731" s="107"/>
      <c r="D3731" s="151"/>
      <c r="E3731" s="142"/>
      <c r="F3731" s="176"/>
      <c r="G3731" s="176"/>
      <c r="H3731" s="176"/>
      <c r="I3731" s="172"/>
      <c r="J3731" s="173"/>
    </row>
    <row r="3732" spans="1:10" x14ac:dyDescent="0.25">
      <c r="A3732" s="106"/>
      <c r="B3732" s="107"/>
      <c r="D3732" s="151"/>
      <c r="E3732" s="142"/>
      <c r="F3732" s="176"/>
      <c r="G3732" s="176"/>
      <c r="H3732" s="176"/>
      <c r="I3732" s="172"/>
      <c r="J3732" s="173"/>
    </row>
    <row r="3733" spans="1:10" x14ac:dyDescent="0.25">
      <c r="A3733" s="106"/>
      <c r="B3733" s="107"/>
      <c r="D3733" s="151"/>
      <c r="E3733" s="142"/>
      <c r="F3733" s="176"/>
      <c r="G3733" s="176"/>
      <c r="H3733" s="176"/>
      <c r="I3733" s="172"/>
      <c r="J3733" s="173"/>
    </row>
    <row r="3734" spans="1:10" x14ac:dyDescent="0.25">
      <c r="A3734" s="106"/>
      <c r="B3734" s="107"/>
      <c r="D3734" s="151"/>
      <c r="E3734" s="142"/>
      <c r="F3734" s="176"/>
      <c r="G3734" s="176"/>
      <c r="H3734" s="176"/>
      <c r="I3734" s="172"/>
      <c r="J3734" s="173"/>
    </row>
    <row r="3735" spans="1:10" x14ac:dyDescent="0.25">
      <c r="A3735" s="106"/>
      <c r="B3735" s="107"/>
      <c r="D3735" s="151"/>
      <c r="E3735" s="142"/>
      <c r="F3735" s="176"/>
      <c r="G3735" s="176"/>
      <c r="H3735" s="176"/>
      <c r="I3735" s="172"/>
      <c r="J3735" s="173"/>
    </row>
    <row r="3736" spans="1:10" x14ac:dyDescent="0.25">
      <c r="A3736" s="106"/>
      <c r="B3736" s="107"/>
      <c r="D3736" s="151"/>
      <c r="E3736" s="142"/>
      <c r="F3736" s="176"/>
      <c r="G3736" s="176"/>
      <c r="H3736" s="176"/>
      <c r="I3736" s="172"/>
      <c r="J3736" s="173"/>
    </row>
    <row r="3737" spans="1:10" x14ac:dyDescent="0.25">
      <c r="A3737" s="106"/>
      <c r="B3737" s="107"/>
      <c r="D3737" s="151"/>
      <c r="E3737" s="142"/>
      <c r="F3737" s="176"/>
      <c r="G3737" s="176"/>
      <c r="H3737" s="176"/>
      <c r="I3737" s="172"/>
      <c r="J3737" s="173"/>
    </row>
    <row r="3738" spans="1:10" x14ac:dyDescent="0.25">
      <c r="A3738" s="106"/>
      <c r="B3738" s="107"/>
      <c r="D3738" s="151"/>
      <c r="E3738" s="142"/>
      <c r="F3738" s="176"/>
      <c r="G3738" s="176"/>
      <c r="H3738" s="176"/>
      <c r="I3738" s="172"/>
      <c r="J3738" s="173"/>
    </row>
    <row r="3739" spans="1:10" x14ac:dyDescent="0.25">
      <c r="A3739" s="106"/>
      <c r="B3739" s="107"/>
      <c r="D3739" s="151"/>
      <c r="E3739" s="142"/>
      <c r="F3739" s="176"/>
      <c r="G3739" s="176"/>
      <c r="H3739" s="176"/>
      <c r="I3739" s="172"/>
      <c r="J3739" s="173"/>
    </row>
    <row r="3740" spans="1:10" x14ac:dyDescent="0.25">
      <c r="A3740" s="106"/>
      <c r="B3740" s="107"/>
      <c r="D3740" s="151"/>
      <c r="E3740" s="142"/>
      <c r="F3740" s="176"/>
      <c r="G3740" s="176"/>
      <c r="H3740" s="176"/>
      <c r="I3740" s="172"/>
      <c r="J3740" s="173"/>
    </row>
    <row r="3741" spans="1:10" x14ac:dyDescent="0.25">
      <c r="A3741" s="106"/>
      <c r="B3741" s="107"/>
      <c r="D3741" s="151"/>
      <c r="E3741" s="142"/>
      <c r="F3741" s="176"/>
      <c r="G3741" s="176"/>
      <c r="H3741" s="176"/>
      <c r="I3741" s="172"/>
      <c r="J3741" s="173"/>
    </row>
    <row r="3742" spans="1:10" x14ac:dyDescent="0.25">
      <c r="A3742" s="106"/>
      <c r="B3742" s="107"/>
      <c r="D3742" s="151"/>
      <c r="E3742" s="142"/>
      <c r="F3742" s="176"/>
      <c r="G3742" s="176"/>
      <c r="H3742" s="176"/>
      <c r="I3742" s="172"/>
      <c r="J3742" s="173"/>
    </row>
    <row r="3743" spans="1:10" x14ac:dyDescent="0.25">
      <c r="A3743" s="106"/>
      <c r="B3743" s="107"/>
      <c r="D3743" s="151"/>
      <c r="E3743" s="142"/>
      <c r="F3743" s="176"/>
      <c r="G3743" s="176"/>
      <c r="H3743" s="176"/>
      <c r="I3743" s="172"/>
      <c r="J3743" s="173"/>
    </row>
    <row r="3744" spans="1:10" x14ac:dyDescent="0.25">
      <c r="A3744" s="106"/>
      <c r="B3744" s="107"/>
      <c r="D3744" s="151"/>
      <c r="E3744" s="142"/>
      <c r="F3744" s="176"/>
      <c r="G3744" s="176"/>
      <c r="H3744" s="176"/>
      <c r="I3744" s="172"/>
      <c r="J3744" s="173"/>
    </row>
    <row r="3745" spans="1:10" x14ac:dyDescent="0.25">
      <c r="A3745" s="106"/>
      <c r="B3745" s="107"/>
      <c r="D3745" s="151"/>
      <c r="E3745" s="142"/>
      <c r="F3745" s="176"/>
      <c r="G3745" s="176"/>
      <c r="H3745" s="176"/>
      <c r="I3745" s="172"/>
      <c r="J3745" s="173"/>
    </row>
    <row r="3746" spans="1:10" x14ac:dyDescent="0.25">
      <c r="A3746" s="106"/>
      <c r="B3746" s="107"/>
      <c r="D3746" s="151"/>
      <c r="E3746" s="142"/>
      <c r="F3746" s="176"/>
      <c r="G3746" s="176"/>
      <c r="H3746" s="176"/>
      <c r="I3746" s="172"/>
      <c r="J3746" s="173"/>
    </row>
    <row r="3747" spans="1:10" x14ac:dyDescent="0.25">
      <c r="A3747" s="106"/>
      <c r="B3747" s="107"/>
      <c r="D3747" s="151"/>
      <c r="E3747" s="142"/>
      <c r="F3747" s="176"/>
      <c r="G3747" s="176"/>
      <c r="H3747" s="176"/>
      <c r="I3747" s="172"/>
      <c r="J3747" s="173"/>
    </row>
    <row r="3748" spans="1:10" x14ac:dyDescent="0.25">
      <c r="A3748" s="106"/>
      <c r="B3748" s="107"/>
      <c r="D3748" s="151"/>
      <c r="E3748" s="142"/>
      <c r="F3748" s="176"/>
      <c r="G3748" s="176"/>
      <c r="H3748" s="176"/>
      <c r="I3748" s="172"/>
      <c r="J3748" s="173"/>
    </row>
    <row r="3749" spans="1:10" x14ac:dyDescent="0.25">
      <c r="A3749" s="106"/>
      <c r="B3749" s="107"/>
      <c r="D3749" s="151"/>
      <c r="E3749" s="142"/>
      <c r="F3749" s="176"/>
      <c r="G3749" s="176"/>
      <c r="H3749" s="176"/>
      <c r="I3749" s="172"/>
      <c r="J3749" s="173"/>
    </row>
    <row r="3750" spans="1:10" x14ac:dyDescent="0.25">
      <c r="A3750" s="106"/>
      <c r="B3750" s="107"/>
      <c r="D3750" s="151"/>
      <c r="E3750" s="142"/>
      <c r="F3750" s="176"/>
      <c r="G3750" s="176"/>
      <c r="H3750" s="176"/>
      <c r="I3750" s="172"/>
      <c r="J3750" s="173"/>
    </row>
    <row r="3751" spans="1:10" x14ac:dyDescent="0.25">
      <c r="A3751" s="106"/>
      <c r="B3751" s="107"/>
      <c r="D3751" s="151"/>
      <c r="E3751" s="142"/>
      <c r="F3751" s="176"/>
      <c r="G3751" s="176"/>
      <c r="H3751" s="176"/>
      <c r="I3751" s="172"/>
      <c r="J3751" s="173"/>
    </row>
    <row r="3752" spans="1:10" x14ac:dyDescent="0.25">
      <c r="A3752" s="106"/>
      <c r="B3752" s="107"/>
      <c r="D3752" s="151"/>
      <c r="E3752" s="142"/>
      <c r="F3752" s="176"/>
      <c r="G3752" s="176"/>
      <c r="H3752" s="176"/>
      <c r="I3752" s="172"/>
      <c r="J3752" s="173"/>
    </row>
    <row r="3753" spans="1:10" x14ac:dyDescent="0.25">
      <c r="A3753" s="106"/>
      <c r="B3753" s="107"/>
      <c r="D3753" s="151"/>
      <c r="E3753" s="142"/>
      <c r="F3753" s="176"/>
      <c r="G3753" s="176"/>
      <c r="H3753" s="176"/>
      <c r="I3753" s="172"/>
      <c r="J3753" s="173"/>
    </row>
    <row r="3754" spans="1:10" x14ac:dyDescent="0.25">
      <c r="A3754" s="106"/>
      <c r="B3754" s="107"/>
      <c r="D3754" s="151"/>
      <c r="E3754" s="142"/>
      <c r="F3754" s="176"/>
      <c r="G3754" s="176"/>
      <c r="H3754" s="176"/>
      <c r="I3754" s="172"/>
      <c r="J3754" s="173"/>
    </row>
    <row r="3755" spans="1:10" x14ac:dyDescent="0.25">
      <c r="A3755" s="106"/>
      <c r="B3755" s="107"/>
      <c r="D3755" s="151"/>
      <c r="E3755" s="142"/>
      <c r="F3755" s="176"/>
      <c r="G3755" s="176"/>
      <c r="H3755" s="176"/>
      <c r="I3755" s="172"/>
      <c r="J3755" s="173"/>
    </row>
    <row r="3756" spans="1:10" x14ac:dyDescent="0.25">
      <c r="A3756" s="106"/>
      <c r="B3756" s="107"/>
      <c r="D3756" s="151"/>
      <c r="E3756" s="142"/>
      <c r="F3756" s="176"/>
      <c r="G3756" s="176"/>
      <c r="H3756" s="176"/>
      <c r="I3756" s="172"/>
      <c r="J3756" s="173"/>
    </row>
    <row r="3757" spans="1:10" x14ac:dyDescent="0.25">
      <c r="A3757" s="106"/>
      <c r="B3757" s="107"/>
      <c r="D3757" s="151"/>
      <c r="E3757" s="142"/>
      <c r="F3757" s="176"/>
      <c r="G3757" s="176"/>
      <c r="H3757" s="176"/>
      <c r="I3757" s="172"/>
      <c r="J3757" s="173"/>
    </row>
    <row r="3758" spans="1:10" x14ac:dyDescent="0.25">
      <c r="A3758" s="106"/>
      <c r="B3758" s="107"/>
      <c r="D3758" s="151"/>
      <c r="E3758" s="142"/>
      <c r="F3758" s="176"/>
      <c r="G3758" s="176"/>
      <c r="H3758" s="176"/>
      <c r="I3758" s="172"/>
      <c r="J3758" s="173"/>
    </row>
    <row r="3759" spans="1:10" x14ac:dyDescent="0.25">
      <c r="A3759" s="106"/>
      <c r="B3759" s="107"/>
      <c r="D3759" s="151"/>
      <c r="E3759" s="142"/>
      <c r="F3759" s="176"/>
      <c r="G3759" s="176"/>
      <c r="H3759" s="176"/>
      <c r="I3759" s="172"/>
      <c r="J3759" s="173"/>
    </row>
    <row r="3760" spans="1:10" x14ac:dyDescent="0.25">
      <c r="A3760" s="106"/>
      <c r="B3760" s="107"/>
      <c r="D3760" s="151"/>
      <c r="E3760" s="142"/>
      <c r="F3760" s="176"/>
      <c r="G3760" s="176"/>
      <c r="H3760" s="176"/>
      <c r="I3760" s="172"/>
      <c r="J3760" s="173"/>
    </row>
    <row r="3761" spans="1:10" x14ac:dyDescent="0.25">
      <c r="A3761" s="106"/>
      <c r="B3761" s="107"/>
      <c r="D3761" s="151"/>
      <c r="E3761" s="142"/>
      <c r="F3761" s="176"/>
      <c r="G3761" s="176"/>
      <c r="H3761" s="176"/>
      <c r="I3761" s="172"/>
      <c r="J3761" s="173"/>
    </row>
    <row r="3762" spans="1:10" x14ac:dyDescent="0.25">
      <c r="A3762" s="106"/>
      <c r="B3762" s="107"/>
      <c r="D3762" s="151"/>
      <c r="E3762" s="142"/>
      <c r="F3762" s="176"/>
      <c r="G3762" s="176"/>
      <c r="H3762" s="176"/>
      <c r="I3762" s="172"/>
      <c r="J3762" s="173"/>
    </row>
    <row r="3763" spans="1:10" x14ac:dyDescent="0.25">
      <c r="A3763" s="106"/>
      <c r="B3763" s="107"/>
      <c r="D3763" s="151"/>
      <c r="E3763" s="142"/>
      <c r="F3763" s="176"/>
      <c r="G3763" s="176"/>
      <c r="H3763" s="176"/>
      <c r="I3763" s="172"/>
      <c r="J3763" s="173"/>
    </row>
    <row r="3764" spans="1:10" x14ac:dyDescent="0.25">
      <c r="A3764" s="106"/>
      <c r="B3764" s="107"/>
      <c r="D3764" s="151"/>
      <c r="E3764" s="142"/>
      <c r="F3764" s="176"/>
      <c r="G3764" s="176"/>
      <c r="H3764" s="176"/>
      <c r="I3764" s="172"/>
      <c r="J3764" s="173"/>
    </row>
    <row r="3765" spans="1:10" x14ac:dyDescent="0.25">
      <c r="A3765" s="106"/>
      <c r="B3765" s="107"/>
      <c r="D3765" s="151"/>
      <c r="E3765" s="142"/>
      <c r="F3765" s="176"/>
      <c r="G3765" s="176"/>
      <c r="H3765" s="176"/>
      <c r="I3765" s="172"/>
      <c r="J3765" s="173"/>
    </row>
    <row r="3766" spans="1:10" x14ac:dyDescent="0.25">
      <c r="A3766" s="106"/>
      <c r="B3766" s="107"/>
      <c r="D3766" s="151"/>
      <c r="E3766" s="142"/>
      <c r="F3766" s="176"/>
      <c r="G3766" s="176"/>
      <c r="H3766" s="176"/>
      <c r="I3766" s="172"/>
      <c r="J3766" s="173"/>
    </row>
    <row r="3767" spans="1:10" x14ac:dyDescent="0.25">
      <c r="A3767" s="106"/>
      <c r="B3767" s="107"/>
      <c r="D3767" s="151"/>
      <c r="E3767" s="142"/>
      <c r="F3767" s="176"/>
      <c r="G3767" s="176"/>
      <c r="H3767" s="176"/>
      <c r="I3767" s="172"/>
      <c r="J3767" s="173"/>
    </row>
    <row r="3768" spans="1:10" x14ac:dyDescent="0.25">
      <c r="A3768" s="106"/>
      <c r="B3768" s="107"/>
      <c r="D3768" s="151"/>
      <c r="E3768" s="142"/>
      <c r="F3768" s="176"/>
      <c r="G3768" s="176"/>
      <c r="H3768" s="176"/>
      <c r="I3768" s="172"/>
      <c r="J3768" s="173"/>
    </row>
    <row r="3769" spans="1:10" x14ac:dyDescent="0.25">
      <c r="A3769" s="106"/>
      <c r="B3769" s="107"/>
      <c r="D3769" s="151"/>
      <c r="E3769" s="142"/>
      <c r="F3769" s="176"/>
      <c r="G3769" s="176"/>
      <c r="H3769" s="176"/>
      <c r="I3769" s="172"/>
      <c r="J3769" s="173"/>
    </row>
    <row r="3770" spans="1:10" x14ac:dyDescent="0.25">
      <c r="A3770" s="106"/>
      <c r="B3770" s="107"/>
      <c r="D3770" s="151"/>
      <c r="E3770" s="142"/>
      <c r="F3770" s="176"/>
      <c r="G3770" s="176"/>
      <c r="H3770" s="176"/>
      <c r="I3770" s="172"/>
      <c r="J3770" s="173"/>
    </row>
    <row r="3771" spans="1:10" x14ac:dyDescent="0.25">
      <c r="A3771" s="106"/>
      <c r="B3771" s="107"/>
      <c r="D3771" s="151"/>
      <c r="E3771" s="142"/>
      <c r="F3771" s="176"/>
      <c r="G3771" s="176"/>
      <c r="H3771" s="176"/>
      <c r="I3771" s="172"/>
      <c r="J3771" s="173"/>
    </row>
    <row r="3772" spans="1:10" x14ac:dyDescent="0.25">
      <c r="A3772" s="106"/>
      <c r="B3772" s="107"/>
      <c r="D3772" s="151"/>
      <c r="E3772" s="142"/>
      <c r="F3772" s="176"/>
      <c r="G3772" s="176"/>
      <c r="H3772" s="176"/>
      <c r="I3772" s="172"/>
      <c r="J3772" s="173"/>
    </row>
    <row r="3773" spans="1:10" x14ac:dyDescent="0.25">
      <c r="A3773" s="106"/>
      <c r="B3773" s="107"/>
      <c r="D3773" s="151"/>
      <c r="E3773" s="142"/>
      <c r="F3773" s="176"/>
      <c r="G3773" s="176"/>
      <c r="H3773" s="176"/>
      <c r="I3773" s="172"/>
      <c r="J3773" s="173"/>
    </row>
    <row r="3774" spans="1:10" x14ac:dyDescent="0.25">
      <c r="A3774" s="106"/>
      <c r="B3774" s="107"/>
      <c r="D3774" s="151"/>
      <c r="E3774" s="142"/>
      <c r="F3774" s="176"/>
      <c r="G3774" s="176"/>
      <c r="H3774" s="176"/>
      <c r="I3774" s="172"/>
      <c r="J3774" s="173"/>
    </row>
    <row r="3775" spans="1:10" x14ac:dyDescent="0.25">
      <c r="A3775" s="106"/>
      <c r="B3775" s="107"/>
      <c r="D3775" s="151"/>
      <c r="E3775" s="142"/>
      <c r="F3775" s="176"/>
      <c r="G3775" s="176"/>
      <c r="H3775" s="176"/>
      <c r="I3775" s="172"/>
      <c r="J3775" s="173"/>
    </row>
    <row r="3776" spans="1:10" x14ac:dyDescent="0.25">
      <c r="A3776" s="106"/>
      <c r="B3776" s="107"/>
      <c r="D3776" s="151"/>
      <c r="E3776" s="142"/>
      <c r="F3776" s="176"/>
      <c r="G3776" s="176"/>
      <c r="H3776" s="176"/>
      <c r="I3776" s="172"/>
      <c r="J3776" s="173"/>
    </row>
    <row r="3777" spans="1:10" x14ac:dyDescent="0.25">
      <c r="A3777" s="106"/>
      <c r="B3777" s="107"/>
      <c r="D3777" s="151"/>
      <c r="E3777" s="142"/>
      <c r="F3777" s="176"/>
      <c r="G3777" s="176"/>
      <c r="H3777" s="176"/>
      <c r="I3777" s="172"/>
      <c r="J3777" s="173"/>
    </row>
    <row r="3778" spans="1:10" x14ac:dyDescent="0.25">
      <c r="A3778" s="106"/>
      <c r="B3778" s="107"/>
      <c r="D3778" s="151"/>
      <c r="E3778" s="142"/>
      <c r="F3778" s="176"/>
      <c r="G3778" s="176"/>
      <c r="H3778" s="176"/>
      <c r="I3778" s="172"/>
      <c r="J3778" s="173"/>
    </row>
    <row r="3779" spans="1:10" x14ac:dyDescent="0.25">
      <c r="A3779" s="106"/>
      <c r="B3779" s="107"/>
      <c r="D3779" s="151"/>
      <c r="E3779" s="142"/>
      <c r="F3779" s="176"/>
      <c r="G3779" s="176"/>
      <c r="H3779" s="176"/>
      <c r="I3779" s="172"/>
      <c r="J3779" s="173"/>
    </row>
    <row r="3780" spans="1:10" x14ac:dyDescent="0.25">
      <c r="A3780" s="106"/>
      <c r="B3780" s="107"/>
      <c r="D3780" s="151"/>
      <c r="E3780" s="142"/>
      <c r="F3780" s="176"/>
      <c r="G3780" s="176"/>
      <c r="H3780" s="176"/>
      <c r="I3780" s="172"/>
      <c r="J3780" s="173"/>
    </row>
    <row r="3781" spans="1:10" x14ac:dyDescent="0.25">
      <c r="A3781" s="106"/>
      <c r="B3781" s="107"/>
      <c r="D3781" s="151"/>
      <c r="E3781" s="142"/>
      <c r="F3781" s="176"/>
      <c r="G3781" s="176"/>
      <c r="H3781" s="176"/>
      <c r="I3781" s="172"/>
      <c r="J3781" s="173"/>
    </row>
    <row r="3782" spans="1:10" x14ac:dyDescent="0.25">
      <c r="A3782" s="106"/>
      <c r="B3782" s="107"/>
      <c r="D3782" s="151"/>
      <c r="E3782" s="142"/>
      <c r="F3782" s="176"/>
      <c r="G3782" s="176"/>
      <c r="H3782" s="176"/>
      <c r="I3782" s="172"/>
      <c r="J3782" s="173"/>
    </row>
    <row r="3783" spans="1:10" x14ac:dyDescent="0.25">
      <c r="A3783" s="106"/>
      <c r="B3783" s="107"/>
      <c r="D3783" s="151"/>
      <c r="E3783" s="142"/>
      <c r="F3783" s="176"/>
      <c r="G3783" s="176"/>
      <c r="H3783" s="176"/>
      <c r="I3783" s="172"/>
      <c r="J3783" s="173"/>
    </row>
    <row r="3784" spans="1:10" x14ac:dyDescent="0.25">
      <c r="A3784" s="106"/>
      <c r="B3784" s="107"/>
      <c r="D3784" s="151"/>
      <c r="E3784" s="142"/>
      <c r="F3784" s="176"/>
      <c r="G3784" s="176"/>
      <c r="H3784" s="176"/>
      <c r="I3784" s="172"/>
      <c r="J3784" s="173"/>
    </row>
    <row r="3785" spans="1:10" x14ac:dyDescent="0.25">
      <c r="A3785" s="106"/>
      <c r="B3785" s="107"/>
      <c r="D3785" s="151"/>
      <c r="E3785" s="142"/>
      <c r="F3785" s="176"/>
      <c r="G3785" s="176"/>
      <c r="H3785" s="176"/>
      <c r="I3785" s="172"/>
      <c r="J3785" s="173"/>
    </row>
    <row r="3786" spans="1:10" x14ac:dyDescent="0.25">
      <c r="A3786" s="106"/>
      <c r="B3786" s="107"/>
      <c r="D3786" s="151"/>
      <c r="E3786" s="142"/>
      <c r="F3786" s="176"/>
      <c r="G3786" s="176"/>
      <c r="H3786" s="176"/>
      <c r="I3786" s="172"/>
      <c r="J3786" s="173"/>
    </row>
    <row r="3787" spans="1:10" x14ac:dyDescent="0.25">
      <c r="A3787" s="106"/>
      <c r="B3787" s="107"/>
      <c r="D3787" s="151"/>
      <c r="E3787" s="142"/>
      <c r="F3787" s="176"/>
      <c r="G3787" s="176"/>
      <c r="H3787" s="176"/>
      <c r="I3787" s="172"/>
      <c r="J3787" s="173"/>
    </row>
    <row r="3788" spans="1:10" x14ac:dyDescent="0.25">
      <c r="A3788" s="106"/>
      <c r="B3788" s="107"/>
      <c r="D3788" s="151"/>
      <c r="E3788" s="142"/>
      <c r="F3788" s="176"/>
      <c r="G3788" s="176"/>
      <c r="H3788" s="176"/>
      <c r="I3788" s="172"/>
      <c r="J3788" s="173"/>
    </row>
    <row r="3789" spans="1:10" x14ac:dyDescent="0.25">
      <c r="A3789" s="106"/>
      <c r="B3789" s="107"/>
      <c r="D3789" s="151"/>
      <c r="E3789" s="142"/>
      <c r="F3789" s="176"/>
      <c r="G3789" s="176"/>
      <c r="H3789" s="176"/>
      <c r="I3789" s="172"/>
      <c r="J3789" s="173"/>
    </row>
    <row r="3790" spans="1:10" x14ac:dyDescent="0.25">
      <c r="A3790" s="106"/>
      <c r="B3790" s="107"/>
      <c r="D3790" s="151"/>
      <c r="E3790" s="142"/>
      <c r="F3790" s="176"/>
      <c r="G3790" s="176"/>
      <c r="H3790" s="176"/>
      <c r="I3790" s="172"/>
      <c r="J3790" s="173"/>
    </row>
    <row r="3791" spans="1:10" x14ac:dyDescent="0.25">
      <c r="A3791" s="106"/>
      <c r="B3791" s="107"/>
      <c r="D3791" s="151"/>
      <c r="E3791" s="142"/>
      <c r="F3791" s="176"/>
      <c r="G3791" s="176"/>
      <c r="H3791" s="176"/>
      <c r="I3791" s="172"/>
      <c r="J3791" s="173"/>
    </row>
    <row r="3792" spans="1:10" x14ac:dyDescent="0.25">
      <c r="A3792" s="106"/>
      <c r="B3792" s="107"/>
      <c r="D3792" s="151"/>
      <c r="E3792" s="142"/>
      <c r="F3792" s="176"/>
      <c r="G3792" s="176"/>
      <c r="H3792" s="176"/>
      <c r="I3792" s="172"/>
      <c r="J3792" s="173"/>
    </row>
    <row r="3793" spans="1:10" x14ac:dyDescent="0.25">
      <c r="A3793" s="106"/>
      <c r="B3793" s="107"/>
      <c r="D3793" s="151"/>
      <c r="E3793" s="142"/>
      <c r="F3793" s="176"/>
      <c r="G3793" s="176"/>
      <c r="H3793" s="176"/>
      <c r="I3793" s="172"/>
      <c r="J3793" s="173"/>
    </row>
    <row r="3794" spans="1:10" x14ac:dyDescent="0.25">
      <c r="A3794" s="106"/>
      <c r="B3794" s="107"/>
      <c r="D3794" s="151"/>
      <c r="E3794" s="142"/>
      <c r="F3794" s="176"/>
      <c r="G3794" s="176"/>
      <c r="H3794" s="176"/>
      <c r="I3794" s="172"/>
      <c r="J3794" s="173"/>
    </row>
    <row r="3795" spans="1:10" x14ac:dyDescent="0.25">
      <c r="A3795" s="106"/>
      <c r="B3795" s="107"/>
      <c r="D3795" s="151"/>
      <c r="E3795" s="142"/>
      <c r="F3795" s="176"/>
      <c r="G3795" s="176"/>
      <c r="H3795" s="176"/>
      <c r="I3795" s="172"/>
      <c r="J3795" s="173"/>
    </row>
    <row r="3796" spans="1:10" x14ac:dyDescent="0.25">
      <c r="A3796" s="106"/>
      <c r="B3796" s="107"/>
      <c r="D3796" s="151"/>
      <c r="E3796" s="142"/>
      <c r="F3796" s="176"/>
      <c r="G3796" s="176"/>
      <c r="H3796" s="176"/>
      <c r="I3796" s="172"/>
      <c r="J3796" s="173"/>
    </row>
    <row r="3797" spans="1:10" x14ac:dyDescent="0.25">
      <c r="A3797" s="106"/>
      <c r="B3797" s="107"/>
      <c r="D3797" s="151"/>
      <c r="E3797" s="142"/>
      <c r="F3797" s="176"/>
      <c r="G3797" s="176"/>
      <c r="H3797" s="176"/>
      <c r="I3797" s="172"/>
      <c r="J3797" s="173"/>
    </row>
    <row r="3798" spans="1:10" x14ac:dyDescent="0.25">
      <c r="A3798" s="106"/>
      <c r="B3798" s="107"/>
      <c r="D3798" s="151"/>
      <c r="E3798" s="142"/>
      <c r="F3798" s="176"/>
      <c r="G3798" s="176"/>
      <c r="H3798" s="176"/>
      <c r="I3798" s="172"/>
      <c r="J3798" s="173"/>
    </row>
    <row r="3799" spans="1:10" x14ac:dyDescent="0.25">
      <c r="A3799" s="106"/>
      <c r="B3799" s="107"/>
      <c r="D3799" s="151"/>
      <c r="E3799" s="142"/>
      <c r="F3799" s="176"/>
      <c r="G3799" s="176"/>
      <c r="H3799" s="176"/>
      <c r="I3799" s="172"/>
      <c r="J3799" s="173"/>
    </row>
    <row r="3800" spans="1:10" x14ac:dyDescent="0.25">
      <c r="A3800" s="106"/>
      <c r="B3800" s="107"/>
      <c r="D3800" s="151"/>
      <c r="E3800" s="142"/>
      <c r="F3800" s="176"/>
      <c r="G3800" s="176"/>
      <c r="H3800" s="176"/>
      <c r="I3800" s="172"/>
      <c r="J3800" s="173"/>
    </row>
    <row r="3801" spans="1:10" x14ac:dyDescent="0.25">
      <c r="A3801" s="106"/>
      <c r="B3801" s="107"/>
      <c r="D3801" s="151"/>
      <c r="E3801" s="142"/>
      <c r="F3801" s="176"/>
      <c r="G3801" s="176"/>
      <c r="H3801" s="176"/>
      <c r="I3801" s="172"/>
      <c r="J3801" s="173"/>
    </row>
    <row r="3802" spans="1:10" x14ac:dyDescent="0.25">
      <c r="A3802" s="106"/>
      <c r="B3802" s="107"/>
      <c r="D3802" s="151"/>
      <c r="E3802" s="142"/>
      <c r="F3802" s="176"/>
      <c r="G3802" s="176"/>
      <c r="H3802" s="176"/>
      <c r="I3802" s="172"/>
      <c r="J3802" s="173"/>
    </row>
    <row r="3803" spans="1:10" x14ac:dyDescent="0.25">
      <c r="A3803" s="106"/>
      <c r="B3803" s="107"/>
      <c r="D3803" s="151"/>
      <c r="E3803" s="142"/>
      <c r="F3803" s="176"/>
      <c r="G3803" s="176"/>
      <c r="H3803" s="176"/>
      <c r="I3803" s="172"/>
      <c r="J3803" s="173"/>
    </row>
    <row r="3804" spans="1:10" x14ac:dyDescent="0.25">
      <c r="A3804" s="106"/>
      <c r="B3804" s="107"/>
      <c r="D3804" s="151"/>
      <c r="E3804" s="142"/>
      <c r="F3804" s="176"/>
      <c r="G3804" s="176"/>
      <c r="H3804" s="176"/>
      <c r="I3804" s="172"/>
      <c r="J3804" s="173"/>
    </row>
    <row r="3805" spans="1:10" x14ac:dyDescent="0.25">
      <c r="A3805" s="106"/>
      <c r="B3805" s="107"/>
      <c r="D3805" s="151"/>
      <c r="E3805" s="142"/>
      <c r="F3805" s="176"/>
      <c r="G3805" s="176"/>
      <c r="H3805" s="176"/>
      <c r="I3805" s="172"/>
      <c r="J3805" s="173"/>
    </row>
    <row r="3806" spans="1:10" x14ac:dyDescent="0.25">
      <c r="A3806" s="106"/>
      <c r="B3806" s="107"/>
      <c r="D3806" s="151"/>
      <c r="E3806" s="142"/>
      <c r="F3806" s="176"/>
      <c r="G3806" s="176"/>
      <c r="H3806" s="176"/>
      <c r="I3806" s="172"/>
      <c r="J3806" s="173"/>
    </row>
    <row r="3807" spans="1:10" x14ac:dyDescent="0.25">
      <c r="A3807" s="106"/>
      <c r="B3807" s="107"/>
      <c r="D3807" s="151"/>
      <c r="E3807" s="142"/>
      <c r="F3807" s="176"/>
      <c r="G3807" s="176"/>
      <c r="H3807" s="176"/>
      <c r="I3807" s="172"/>
      <c r="J3807" s="173"/>
    </row>
    <row r="3808" spans="1:10" x14ac:dyDescent="0.25">
      <c r="A3808" s="106"/>
      <c r="B3808" s="107"/>
      <c r="D3808" s="151"/>
      <c r="E3808" s="142"/>
      <c r="F3808" s="176"/>
      <c r="G3808" s="176"/>
      <c r="H3808" s="176"/>
      <c r="I3808" s="172"/>
      <c r="J3808" s="173"/>
    </row>
    <row r="3809" spans="1:10" x14ac:dyDescent="0.25">
      <c r="A3809" s="106"/>
      <c r="B3809" s="107"/>
      <c r="D3809" s="151"/>
      <c r="E3809" s="142"/>
      <c r="F3809" s="176"/>
      <c r="G3809" s="176"/>
      <c r="H3809" s="176"/>
      <c r="I3809" s="172"/>
      <c r="J3809" s="173"/>
    </row>
    <row r="3810" spans="1:10" x14ac:dyDescent="0.25">
      <c r="A3810" s="106"/>
      <c r="B3810" s="107"/>
      <c r="D3810" s="151"/>
      <c r="E3810" s="142"/>
      <c r="F3810" s="176"/>
      <c r="G3810" s="176"/>
      <c r="H3810" s="176"/>
      <c r="I3810" s="172"/>
      <c r="J3810" s="173"/>
    </row>
    <row r="3811" spans="1:10" x14ac:dyDescent="0.25">
      <c r="A3811" s="106"/>
      <c r="B3811" s="107"/>
      <c r="D3811" s="151"/>
      <c r="E3811" s="142"/>
      <c r="F3811" s="176"/>
      <c r="G3811" s="176"/>
      <c r="H3811" s="176"/>
      <c r="I3811" s="172"/>
      <c r="J3811" s="173"/>
    </row>
    <row r="3812" spans="1:10" x14ac:dyDescent="0.25">
      <c r="A3812" s="106"/>
      <c r="B3812" s="107"/>
      <c r="D3812" s="151"/>
      <c r="E3812" s="142"/>
      <c r="F3812" s="176"/>
      <c r="G3812" s="176"/>
      <c r="H3812" s="176"/>
      <c r="I3812" s="172"/>
      <c r="J3812" s="173"/>
    </row>
    <row r="3813" spans="1:10" x14ac:dyDescent="0.25">
      <c r="A3813" s="106"/>
      <c r="B3813" s="107"/>
      <c r="D3813" s="151"/>
      <c r="E3813" s="142"/>
      <c r="F3813" s="176"/>
      <c r="G3813" s="176"/>
      <c r="H3813" s="176"/>
      <c r="I3813" s="172"/>
      <c r="J3813" s="173"/>
    </row>
    <row r="3814" spans="1:10" x14ac:dyDescent="0.25">
      <c r="A3814" s="106"/>
      <c r="B3814" s="107"/>
      <c r="D3814" s="151"/>
      <c r="E3814" s="142"/>
      <c r="F3814" s="176"/>
      <c r="G3814" s="176"/>
      <c r="H3814" s="176"/>
      <c r="I3814" s="172"/>
      <c r="J3814" s="173"/>
    </row>
    <row r="3815" spans="1:10" x14ac:dyDescent="0.25">
      <c r="A3815" s="106"/>
      <c r="B3815" s="107"/>
      <c r="D3815" s="151"/>
      <c r="E3815" s="142"/>
      <c r="F3815" s="176"/>
      <c r="G3815" s="176"/>
      <c r="H3815" s="176"/>
      <c r="I3815" s="172"/>
      <c r="J3815" s="173"/>
    </row>
    <row r="3816" spans="1:10" x14ac:dyDescent="0.25">
      <c r="A3816" s="106"/>
      <c r="B3816" s="107"/>
      <c r="D3816" s="151"/>
      <c r="E3816" s="142"/>
      <c r="F3816" s="176"/>
      <c r="G3816" s="176"/>
      <c r="H3816" s="176"/>
      <c r="I3816" s="172"/>
      <c r="J3816" s="173"/>
    </row>
    <row r="3817" spans="1:10" x14ac:dyDescent="0.25">
      <c r="A3817" s="106"/>
      <c r="B3817" s="107"/>
      <c r="D3817" s="151"/>
      <c r="E3817" s="142"/>
      <c r="F3817" s="176"/>
      <c r="G3817" s="176"/>
      <c r="H3817" s="176"/>
      <c r="I3817" s="172"/>
      <c r="J3817" s="173"/>
    </row>
    <row r="3818" spans="1:10" x14ac:dyDescent="0.25">
      <c r="A3818" s="106"/>
      <c r="B3818" s="107"/>
      <c r="D3818" s="151"/>
      <c r="E3818" s="142"/>
      <c r="F3818" s="176"/>
      <c r="G3818" s="176"/>
      <c r="H3818" s="176"/>
      <c r="I3818" s="172"/>
      <c r="J3818" s="173"/>
    </row>
    <row r="3819" spans="1:10" x14ac:dyDescent="0.25">
      <c r="A3819" s="106"/>
      <c r="B3819" s="107"/>
      <c r="D3819" s="151"/>
      <c r="E3819" s="142"/>
      <c r="F3819" s="176"/>
      <c r="G3819" s="176"/>
      <c r="H3819" s="176"/>
      <c r="I3819" s="172"/>
      <c r="J3819" s="173"/>
    </row>
    <row r="3820" spans="1:10" x14ac:dyDescent="0.25">
      <c r="A3820" s="106"/>
      <c r="B3820" s="107"/>
      <c r="D3820" s="151"/>
      <c r="E3820" s="142"/>
      <c r="F3820" s="176"/>
      <c r="G3820" s="176"/>
      <c r="H3820" s="176"/>
      <c r="I3820" s="172"/>
      <c r="J3820" s="173"/>
    </row>
    <row r="3821" spans="1:10" x14ac:dyDescent="0.25">
      <c r="A3821" s="106"/>
      <c r="B3821" s="107"/>
      <c r="D3821" s="151"/>
      <c r="E3821" s="142"/>
      <c r="F3821" s="176"/>
      <c r="G3821" s="176"/>
      <c r="H3821" s="176"/>
      <c r="I3821" s="172"/>
      <c r="J3821" s="173"/>
    </row>
    <row r="3822" spans="1:10" x14ac:dyDescent="0.25">
      <c r="A3822" s="106"/>
      <c r="B3822" s="107"/>
      <c r="D3822" s="151"/>
      <c r="E3822" s="142"/>
      <c r="F3822" s="176"/>
      <c r="G3822" s="176"/>
      <c r="H3822" s="176"/>
      <c r="I3822" s="172"/>
      <c r="J3822" s="173"/>
    </row>
    <row r="3823" spans="1:10" x14ac:dyDescent="0.25">
      <c r="A3823" s="106"/>
      <c r="B3823" s="107"/>
      <c r="D3823" s="151"/>
      <c r="E3823" s="142"/>
      <c r="F3823" s="176"/>
      <c r="G3823" s="176"/>
      <c r="H3823" s="176"/>
      <c r="I3823" s="172"/>
      <c r="J3823" s="173"/>
    </row>
    <row r="3824" spans="1:10" x14ac:dyDescent="0.25">
      <c r="A3824" s="106"/>
      <c r="B3824" s="107"/>
      <c r="D3824" s="151"/>
      <c r="E3824" s="142"/>
      <c r="F3824" s="176"/>
      <c r="G3824" s="176"/>
      <c r="H3824" s="176"/>
      <c r="I3824" s="172"/>
      <c r="J3824" s="173"/>
    </row>
    <row r="3825" spans="1:10" x14ac:dyDescent="0.25">
      <c r="A3825" s="106"/>
      <c r="B3825" s="107"/>
      <c r="D3825" s="151"/>
      <c r="E3825" s="142"/>
      <c r="F3825" s="176"/>
      <c r="G3825" s="176"/>
      <c r="H3825" s="176"/>
      <c r="I3825" s="172"/>
      <c r="J3825" s="173"/>
    </row>
    <row r="3826" spans="1:10" x14ac:dyDescent="0.25">
      <c r="A3826" s="106"/>
      <c r="B3826" s="107"/>
      <c r="D3826" s="151"/>
      <c r="E3826" s="142"/>
      <c r="F3826" s="176"/>
      <c r="G3826" s="176"/>
      <c r="H3826" s="176"/>
      <c r="I3826" s="172"/>
      <c r="J3826" s="173"/>
    </row>
    <row r="3827" spans="1:10" x14ac:dyDescent="0.25">
      <c r="A3827" s="106"/>
      <c r="B3827" s="107"/>
      <c r="D3827" s="151"/>
      <c r="E3827" s="142"/>
      <c r="F3827" s="176"/>
      <c r="G3827" s="176"/>
      <c r="H3827" s="176"/>
      <c r="I3827" s="172"/>
      <c r="J3827" s="173"/>
    </row>
    <row r="3828" spans="1:10" x14ac:dyDescent="0.25">
      <c r="A3828" s="106"/>
      <c r="B3828" s="107"/>
      <c r="D3828" s="151"/>
      <c r="E3828" s="142"/>
      <c r="F3828" s="176"/>
      <c r="G3828" s="176"/>
      <c r="H3828" s="176"/>
      <c r="I3828" s="172"/>
      <c r="J3828" s="173"/>
    </row>
    <row r="3829" spans="1:10" x14ac:dyDescent="0.25">
      <c r="A3829" s="106"/>
      <c r="B3829" s="107"/>
      <c r="D3829" s="151"/>
      <c r="E3829" s="142"/>
      <c r="F3829" s="176"/>
      <c r="G3829" s="176"/>
      <c r="H3829" s="176"/>
      <c r="I3829" s="172"/>
      <c r="J3829" s="173"/>
    </row>
    <row r="3830" spans="1:10" x14ac:dyDescent="0.25">
      <c r="A3830" s="106"/>
      <c r="B3830" s="107"/>
      <c r="D3830" s="151"/>
      <c r="E3830" s="142"/>
      <c r="F3830" s="176"/>
      <c r="G3830" s="176"/>
      <c r="H3830" s="176"/>
      <c r="I3830" s="172"/>
      <c r="J3830" s="173"/>
    </row>
    <row r="3831" spans="1:10" x14ac:dyDescent="0.25">
      <c r="A3831" s="106"/>
      <c r="B3831" s="107"/>
      <c r="D3831" s="151"/>
      <c r="E3831" s="142"/>
      <c r="F3831" s="176"/>
      <c r="G3831" s="176"/>
      <c r="H3831" s="176"/>
      <c r="I3831" s="172"/>
      <c r="J3831" s="173"/>
    </row>
    <row r="3832" spans="1:10" x14ac:dyDescent="0.25">
      <c r="A3832" s="106"/>
      <c r="B3832" s="107"/>
      <c r="D3832" s="151"/>
      <c r="E3832" s="142"/>
      <c r="F3832" s="176"/>
      <c r="G3832" s="176"/>
      <c r="H3832" s="176"/>
      <c r="I3832" s="172"/>
      <c r="J3832" s="173"/>
    </row>
    <row r="3833" spans="1:10" x14ac:dyDescent="0.25">
      <c r="A3833" s="106"/>
      <c r="B3833" s="107"/>
      <c r="D3833" s="151"/>
      <c r="E3833" s="142"/>
      <c r="F3833" s="176"/>
      <c r="G3833" s="176"/>
      <c r="H3833" s="176"/>
      <c r="I3833" s="172"/>
      <c r="J3833" s="173"/>
    </row>
    <row r="3834" spans="1:10" x14ac:dyDescent="0.25">
      <c r="A3834" s="106"/>
      <c r="B3834" s="107"/>
      <c r="D3834" s="151"/>
      <c r="E3834" s="142"/>
      <c r="F3834" s="176"/>
      <c r="G3834" s="176"/>
      <c r="H3834" s="176"/>
      <c r="I3834" s="172"/>
      <c r="J3834" s="173"/>
    </row>
    <row r="3835" spans="1:10" x14ac:dyDescent="0.25">
      <c r="A3835" s="106"/>
      <c r="B3835" s="107"/>
      <c r="D3835" s="151"/>
      <c r="E3835" s="142"/>
      <c r="F3835" s="176"/>
      <c r="G3835" s="176"/>
      <c r="H3835" s="176"/>
      <c r="I3835" s="172"/>
      <c r="J3835" s="173"/>
    </row>
    <row r="3836" spans="1:10" x14ac:dyDescent="0.25">
      <c r="A3836" s="106"/>
      <c r="B3836" s="107"/>
      <c r="D3836" s="151"/>
      <c r="E3836" s="142"/>
      <c r="F3836" s="176"/>
      <c r="G3836" s="176"/>
      <c r="H3836" s="176"/>
      <c r="I3836" s="172"/>
      <c r="J3836" s="173"/>
    </row>
    <row r="3837" spans="1:10" x14ac:dyDescent="0.25">
      <c r="A3837" s="106"/>
      <c r="B3837" s="107"/>
      <c r="D3837" s="151"/>
      <c r="E3837" s="142"/>
      <c r="F3837" s="176"/>
      <c r="G3837" s="176"/>
      <c r="H3837" s="176"/>
      <c r="I3837" s="172"/>
      <c r="J3837" s="173"/>
    </row>
    <row r="3838" spans="1:10" x14ac:dyDescent="0.25">
      <c r="A3838" s="106"/>
      <c r="B3838" s="107"/>
      <c r="D3838" s="151"/>
      <c r="E3838" s="142"/>
      <c r="F3838" s="176"/>
      <c r="G3838" s="176"/>
      <c r="H3838" s="176"/>
      <c r="I3838" s="172"/>
      <c r="J3838" s="173"/>
    </row>
    <row r="3839" spans="1:10" x14ac:dyDescent="0.25">
      <c r="A3839" s="106"/>
      <c r="B3839" s="107"/>
      <c r="D3839" s="151"/>
      <c r="E3839" s="142"/>
      <c r="F3839" s="176"/>
      <c r="G3839" s="176"/>
      <c r="H3839" s="176"/>
      <c r="I3839" s="172"/>
      <c r="J3839" s="173"/>
    </row>
    <row r="3840" spans="1:10" x14ac:dyDescent="0.25">
      <c r="A3840" s="106"/>
      <c r="B3840" s="107"/>
      <c r="D3840" s="151"/>
      <c r="E3840" s="142"/>
      <c r="F3840" s="176"/>
      <c r="G3840" s="176"/>
      <c r="H3840" s="176"/>
      <c r="I3840" s="172"/>
      <c r="J3840" s="173"/>
    </row>
    <row r="3841" spans="1:10" x14ac:dyDescent="0.25">
      <c r="A3841" s="106"/>
      <c r="B3841" s="107"/>
      <c r="D3841" s="151"/>
      <c r="E3841" s="142"/>
      <c r="F3841" s="176"/>
      <c r="G3841" s="176"/>
      <c r="H3841" s="176"/>
      <c r="I3841" s="172"/>
      <c r="J3841" s="173"/>
    </row>
    <row r="3842" spans="1:10" x14ac:dyDescent="0.25">
      <c r="A3842" s="106"/>
      <c r="B3842" s="107"/>
      <c r="D3842" s="151"/>
      <c r="E3842" s="142"/>
      <c r="F3842" s="176"/>
      <c r="G3842" s="176"/>
      <c r="H3842" s="176"/>
      <c r="I3842" s="172"/>
      <c r="J3842" s="173"/>
    </row>
    <row r="3843" spans="1:10" x14ac:dyDescent="0.25">
      <c r="A3843" s="106"/>
      <c r="B3843" s="107"/>
      <c r="D3843" s="151"/>
      <c r="E3843" s="142"/>
      <c r="F3843" s="176"/>
      <c r="G3843" s="176"/>
      <c r="H3843" s="176"/>
      <c r="I3843" s="172"/>
      <c r="J3843" s="173"/>
    </row>
    <row r="3844" spans="1:10" x14ac:dyDescent="0.25">
      <c r="A3844" s="106"/>
      <c r="B3844" s="107"/>
      <c r="D3844" s="151"/>
      <c r="E3844" s="142"/>
      <c r="F3844" s="176"/>
      <c r="G3844" s="176"/>
      <c r="H3844" s="176"/>
      <c r="I3844" s="172"/>
      <c r="J3844" s="173"/>
    </row>
    <row r="3845" spans="1:10" x14ac:dyDescent="0.25">
      <c r="A3845" s="106"/>
      <c r="B3845" s="107"/>
      <c r="D3845" s="151"/>
      <c r="E3845" s="142"/>
      <c r="F3845" s="176"/>
      <c r="G3845" s="176"/>
      <c r="H3845" s="176"/>
      <c r="I3845" s="172"/>
      <c r="J3845" s="173"/>
    </row>
    <row r="3846" spans="1:10" x14ac:dyDescent="0.25">
      <c r="A3846" s="106"/>
      <c r="B3846" s="107"/>
      <c r="D3846" s="151"/>
      <c r="E3846" s="142"/>
      <c r="F3846" s="176"/>
      <c r="G3846" s="176"/>
      <c r="H3846" s="176"/>
      <c r="I3846" s="172"/>
      <c r="J3846" s="173"/>
    </row>
    <row r="3847" spans="1:10" x14ac:dyDescent="0.25">
      <c r="A3847" s="106"/>
      <c r="B3847" s="107"/>
      <c r="D3847" s="151"/>
      <c r="E3847" s="142"/>
      <c r="F3847" s="176"/>
      <c r="G3847" s="176"/>
      <c r="H3847" s="176"/>
      <c r="I3847" s="172"/>
      <c r="J3847" s="173"/>
    </row>
    <row r="3848" spans="1:10" x14ac:dyDescent="0.25">
      <c r="A3848" s="106"/>
      <c r="B3848" s="107"/>
      <c r="D3848" s="151"/>
      <c r="E3848" s="142"/>
      <c r="F3848" s="176"/>
      <c r="G3848" s="176"/>
      <c r="H3848" s="176"/>
      <c r="I3848" s="172"/>
      <c r="J3848" s="173"/>
    </row>
    <row r="3849" spans="1:10" x14ac:dyDescent="0.25">
      <c r="A3849" s="106"/>
      <c r="B3849" s="107"/>
      <c r="D3849" s="151"/>
      <c r="E3849" s="142"/>
      <c r="F3849" s="176"/>
      <c r="G3849" s="176"/>
      <c r="H3849" s="176"/>
      <c r="I3849" s="172"/>
      <c r="J3849" s="173"/>
    </row>
    <row r="3850" spans="1:10" x14ac:dyDescent="0.25">
      <c r="A3850" s="106"/>
      <c r="B3850" s="107"/>
      <c r="D3850" s="151"/>
      <c r="E3850" s="142"/>
      <c r="F3850" s="176"/>
      <c r="G3850" s="176"/>
      <c r="H3850" s="176"/>
      <c r="I3850" s="172"/>
      <c r="J3850" s="173"/>
    </row>
    <row r="3851" spans="1:10" x14ac:dyDescent="0.25">
      <c r="A3851" s="106"/>
      <c r="B3851" s="107"/>
      <c r="D3851" s="151"/>
      <c r="E3851" s="142"/>
      <c r="F3851" s="176"/>
      <c r="G3851" s="176"/>
      <c r="H3851" s="176"/>
      <c r="I3851" s="172"/>
      <c r="J3851" s="173"/>
    </row>
    <row r="3852" spans="1:10" x14ac:dyDescent="0.25">
      <c r="A3852" s="106"/>
      <c r="B3852" s="107"/>
      <c r="D3852" s="151"/>
      <c r="E3852" s="142"/>
      <c r="F3852" s="176"/>
      <c r="G3852" s="176"/>
      <c r="H3852" s="176"/>
      <c r="I3852" s="172"/>
      <c r="J3852" s="173"/>
    </row>
    <row r="3853" spans="1:10" x14ac:dyDescent="0.25">
      <c r="A3853" s="106"/>
      <c r="B3853" s="107"/>
      <c r="D3853" s="151"/>
      <c r="E3853" s="142"/>
      <c r="F3853" s="176"/>
      <c r="G3853" s="176"/>
      <c r="H3853" s="176"/>
      <c r="I3853" s="172"/>
      <c r="J3853" s="173"/>
    </row>
    <row r="3854" spans="1:10" x14ac:dyDescent="0.25">
      <c r="A3854" s="106"/>
      <c r="B3854" s="107"/>
      <c r="D3854" s="151"/>
      <c r="E3854" s="142"/>
      <c r="F3854" s="176"/>
      <c r="G3854" s="176"/>
      <c r="H3854" s="176"/>
      <c r="I3854" s="172"/>
      <c r="J3854" s="173"/>
    </row>
    <row r="3855" spans="1:10" x14ac:dyDescent="0.25">
      <c r="A3855" s="106"/>
      <c r="B3855" s="107"/>
      <c r="D3855" s="151"/>
      <c r="E3855" s="142"/>
      <c r="F3855" s="176"/>
      <c r="G3855" s="176"/>
      <c r="H3855" s="176"/>
      <c r="I3855" s="172"/>
      <c r="J3855" s="173"/>
    </row>
    <row r="3856" spans="1:10" x14ac:dyDescent="0.25">
      <c r="A3856" s="106"/>
      <c r="B3856" s="107"/>
      <c r="D3856" s="151"/>
      <c r="E3856" s="142"/>
      <c r="F3856" s="176"/>
      <c r="G3856" s="176"/>
      <c r="H3856" s="176"/>
      <c r="I3856" s="172"/>
      <c r="J3856" s="173"/>
    </row>
    <row r="3857" spans="1:10" x14ac:dyDescent="0.25">
      <c r="A3857" s="106"/>
      <c r="B3857" s="107"/>
      <c r="D3857" s="151"/>
      <c r="E3857" s="142"/>
      <c r="F3857" s="176"/>
      <c r="G3857" s="176"/>
      <c r="H3857" s="176"/>
      <c r="I3857" s="172"/>
      <c r="J3857" s="173"/>
    </row>
    <row r="3858" spans="1:10" x14ac:dyDescent="0.25">
      <c r="A3858" s="106"/>
      <c r="B3858" s="107"/>
      <c r="D3858" s="151"/>
      <c r="E3858" s="142"/>
      <c r="F3858" s="176"/>
      <c r="G3858" s="176"/>
      <c r="H3858" s="176"/>
      <c r="I3858" s="172"/>
      <c r="J3858" s="173"/>
    </row>
    <row r="3859" spans="1:10" x14ac:dyDescent="0.25">
      <c r="A3859" s="106"/>
      <c r="B3859" s="107"/>
      <c r="D3859" s="151"/>
      <c r="E3859" s="142"/>
      <c r="F3859" s="176"/>
      <c r="G3859" s="176"/>
      <c r="H3859" s="176"/>
      <c r="I3859" s="172"/>
      <c r="J3859" s="173"/>
    </row>
    <row r="3860" spans="1:10" x14ac:dyDescent="0.25">
      <c r="A3860" s="106"/>
      <c r="B3860" s="107"/>
      <c r="D3860" s="151"/>
      <c r="E3860" s="142"/>
      <c r="F3860" s="176"/>
      <c r="G3860" s="176"/>
      <c r="H3860" s="176"/>
      <c r="I3860" s="172"/>
      <c r="J3860" s="173"/>
    </row>
    <row r="3861" spans="1:10" x14ac:dyDescent="0.25">
      <c r="A3861" s="106"/>
      <c r="B3861" s="107"/>
      <c r="D3861" s="151"/>
      <c r="E3861" s="142"/>
      <c r="F3861" s="176"/>
      <c r="G3861" s="176"/>
      <c r="H3861" s="176"/>
      <c r="I3861" s="172"/>
      <c r="J3861" s="173"/>
    </row>
    <row r="3862" spans="1:10" x14ac:dyDescent="0.25">
      <c r="A3862" s="106"/>
      <c r="B3862" s="107"/>
      <c r="D3862" s="151"/>
      <c r="E3862" s="142"/>
      <c r="F3862" s="176"/>
      <c r="G3862" s="176"/>
      <c r="H3862" s="176"/>
      <c r="I3862" s="172"/>
      <c r="J3862" s="173"/>
    </row>
    <row r="3863" spans="1:10" x14ac:dyDescent="0.25">
      <c r="A3863" s="106"/>
      <c r="B3863" s="107"/>
      <c r="D3863" s="151"/>
      <c r="E3863" s="142"/>
      <c r="F3863" s="176"/>
      <c r="G3863" s="176"/>
      <c r="H3863" s="176"/>
      <c r="I3863" s="172"/>
      <c r="J3863" s="173"/>
    </row>
    <row r="3864" spans="1:10" x14ac:dyDescent="0.25">
      <c r="A3864" s="106"/>
      <c r="B3864" s="107"/>
      <c r="D3864" s="151"/>
      <c r="E3864" s="142"/>
      <c r="F3864" s="176"/>
      <c r="G3864" s="176"/>
      <c r="H3864" s="176"/>
      <c r="I3864" s="172"/>
      <c r="J3864" s="173"/>
    </row>
    <row r="3865" spans="1:10" x14ac:dyDescent="0.25">
      <c r="A3865" s="106"/>
      <c r="B3865" s="107"/>
      <c r="D3865" s="151"/>
      <c r="E3865" s="142"/>
      <c r="F3865" s="176"/>
      <c r="G3865" s="176"/>
      <c r="H3865" s="176"/>
      <c r="I3865" s="172"/>
      <c r="J3865" s="173"/>
    </row>
    <row r="3866" spans="1:10" x14ac:dyDescent="0.25">
      <c r="A3866" s="106"/>
      <c r="B3866" s="107"/>
      <c r="D3866" s="151"/>
      <c r="E3866" s="142"/>
      <c r="F3866" s="176"/>
      <c r="G3866" s="176"/>
      <c r="H3866" s="176"/>
      <c r="I3866" s="172"/>
      <c r="J3866" s="173"/>
    </row>
    <row r="3867" spans="1:10" x14ac:dyDescent="0.25">
      <c r="A3867" s="106"/>
      <c r="B3867" s="107"/>
      <c r="D3867" s="151"/>
      <c r="E3867" s="142"/>
      <c r="F3867" s="176"/>
      <c r="G3867" s="176"/>
      <c r="H3867" s="176"/>
      <c r="I3867" s="172"/>
      <c r="J3867" s="173"/>
    </row>
    <row r="3868" spans="1:10" x14ac:dyDescent="0.25">
      <c r="A3868" s="106"/>
      <c r="B3868" s="107"/>
      <c r="D3868" s="151"/>
      <c r="E3868" s="142"/>
      <c r="F3868" s="176"/>
      <c r="G3868" s="176"/>
      <c r="H3868" s="176"/>
      <c r="I3868" s="172"/>
      <c r="J3868" s="173"/>
    </row>
    <row r="3869" spans="1:10" x14ac:dyDescent="0.25">
      <c r="A3869" s="106"/>
      <c r="B3869" s="107"/>
      <c r="D3869" s="151"/>
      <c r="E3869" s="142"/>
      <c r="F3869" s="176"/>
      <c r="G3869" s="176"/>
      <c r="H3869" s="176"/>
      <c r="I3869" s="172"/>
      <c r="J3869" s="173"/>
    </row>
    <row r="3870" spans="1:10" x14ac:dyDescent="0.25">
      <c r="A3870" s="106"/>
      <c r="B3870" s="107"/>
      <c r="D3870" s="151"/>
      <c r="E3870" s="142"/>
      <c r="F3870" s="176"/>
      <c r="G3870" s="176"/>
      <c r="H3870" s="176"/>
      <c r="I3870" s="172"/>
      <c r="J3870" s="173"/>
    </row>
    <row r="3871" spans="1:10" x14ac:dyDescent="0.25">
      <c r="A3871" s="106"/>
      <c r="B3871" s="107"/>
      <c r="D3871" s="151"/>
      <c r="E3871" s="142"/>
      <c r="F3871" s="176"/>
      <c r="G3871" s="176"/>
      <c r="H3871" s="176"/>
      <c r="I3871" s="172"/>
      <c r="J3871" s="173"/>
    </row>
    <row r="3872" spans="1:10" x14ac:dyDescent="0.25">
      <c r="A3872" s="106"/>
      <c r="B3872" s="107"/>
      <c r="D3872" s="151"/>
      <c r="E3872" s="142"/>
      <c r="F3872" s="176"/>
      <c r="G3872" s="176"/>
      <c r="H3872" s="176"/>
      <c r="I3872" s="172"/>
      <c r="J3872" s="173"/>
    </row>
    <row r="3873" spans="1:10" x14ac:dyDescent="0.25">
      <c r="A3873" s="106"/>
      <c r="B3873" s="107"/>
      <c r="D3873" s="151"/>
      <c r="E3873" s="142"/>
      <c r="F3873" s="176"/>
      <c r="G3873" s="176"/>
      <c r="H3873" s="176"/>
      <c r="I3873" s="172"/>
      <c r="J3873" s="173"/>
    </row>
    <row r="3874" spans="1:10" x14ac:dyDescent="0.25">
      <c r="A3874" s="106"/>
      <c r="B3874" s="107"/>
      <c r="D3874" s="151"/>
      <c r="E3874" s="142"/>
      <c r="F3874" s="176"/>
      <c r="G3874" s="176"/>
      <c r="H3874" s="176"/>
      <c r="I3874" s="172"/>
      <c r="J3874" s="173"/>
    </row>
    <row r="3875" spans="1:10" x14ac:dyDescent="0.25">
      <c r="A3875" s="106"/>
      <c r="B3875" s="107"/>
      <c r="D3875" s="151"/>
      <c r="E3875" s="142"/>
      <c r="F3875" s="176"/>
      <c r="G3875" s="176"/>
      <c r="H3875" s="176"/>
      <c r="I3875" s="172"/>
      <c r="J3875" s="173"/>
    </row>
    <row r="3876" spans="1:10" x14ac:dyDescent="0.25">
      <c r="A3876" s="106"/>
      <c r="B3876" s="107"/>
      <c r="D3876" s="151"/>
      <c r="E3876" s="142"/>
      <c r="F3876" s="176"/>
      <c r="G3876" s="176"/>
      <c r="H3876" s="176"/>
      <c r="I3876" s="172"/>
      <c r="J3876" s="173"/>
    </row>
    <row r="3877" spans="1:10" x14ac:dyDescent="0.25">
      <c r="A3877" s="106"/>
      <c r="B3877" s="107"/>
      <c r="D3877" s="151"/>
      <c r="E3877" s="142"/>
      <c r="F3877" s="176"/>
      <c r="G3877" s="176"/>
      <c r="H3877" s="176"/>
      <c r="I3877" s="172"/>
      <c r="J3877" s="173"/>
    </row>
    <row r="3878" spans="1:10" x14ac:dyDescent="0.25">
      <c r="A3878" s="106"/>
      <c r="B3878" s="107"/>
      <c r="D3878" s="151"/>
      <c r="E3878" s="142"/>
      <c r="F3878" s="176"/>
      <c r="G3878" s="176"/>
      <c r="H3878" s="176"/>
      <c r="I3878" s="172"/>
      <c r="J3878" s="173"/>
    </row>
    <row r="3879" spans="1:10" x14ac:dyDescent="0.25">
      <c r="A3879" s="106"/>
      <c r="B3879" s="107"/>
      <c r="D3879" s="151"/>
      <c r="E3879" s="142"/>
      <c r="F3879" s="176"/>
      <c r="G3879" s="176"/>
      <c r="H3879" s="176"/>
      <c r="I3879" s="172"/>
      <c r="J3879" s="173"/>
    </row>
    <row r="3880" spans="1:10" x14ac:dyDescent="0.25">
      <c r="A3880" s="106"/>
      <c r="B3880" s="107"/>
      <c r="D3880" s="151"/>
      <c r="E3880" s="142"/>
      <c r="F3880" s="176"/>
      <c r="G3880" s="176"/>
      <c r="H3880" s="176"/>
      <c r="I3880" s="172"/>
      <c r="J3880" s="173"/>
    </row>
    <row r="3881" spans="1:10" x14ac:dyDescent="0.25">
      <c r="A3881" s="106"/>
      <c r="B3881" s="107"/>
      <c r="D3881" s="151"/>
      <c r="E3881" s="142"/>
      <c r="F3881" s="176"/>
      <c r="G3881" s="176"/>
      <c r="H3881" s="176"/>
      <c r="I3881" s="172"/>
      <c r="J3881" s="173"/>
    </row>
    <row r="3882" spans="1:10" x14ac:dyDescent="0.25">
      <c r="A3882" s="106"/>
      <c r="B3882" s="107"/>
      <c r="D3882" s="151"/>
      <c r="E3882" s="142"/>
      <c r="F3882" s="176"/>
      <c r="G3882" s="176"/>
      <c r="H3882" s="176"/>
      <c r="I3882" s="172"/>
      <c r="J3882" s="173"/>
    </row>
    <row r="3883" spans="1:10" x14ac:dyDescent="0.25">
      <c r="A3883" s="106"/>
      <c r="B3883" s="107"/>
      <c r="D3883" s="151"/>
      <c r="E3883" s="142"/>
      <c r="F3883" s="176"/>
      <c r="G3883" s="176"/>
      <c r="H3883" s="176"/>
      <c r="I3883" s="172"/>
      <c r="J3883" s="173"/>
    </row>
    <row r="3884" spans="1:10" x14ac:dyDescent="0.25">
      <c r="A3884" s="106"/>
      <c r="B3884" s="107"/>
      <c r="D3884" s="151"/>
      <c r="E3884" s="142"/>
      <c r="F3884" s="176"/>
      <c r="G3884" s="176"/>
      <c r="H3884" s="176"/>
      <c r="I3884" s="172"/>
      <c r="J3884" s="173"/>
    </row>
    <row r="3885" spans="1:10" x14ac:dyDescent="0.25">
      <c r="A3885" s="106"/>
      <c r="B3885" s="107"/>
      <c r="D3885" s="151"/>
      <c r="E3885" s="142"/>
      <c r="F3885" s="176"/>
      <c r="G3885" s="176"/>
      <c r="H3885" s="176"/>
      <c r="I3885" s="172"/>
      <c r="J3885" s="173"/>
    </row>
    <row r="3886" spans="1:10" x14ac:dyDescent="0.25">
      <c r="A3886" s="106"/>
      <c r="B3886" s="107"/>
      <c r="D3886" s="151"/>
      <c r="E3886" s="142"/>
      <c r="F3886" s="176"/>
      <c r="G3886" s="176"/>
      <c r="H3886" s="176"/>
      <c r="I3886" s="172"/>
      <c r="J3886" s="173"/>
    </row>
    <row r="3887" spans="1:10" x14ac:dyDescent="0.25">
      <c r="A3887" s="106"/>
      <c r="B3887" s="107"/>
      <c r="D3887" s="151"/>
      <c r="E3887" s="142"/>
      <c r="F3887" s="176"/>
      <c r="G3887" s="176"/>
      <c r="H3887" s="176"/>
      <c r="I3887" s="172"/>
      <c r="J3887" s="173"/>
    </row>
    <row r="3888" spans="1:10" x14ac:dyDescent="0.25">
      <c r="A3888" s="106"/>
      <c r="B3888" s="107"/>
      <c r="D3888" s="151"/>
      <c r="E3888" s="142"/>
      <c r="F3888" s="176"/>
      <c r="G3888" s="176"/>
      <c r="H3888" s="176"/>
      <c r="I3888" s="172"/>
      <c r="J3888" s="173"/>
    </row>
    <row r="3889" spans="1:10" x14ac:dyDescent="0.25">
      <c r="A3889" s="106"/>
      <c r="B3889" s="107"/>
      <c r="D3889" s="151"/>
      <c r="E3889" s="142"/>
      <c r="F3889" s="176"/>
      <c r="G3889" s="176"/>
      <c r="H3889" s="176"/>
      <c r="I3889" s="172"/>
      <c r="J3889" s="173"/>
    </row>
    <row r="3890" spans="1:10" x14ac:dyDescent="0.25">
      <c r="A3890" s="106"/>
      <c r="B3890" s="107"/>
      <c r="D3890" s="151"/>
      <c r="E3890" s="142"/>
      <c r="F3890" s="176"/>
      <c r="G3890" s="176"/>
      <c r="H3890" s="176"/>
      <c r="I3890" s="172"/>
      <c r="J3890" s="173"/>
    </row>
    <row r="3891" spans="1:10" x14ac:dyDescent="0.25">
      <c r="A3891" s="106"/>
      <c r="B3891" s="107"/>
      <c r="D3891" s="151"/>
      <c r="E3891" s="142"/>
      <c r="F3891" s="176"/>
      <c r="G3891" s="176"/>
      <c r="H3891" s="176"/>
      <c r="I3891" s="172"/>
      <c r="J3891" s="173"/>
    </row>
    <row r="3892" spans="1:10" x14ac:dyDescent="0.25">
      <c r="A3892" s="106"/>
      <c r="B3892" s="107"/>
      <c r="D3892" s="151"/>
      <c r="E3892" s="142"/>
      <c r="F3892" s="176"/>
      <c r="G3892" s="176"/>
      <c r="H3892" s="176"/>
      <c r="I3892" s="172"/>
      <c r="J3892" s="173"/>
    </row>
    <row r="3893" spans="1:10" x14ac:dyDescent="0.25">
      <c r="A3893" s="106"/>
      <c r="B3893" s="107"/>
      <c r="D3893" s="151"/>
      <c r="E3893" s="142"/>
      <c r="F3893" s="176"/>
      <c r="G3893" s="176"/>
      <c r="H3893" s="176"/>
      <c r="I3893" s="172"/>
      <c r="J3893" s="173"/>
    </row>
    <row r="3894" spans="1:10" x14ac:dyDescent="0.25">
      <c r="A3894" s="106"/>
      <c r="B3894" s="107"/>
      <c r="D3894" s="151"/>
      <c r="E3894" s="142"/>
      <c r="F3894" s="176"/>
      <c r="G3894" s="176"/>
      <c r="H3894" s="176"/>
      <c r="I3894" s="172"/>
      <c r="J3894" s="173"/>
    </row>
    <row r="3895" spans="1:10" x14ac:dyDescent="0.25">
      <c r="A3895" s="106"/>
      <c r="B3895" s="107"/>
      <c r="D3895" s="151"/>
      <c r="E3895" s="142"/>
      <c r="F3895" s="176"/>
      <c r="G3895" s="176"/>
      <c r="H3895" s="176"/>
      <c r="I3895" s="172"/>
      <c r="J3895" s="173"/>
    </row>
    <row r="3896" spans="1:10" x14ac:dyDescent="0.25">
      <c r="A3896" s="106"/>
      <c r="B3896" s="107"/>
      <c r="D3896" s="151"/>
      <c r="E3896" s="142"/>
      <c r="F3896" s="176"/>
      <c r="G3896" s="176"/>
      <c r="H3896" s="176"/>
      <c r="I3896" s="172"/>
      <c r="J3896" s="173"/>
    </row>
    <row r="3897" spans="1:10" x14ac:dyDescent="0.25">
      <c r="A3897" s="106"/>
      <c r="B3897" s="107"/>
      <c r="D3897" s="151"/>
      <c r="E3897" s="142"/>
      <c r="F3897" s="176"/>
      <c r="G3897" s="176"/>
      <c r="H3897" s="176"/>
      <c r="I3897" s="172"/>
      <c r="J3897" s="173"/>
    </row>
    <row r="3898" spans="1:10" x14ac:dyDescent="0.25">
      <c r="A3898" s="106"/>
      <c r="B3898" s="107"/>
      <c r="D3898" s="151"/>
      <c r="E3898" s="142"/>
      <c r="F3898" s="176"/>
      <c r="G3898" s="176"/>
      <c r="H3898" s="176"/>
      <c r="I3898" s="172"/>
      <c r="J3898" s="173"/>
    </row>
    <row r="3899" spans="1:10" x14ac:dyDescent="0.25">
      <c r="A3899" s="106"/>
      <c r="B3899" s="107"/>
      <c r="D3899" s="151"/>
      <c r="E3899" s="142"/>
      <c r="F3899" s="176"/>
      <c r="G3899" s="176"/>
      <c r="H3899" s="176"/>
      <c r="I3899" s="172"/>
      <c r="J3899" s="173"/>
    </row>
    <row r="3900" spans="1:10" x14ac:dyDescent="0.25">
      <c r="A3900" s="106"/>
      <c r="B3900" s="107"/>
      <c r="D3900" s="151"/>
      <c r="E3900" s="142"/>
      <c r="F3900" s="176"/>
      <c r="G3900" s="176"/>
      <c r="H3900" s="176"/>
      <c r="I3900" s="172"/>
      <c r="J3900" s="173"/>
    </row>
    <row r="3901" spans="1:10" x14ac:dyDescent="0.25">
      <c r="A3901" s="106"/>
      <c r="B3901" s="107"/>
      <c r="D3901" s="151"/>
      <c r="E3901" s="142"/>
      <c r="F3901" s="176"/>
      <c r="G3901" s="176"/>
      <c r="H3901" s="176"/>
      <c r="I3901" s="172"/>
      <c r="J3901" s="173"/>
    </row>
    <row r="3902" spans="1:10" x14ac:dyDescent="0.25">
      <c r="A3902" s="106"/>
      <c r="B3902" s="107"/>
      <c r="D3902" s="151"/>
      <c r="E3902" s="142"/>
      <c r="F3902" s="176"/>
      <c r="G3902" s="176"/>
      <c r="H3902" s="176"/>
      <c r="I3902" s="172"/>
      <c r="J3902" s="173"/>
    </row>
    <row r="3903" spans="1:10" x14ac:dyDescent="0.25">
      <c r="A3903" s="106"/>
      <c r="B3903" s="107"/>
      <c r="D3903" s="151"/>
      <c r="E3903" s="142"/>
      <c r="F3903" s="176"/>
      <c r="G3903" s="176"/>
      <c r="H3903" s="176"/>
      <c r="I3903" s="172"/>
      <c r="J3903" s="173"/>
    </row>
    <row r="3904" spans="1:10" x14ac:dyDescent="0.25">
      <c r="A3904" s="106"/>
      <c r="B3904" s="107"/>
      <c r="D3904" s="151"/>
      <c r="E3904" s="142"/>
      <c r="F3904" s="176"/>
      <c r="G3904" s="176"/>
      <c r="H3904" s="176"/>
      <c r="I3904" s="172"/>
      <c r="J3904" s="173"/>
    </row>
    <row r="3905" spans="1:10" x14ac:dyDescent="0.25">
      <c r="A3905" s="106"/>
      <c r="B3905" s="107"/>
      <c r="D3905" s="151"/>
      <c r="E3905" s="142"/>
      <c r="F3905" s="176"/>
      <c r="G3905" s="176"/>
      <c r="H3905" s="176"/>
      <c r="I3905" s="172"/>
      <c r="J3905" s="173"/>
    </row>
    <row r="3906" spans="1:10" x14ac:dyDescent="0.25">
      <c r="A3906" s="106"/>
      <c r="B3906" s="107"/>
      <c r="D3906" s="151"/>
      <c r="E3906" s="142"/>
      <c r="F3906" s="176"/>
      <c r="G3906" s="176"/>
      <c r="H3906" s="176"/>
      <c r="I3906" s="172"/>
      <c r="J3906" s="173"/>
    </row>
    <row r="3907" spans="1:10" x14ac:dyDescent="0.25">
      <c r="A3907" s="106"/>
      <c r="B3907" s="107"/>
      <c r="D3907" s="151"/>
      <c r="E3907" s="142"/>
      <c r="F3907" s="176"/>
      <c r="G3907" s="176"/>
      <c r="H3907" s="176"/>
      <c r="I3907" s="172"/>
      <c r="J3907" s="173"/>
    </row>
    <row r="3908" spans="1:10" x14ac:dyDescent="0.25">
      <c r="A3908" s="106"/>
      <c r="B3908" s="107"/>
      <c r="D3908" s="151"/>
      <c r="E3908" s="142"/>
      <c r="F3908" s="176"/>
      <c r="G3908" s="176"/>
      <c r="H3908" s="176"/>
      <c r="I3908" s="172"/>
      <c r="J3908" s="173"/>
    </row>
    <row r="3909" spans="1:10" x14ac:dyDescent="0.25">
      <c r="A3909" s="106"/>
      <c r="B3909" s="107"/>
      <c r="D3909" s="151"/>
      <c r="E3909" s="142"/>
      <c r="F3909" s="176"/>
      <c r="G3909" s="176"/>
      <c r="H3909" s="176"/>
      <c r="I3909" s="172"/>
      <c r="J3909" s="173"/>
    </row>
    <row r="3910" spans="1:10" x14ac:dyDescent="0.25">
      <c r="A3910" s="106"/>
      <c r="B3910" s="107"/>
      <c r="D3910" s="151"/>
      <c r="E3910" s="142"/>
      <c r="F3910" s="176"/>
      <c r="G3910" s="176"/>
      <c r="H3910" s="176"/>
      <c r="I3910" s="172"/>
      <c r="J3910" s="173"/>
    </row>
    <row r="3911" spans="1:10" x14ac:dyDescent="0.25">
      <c r="A3911" s="106"/>
      <c r="B3911" s="107"/>
      <c r="D3911" s="151"/>
      <c r="E3911" s="142"/>
      <c r="F3911" s="176"/>
      <c r="G3911" s="176"/>
      <c r="H3911" s="176"/>
      <c r="I3911" s="172"/>
      <c r="J3911" s="173"/>
    </row>
    <row r="3912" spans="1:10" x14ac:dyDescent="0.25">
      <c r="A3912" s="106"/>
      <c r="B3912" s="107"/>
      <c r="D3912" s="151"/>
      <c r="E3912" s="142"/>
      <c r="F3912" s="176"/>
      <c r="G3912" s="176"/>
      <c r="H3912" s="176"/>
      <c r="I3912" s="172"/>
      <c r="J3912" s="173"/>
    </row>
    <row r="3913" spans="1:10" x14ac:dyDescent="0.25">
      <c r="A3913" s="106"/>
      <c r="B3913" s="107"/>
      <c r="D3913" s="151"/>
      <c r="E3913" s="142"/>
      <c r="F3913" s="176"/>
      <c r="G3913" s="176"/>
      <c r="H3913" s="176"/>
      <c r="I3913" s="172"/>
      <c r="J3913" s="173"/>
    </row>
    <row r="3914" spans="1:10" x14ac:dyDescent="0.25">
      <c r="A3914" s="106"/>
      <c r="B3914" s="107"/>
      <c r="D3914" s="151"/>
      <c r="E3914" s="142"/>
      <c r="F3914" s="176"/>
      <c r="G3914" s="176"/>
      <c r="H3914" s="176"/>
      <c r="I3914" s="172"/>
      <c r="J3914" s="173"/>
    </row>
    <row r="3915" spans="1:10" x14ac:dyDescent="0.25">
      <c r="A3915" s="106"/>
      <c r="B3915" s="107"/>
      <c r="D3915" s="151"/>
      <c r="E3915" s="142"/>
      <c r="F3915" s="176"/>
      <c r="G3915" s="176"/>
      <c r="H3915" s="176"/>
      <c r="I3915" s="172"/>
      <c r="J3915" s="173"/>
    </row>
    <row r="3916" spans="1:10" x14ac:dyDescent="0.25">
      <c r="A3916" s="106"/>
      <c r="B3916" s="107"/>
      <c r="D3916" s="151"/>
      <c r="E3916" s="142"/>
      <c r="F3916" s="176"/>
      <c r="G3916" s="176"/>
      <c r="H3916" s="176"/>
      <c r="I3916" s="172"/>
      <c r="J3916" s="173"/>
    </row>
    <row r="3917" spans="1:10" x14ac:dyDescent="0.25">
      <c r="A3917" s="106"/>
      <c r="B3917" s="107"/>
      <c r="D3917" s="151"/>
      <c r="E3917" s="142"/>
      <c r="F3917" s="176"/>
      <c r="G3917" s="176"/>
      <c r="H3917" s="176"/>
      <c r="I3917" s="172"/>
      <c r="J3917" s="173"/>
    </row>
    <row r="3918" spans="1:10" x14ac:dyDescent="0.25">
      <c r="A3918" s="106"/>
      <c r="B3918" s="107"/>
      <c r="D3918" s="151"/>
      <c r="E3918" s="142"/>
      <c r="F3918" s="176"/>
      <c r="G3918" s="176"/>
      <c r="H3918" s="176"/>
      <c r="I3918" s="172"/>
      <c r="J3918" s="173"/>
    </row>
    <row r="3919" spans="1:10" x14ac:dyDescent="0.25">
      <c r="A3919" s="106"/>
      <c r="B3919" s="107"/>
      <c r="D3919" s="151"/>
      <c r="E3919" s="142"/>
      <c r="F3919" s="176"/>
      <c r="G3919" s="176"/>
      <c r="H3919" s="176"/>
      <c r="I3919" s="172"/>
      <c r="J3919" s="173"/>
    </row>
    <row r="3920" spans="1:10" x14ac:dyDescent="0.25">
      <c r="A3920" s="106"/>
      <c r="B3920" s="107"/>
      <c r="D3920" s="151"/>
      <c r="E3920" s="142"/>
      <c r="F3920" s="176"/>
      <c r="G3920" s="176"/>
      <c r="H3920" s="176"/>
      <c r="I3920" s="172"/>
      <c r="J3920" s="173"/>
    </row>
    <row r="3921" spans="1:10" x14ac:dyDescent="0.25">
      <c r="A3921" s="106"/>
      <c r="B3921" s="107"/>
      <c r="D3921" s="151"/>
      <c r="E3921" s="142"/>
      <c r="F3921" s="176"/>
      <c r="G3921" s="176"/>
      <c r="H3921" s="176"/>
      <c r="I3921" s="172"/>
      <c r="J3921" s="173"/>
    </row>
    <row r="3922" spans="1:10" x14ac:dyDescent="0.25">
      <c r="A3922" s="106"/>
      <c r="B3922" s="107"/>
      <c r="D3922" s="151"/>
      <c r="E3922" s="142"/>
      <c r="F3922" s="176"/>
      <c r="G3922" s="176"/>
      <c r="H3922" s="176"/>
      <c r="I3922" s="172"/>
      <c r="J3922" s="173"/>
    </row>
    <row r="3923" spans="1:10" x14ac:dyDescent="0.25">
      <c r="A3923" s="106"/>
      <c r="B3923" s="107"/>
      <c r="D3923" s="151"/>
      <c r="E3923" s="142"/>
      <c r="F3923" s="176"/>
      <c r="G3923" s="176"/>
      <c r="H3923" s="176"/>
      <c r="I3923" s="172"/>
      <c r="J3923" s="173"/>
    </row>
    <row r="3924" spans="1:10" x14ac:dyDescent="0.25">
      <c r="A3924" s="106"/>
      <c r="B3924" s="107"/>
      <c r="D3924" s="151"/>
      <c r="E3924" s="142"/>
      <c r="F3924" s="176"/>
      <c r="G3924" s="176"/>
      <c r="H3924" s="176"/>
      <c r="I3924" s="172"/>
      <c r="J3924" s="173"/>
    </row>
    <row r="3925" spans="1:10" x14ac:dyDescent="0.25">
      <c r="A3925" s="106"/>
      <c r="B3925" s="107"/>
      <c r="D3925" s="151"/>
      <c r="E3925" s="142"/>
      <c r="F3925" s="176"/>
      <c r="G3925" s="176"/>
      <c r="H3925" s="176"/>
      <c r="I3925" s="172"/>
      <c r="J3925" s="173"/>
    </row>
    <row r="3926" spans="1:10" x14ac:dyDescent="0.25">
      <c r="A3926" s="106"/>
      <c r="B3926" s="107"/>
      <c r="D3926" s="151"/>
      <c r="E3926" s="142"/>
      <c r="F3926" s="176"/>
      <c r="G3926" s="176"/>
      <c r="H3926" s="176"/>
      <c r="I3926" s="172"/>
      <c r="J3926" s="173"/>
    </row>
    <row r="3927" spans="1:10" x14ac:dyDescent="0.25">
      <c r="A3927" s="106"/>
      <c r="B3927" s="107"/>
      <c r="D3927" s="151"/>
      <c r="E3927" s="142"/>
      <c r="F3927" s="176"/>
      <c r="G3927" s="176"/>
      <c r="H3927" s="176"/>
      <c r="I3927" s="172"/>
      <c r="J3927" s="173"/>
    </row>
    <row r="3928" spans="1:10" x14ac:dyDescent="0.25">
      <c r="A3928" s="106"/>
      <c r="B3928" s="107"/>
      <c r="D3928" s="151"/>
      <c r="E3928" s="142"/>
      <c r="F3928" s="176"/>
      <c r="G3928" s="176"/>
      <c r="H3928" s="176"/>
      <c r="I3928" s="172"/>
      <c r="J3928" s="173"/>
    </row>
    <row r="3929" spans="1:10" x14ac:dyDescent="0.25">
      <c r="A3929" s="106"/>
      <c r="B3929" s="107"/>
      <c r="D3929" s="151"/>
      <c r="E3929" s="142"/>
      <c r="F3929" s="176"/>
      <c r="G3929" s="176"/>
      <c r="H3929" s="176"/>
      <c r="I3929" s="172"/>
      <c r="J3929" s="173"/>
    </row>
    <row r="3930" spans="1:10" x14ac:dyDescent="0.25">
      <c r="A3930" s="106"/>
      <c r="B3930" s="107"/>
      <c r="D3930" s="151"/>
      <c r="E3930" s="142"/>
      <c r="F3930" s="176"/>
      <c r="G3930" s="176"/>
      <c r="H3930" s="176"/>
      <c r="I3930" s="172"/>
      <c r="J3930" s="173"/>
    </row>
    <row r="3931" spans="1:10" x14ac:dyDescent="0.25">
      <c r="A3931" s="106"/>
      <c r="B3931" s="107"/>
      <c r="D3931" s="151"/>
      <c r="E3931" s="142"/>
      <c r="F3931" s="176"/>
      <c r="G3931" s="176"/>
      <c r="H3931" s="176"/>
      <c r="I3931" s="172"/>
      <c r="J3931" s="173"/>
    </row>
    <row r="3932" spans="1:10" x14ac:dyDescent="0.25">
      <c r="A3932" s="106"/>
      <c r="B3932" s="107"/>
      <c r="D3932" s="151"/>
      <c r="E3932" s="142"/>
      <c r="F3932" s="176"/>
      <c r="G3932" s="176"/>
      <c r="H3932" s="176"/>
      <c r="I3932" s="172"/>
      <c r="J3932" s="173"/>
    </row>
    <row r="3933" spans="1:10" x14ac:dyDescent="0.25">
      <c r="A3933" s="106"/>
      <c r="B3933" s="107"/>
      <c r="D3933" s="151"/>
      <c r="E3933" s="142"/>
      <c r="F3933" s="176"/>
      <c r="G3933" s="176"/>
      <c r="H3933" s="176"/>
      <c r="I3933" s="172"/>
      <c r="J3933" s="173"/>
    </row>
    <row r="3934" spans="1:10" x14ac:dyDescent="0.25">
      <c r="A3934" s="106"/>
      <c r="B3934" s="107"/>
      <c r="D3934" s="151"/>
      <c r="E3934" s="142"/>
      <c r="F3934" s="176"/>
      <c r="G3934" s="176"/>
      <c r="H3934" s="176"/>
      <c r="I3934" s="172"/>
      <c r="J3934" s="173"/>
    </row>
    <row r="3935" spans="1:10" x14ac:dyDescent="0.25">
      <c r="A3935" s="106"/>
      <c r="B3935" s="107"/>
      <c r="D3935" s="151"/>
      <c r="E3935" s="142"/>
      <c r="F3935" s="176"/>
      <c r="G3935" s="176"/>
      <c r="H3935" s="176"/>
      <c r="I3935" s="172"/>
      <c r="J3935" s="173"/>
    </row>
    <row r="3936" spans="1:10" x14ac:dyDescent="0.25">
      <c r="A3936" s="106"/>
      <c r="B3936" s="107"/>
      <c r="D3936" s="151"/>
      <c r="E3936" s="142"/>
      <c r="F3936" s="176"/>
      <c r="G3936" s="176"/>
      <c r="H3936" s="176"/>
      <c r="I3936" s="172"/>
      <c r="J3936" s="173"/>
    </row>
    <row r="3937" spans="1:10" x14ac:dyDescent="0.25">
      <c r="A3937" s="106"/>
      <c r="B3937" s="107"/>
      <c r="D3937" s="151"/>
      <c r="E3937" s="142"/>
      <c r="F3937" s="176"/>
      <c r="G3937" s="176"/>
      <c r="H3937" s="176"/>
      <c r="I3937" s="172"/>
      <c r="J3937" s="173"/>
    </row>
    <row r="3938" spans="1:10" x14ac:dyDescent="0.25">
      <c r="A3938" s="106"/>
      <c r="B3938" s="107"/>
      <c r="D3938" s="151"/>
      <c r="E3938" s="142"/>
      <c r="F3938" s="176"/>
      <c r="G3938" s="176"/>
      <c r="H3938" s="176"/>
      <c r="I3938" s="172"/>
      <c r="J3938" s="173"/>
    </row>
    <row r="3939" spans="1:10" x14ac:dyDescent="0.25">
      <c r="A3939" s="106"/>
      <c r="B3939" s="107"/>
      <c r="D3939" s="151"/>
      <c r="E3939" s="142"/>
      <c r="F3939" s="176"/>
      <c r="G3939" s="176"/>
      <c r="H3939" s="176"/>
      <c r="I3939" s="172"/>
      <c r="J3939" s="173"/>
    </row>
    <row r="3940" spans="1:10" x14ac:dyDescent="0.25">
      <c r="A3940" s="106"/>
      <c r="B3940" s="107"/>
      <c r="D3940" s="151"/>
      <c r="E3940" s="142"/>
      <c r="F3940" s="176"/>
      <c r="G3940" s="176"/>
      <c r="H3940" s="176"/>
      <c r="I3940" s="172"/>
      <c r="J3940" s="173"/>
    </row>
    <row r="3941" spans="1:10" x14ac:dyDescent="0.25">
      <c r="A3941" s="106"/>
      <c r="B3941" s="107"/>
      <c r="D3941" s="151"/>
      <c r="E3941" s="142"/>
      <c r="F3941" s="176"/>
      <c r="G3941" s="176"/>
      <c r="H3941" s="176"/>
      <c r="I3941" s="172"/>
      <c r="J3941" s="173"/>
    </row>
    <row r="3942" spans="1:10" x14ac:dyDescent="0.25">
      <c r="A3942" s="106"/>
      <c r="B3942" s="107"/>
      <c r="D3942" s="151"/>
      <c r="E3942" s="142"/>
      <c r="F3942" s="176"/>
      <c r="G3942" s="176"/>
      <c r="H3942" s="176"/>
      <c r="I3942" s="172"/>
      <c r="J3942" s="173"/>
    </row>
    <row r="3943" spans="1:10" x14ac:dyDescent="0.25">
      <c r="A3943" s="106"/>
      <c r="B3943" s="107"/>
      <c r="D3943" s="151"/>
      <c r="E3943" s="142"/>
      <c r="F3943" s="176"/>
      <c r="G3943" s="176"/>
      <c r="H3943" s="176"/>
      <c r="I3943" s="172"/>
      <c r="J3943" s="173"/>
    </row>
    <row r="3944" spans="1:10" x14ac:dyDescent="0.25">
      <c r="A3944" s="106"/>
      <c r="B3944" s="107"/>
      <c r="D3944" s="151"/>
      <c r="E3944" s="142"/>
      <c r="F3944" s="176"/>
      <c r="G3944" s="176"/>
      <c r="H3944" s="176"/>
      <c r="I3944" s="172"/>
      <c r="J3944" s="173"/>
    </row>
    <row r="3945" spans="1:10" x14ac:dyDescent="0.25">
      <c r="A3945" s="106"/>
      <c r="B3945" s="107"/>
      <c r="D3945" s="151"/>
      <c r="E3945" s="142"/>
      <c r="F3945" s="176"/>
      <c r="G3945" s="176"/>
      <c r="H3945" s="176"/>
      <c r="I3945" s="172"/>
      <c r="J3945" s="173"/>
    </row>
    <row r="3946" spans="1:10" x14ac:dyDescent="0.25">
      <c r="A3946" s="106"/>
      <c r="B3946" s="107"/>
      <c r="D3946" s="151"/>
      <c r="E3946" s="142"/>
      <c r="F3946" s="176"/>
      <c r="G3946" s="176"/>
      <c r="H3946" s="176"/>
      <c r="I3946" s="172"/>
      <c r="J3946" s="173"/>
    </row>
    <row r="3947" spans="1:10" x14ac:dyDescent="0.25">
      <c r="A3947" s="106"/>
      <c r="B3947" s="107"/>
      <c r="D3947" s="151"/>
      <c r="E3947" s="142"/>
      <c r="F3947" s="176"/>
      <c r="G3947" s="176"/>
      <c r="H3947" s="176"/>
      <c r="I3947" s="172"/>
      <c r="J3947" s="173"/>
    </row>
    <row r="3948" spans="1:10" x14ac:dyDescent="0.25">
      <c r="A3948" s="106"/>
      <c r="B3948" s="107"/>
      <c r="D3948" s="151"/>
      <c r="E3948" s="142"/>
      <c r="F3948" s="176"/>
      <c r="G3948" s="176"/>
      <c r="H3948" s="176"/>
      <c r="I3948" s="172"/>
      <c r="J3948" s="173"/>
    </row>
    <row r="3949" spans="1:10" x14ac:dyDescent="0.25">
      <c r="A3949" s="106"/>
      <c r="B3949" s="107"/>
      <c r="D3949" s="151"/>
      <c r="E3949" s="142"/>
      <c r="F3949" s="176"/>
      <c r="G3949" s="176"/>
      <c r="H3949" s="176"/>
      <c r="I3949" s="172"/>
      <c r="J3949" s="173"/>
    </row>
    <row r="3950" spans="1:10" x14ac:dyDescent="0.25">
      <c r="A3950" s="106"/>
      <c r="B3950" s="107"/>
      <c r="D3950" s="151"/>
      <c r="E3950" s="142"/>
      <c r="F3950" s="176"/>
      <c r="G3950" s="176"/>
      <c r="H3950" s="176"/>
      <c r="I3950" s="172"/>
      <c r="J3950" s="173"/>
    </row>
    <row r="3951" spans="1:10" x14ac:dyDescent="0.25">
      <c r="A3951" s="106"/>
      <c r="B3951" s="107"/>
      <c r="D3951" s="151"/>
      <c r="E3951" s="142"/>
      <c r="F3951" s="176"/>
      <c r="G3951" s="176"/>
      <c r="H3951" s="176"/>
      <c r="I3951" s="172"/>
      <c r="J3951" s="173"/>
    </row>
    <row r="3952" spans="1:10" x14ac:dyDescent="0.25">
      <c r="A3952" s="106"/>
      <c r="B3952" s="107"/>
      <c r="D3952" s="151"/>
      <c r="E3952" s="142"/>
      <c r="F3952" s="176"/>
      <c r="G3952" s="176"/>
      <c r="H3952" s="176"/>
      <c r="I3952" s="172"/>
      <c r="J3952" s="173"/>
    </row>
    <row r="3953" spans="1:10" x14ac:dyDescent="0.25">
      <c r="A3953" s="106"/>
      <c r="B3953" s="107"/>
      <c r="D3953" s="151"/>
      <c r="E3953" s="142"/>
      <c r="F3953" s="176"/>
      <c r="G3953" s="176"/>
      <c r="H3953" s="176"/>
      <c r="I3953" s="172"/>
      <c r="J3953" s="173"/>
    </row>
    <row r="3954" spans="1:10" x14ac:dyDescent="0.25">
      <c r="A3954" s="106"/>
      <c r="B3954" s="107"/>
      <c r="D3954" s="151"/>
      <c r="E3954" s="142"/>
      <c r="F3954" s="176"/>
      <c r="G3954" s="176"/>
      <c r="H3954" s="176"/>
      <c r="I3954" s="172"/>
      <c r="J3954" s="173"/>
    </row>
    <row r="3955" spans="1:10" x14ac:dyDescent="0.25">
      <c r="A3955" s="106"/>
      <c r="B3955" s="107"/>
      <c r="D3955" s="151"/>
      <c r="E3955" s="142"/>
      <c r="F3955" s="176"/>
      <c r="G3955" s="176"/>
      <c r="H3955" s="176"/>
      <c r="I3955" s="172"/>
      <c r="J3955" s="173"/>
    </row>
    <row r="3956" spans="1:10" x14ac:dyDescent="0.25">
      <c r="A3956" s="106"/>
      <c r="B3956" s="107"/>
      <c r="D3956" s="151"/>
      <c r="E3956" s="142"/>
      <c r="F3956" s="176"/>
      <c r="G3956" s="176"/>
      <c r="H3956" s="176"/>
      <c r="I3956" s="172"/>
      <c r="J3956" s="173"/>
    </row>
    <row r="3957" spans="1:10" x14ac:dyDescent="0.25">
      <c r="A3957" s="106"/>
      <c r="B3957" s="107"/>
      <c r="D3957" s="151"/>
      <c r="E3957" s="142"/>
      <c r="F3957" s="176"/>
      <c r="G3957" s="176"/>
      <c r="H3957" s="176"/>
      <c r="I3957" s="172"/>
      <c r="J3957" s="173"/>
    </row>
    <row r="3958" spans="1:10" x14ac:dyDescent="0.25">
      <c r="A3958" s="106"/>
      <c r="B3958" s="107"/>
      <c r="D3958" s="151"/>
      <c r="E3958" s="142"/>
      <c r="F3958" s="176"/>
      <c r="G3958" s="176"/>
      <c r="H3958" s="176"/>
      <c r="I3958" s="172"/>
      <c r="J3958" s="173"/>
    </row>
    <row r="3959" spans="1:10" x14ac:dyDescent="0.25">
      <c r="A3959" s="106"/>
      <c r="B3959" s="107"/>
      <c r="D3959" s="151"/>
      <c r="E3959" s="142"/>
      <c r="F3959" s="176"/>
      <c r="G3959" s="176"/>
      <c r="H3959" s="176"/>
      <c r="I3959" s="172"/>
      <c r="J3959" s="173"/>
    </row>
    <row r="3960" spans="1:10" x14ac:dyDescent="0.25">
      <c r="A3960" s="106"/>
      <c r="B3960" s="107"/>
      <c r="D3960" s="151"/>
      <c r="E3960" s="142"/>
      <c r="F3960" s="176"/>
      <c r="G3960" s="176"/>
      <c r="H3960" s="176"/>
      <c r="I3960" s="172"/>
      <c r="J3960" s="173"/>
    </row>
    <row r="3961" spans="1:10" x14ac:dyDescent="0.25">
      <c r="A3961" s="106"/>
      <c r="B3961" s="107"/>
      <c r="D3961" s="151"/>
      <c r="E3961" s="142"/>
      <c r="F3961" s="176"/>
      <c r="G3961" s="176"/>
      <c r="H3961" s="176"/>
      <c r="I3961" s="172"/>
      <c r="J3961" s="173"/>
    </row>
    <row r="3962" spans="1:10" x14ac:dyDescent="0.25">
      <c r="A3962" s="106"/>
      <c r="B3962" s="107"/>
      <c r="D3962" s="151"/>
      <c r="E3962" s="142"/>
      <c r="F3962" s="176"/>
      <c r="G3962" s="176"/>
      <c r="H3962" s="176"/>
      <c r="I3962" s="172"/>
      <c r="J3962" s="173"/>
    </row>
    <row r="3963" spans="1:10" x14ac:dyDescent="0.25">
      <c r="A3963" s="106"/>
      <c r="B3963" s="107"/>
      <c r="D3963" s="151"/>
      <c r="E3963" s="142"/>
      <c r="F3963" s="176"/>
      <c r="G3963" s="176"/>
      <c r="H3963" s="176"/>
      <c r="I3963" s="172"/>
      <c r="J3963" s="173"/>
    </row>
    <row r="3964" spans="1:10" x14ac:dyDescent="0.25">
      <c r="A3964" s="106"/>
      <c r="B3964" s="107"/>
      <c r="D3964" s="151"/>
      <c r="E3964" s="142"/>
      <c r="F3964" s="176"/>
      <c r="G3964" s="176"/>
      <c r="H3964" s="176"/>
      <c r="I3964" s="172"/>
      <c r="J3964" s="173"/>
    </row>
    <row r="3965" spans="1:10" x14ac:dyDescent="0.25">
      <c r="A3965" s="106"/>
      <c r="B3965" s="107"/>
      <c r="D3965" s="151"/>
      <c r="E3965" s="142"/>
      <c r="F3965" s="176"/>
      <c r="G3965" s="176"/>
      <c r="H3965" s="176"/>
      <c r="I3965" s="172"/>
      <c r="J3965" s="173"/>
    </row>
    <row r="3966" spans="1:10" x14ac:dyDescent="0.25">
      <c r="A3966" s="106"/>
      <c r="B3966" s="107"/>
      <c r="D3966" s="151"/>
      <c r="E3966" s="142"/>
      <c r="F3966" s="176"/>
      <c r="G3966" s="176"/>
      <c r="H3966" s="176"/>
      <c r="I3966" s="172"/>
      <c r="J3966" s="173"/>
    </row>
    <row r="3967" spans="1:10" x14ac:dyDescent="0.25">
      <c r="A3967" s="106"/>
      <c r="B3967" s="107"/>
      <c r="D3967" s="151"/>
      <c r="E3967" s="142"/>
      <c r="F3967" s="176"/>
      <c r="G3967" s="176"/>
      <c r="H3967" s="176"/>
      <c r="I3967" s="172"/>
      <c r="J3967" s="173"/>
    </row>
    <row r="3968" spans="1:10" x14ac:dyDescent="0.25">
      <c r="A3968" s="106"/>
      <c r="B3968" s="107"/>
      <c r="D3968" s="151"/>
      <c r="E3968" s="142"/>
      <c r="F3968" s="176"/>
      <c r="G3968" s="176"/>
      <c r="H3968" s="176"/>
      <c r="I3968" s="172"/>
      <c r="J3968" s="173"/>
    </row>
    <row r="3969" spans="1:10" x14ac:dyDescent="0.25">
      <c r="A3969" s="106"/>
      <c r="B3969" s="107"/>
      <c r="D3969" s="151"/>
      <c r="E3969" s="142"/>
      <c r="F3969" s="176"/>
      <c r="G3969" s="176"/>
      <c r="H3969" s="176"/>
      <c r="I3969" s="172"/>
      <c r="J3969" s="173"/>
    </row>
    <row r="3970" spans="1:10" x14ac:dyDescent="0.25">
      <c r="A3970" s="106"/>
      <c r="B3970" s="107"/>
      <c r="D3970" s="151"/>
      <c r="E3970" s="142"/>
      <c r="F3970" s="176"/>
      <c r="G3970" s="176"/>
      <c r="H3970" s="176"/>
      <c r="I3970" s="172"/>
      <c r="J3970" s="173"/>
    </row>
    <row r="3971" spans="1:10" x14ac:dyDescent="0.25">
      <c r="A3971" s="106"/>
      <c r="B3971" s="107"/>
      <c r="D3971" s="151"/>
      <c r="E3971" s="142"/>
      <c r="F3971" s="176"/>
      <c r="G3971" s="176"/>
      <c r="H3971" s="176"/>
      <c r="I3971" s="172"/>
      <c r="J3971" s="173"/>
    </row>
    <row r="3972" spans="1:10" x14ac:dyDescent="0.25">
      <c r="A3972" s="106"/>
      <c r="B3972" s="107"/>
      <c r="D3972" s="151"/>
      <c r="E3972" s="142"/>
      <c r="F3972" s="176"/>
      <c r="G3972" s="176"/>
      <c r="H3972" s="176"/>
      <c r="I3972" s="172"/>
      <c r="J3972" s="173"/>
    </row>
    <row r="3973" spans="1:10" x14ac:dyDescent="0.25">
      <c r="A3973" s="106"/>
      <c r="B3973" s="107"/>
      <c r="D3973" s="151"/>
      <c r="E3973" s="142"/>
      <c r="F3973" s="176"/>
      <c r="G3973" s="176"/>
      <c r="H3973" s="176"/>
      <c r="I3973" s="172"/>
      <c r="J3973" s="173"/>
    </row>
    <row r="3974" spans="1:10" x14ac:dyDescent="0.25">
      <c r="A3974" s="106"/>
      <c r="B3974" s="107"/>
      <c r="D3974" s="151"/>
      <c r="E3974" s="142"/>
      <c r="F3974" s="176"/>
      <c r="G3974" s="176"/>
      <c r="H3974" s="176"/>
      <c r="I3974" s="172"/>
      <c r="J3974" s="173"/>
    </row>
    <row r="3975" spans="1:10" x14ac:dyDescent="0.25">
      <c r="A3975" s="106"/>
      <c r="B3975" s="107"/>
      <c r="D3975" s="151"/>
      <c r="E3975" s="142"/>
      <c r="F3975" s="176"/>
      <c r="G3975" s="176"/>
      <c r="H3975" s="176"/>
      <c r="I3975" s="172"/>
      <c r="J3975" s="173"/>
    </row>
    <row r="3976" spans="1:10" x14ac:dyDescent="0.25">
      <c r="A3976" s="106"/>
      <c r="B3976" s="107"/>
      <c r="D3976" s="151"/>
      <c r="E3976" s="142"/>
      <c r="F3976" s="176"/>
      <c r="G3976" s="176"/>
      <c r="H3976" s="176"/>
      <c r="I3976" s="172"/>
      <c r="J3976" s="173"/>
    </row>
    <row r="3977" spans="1:10" x14ac:dyDescent="0.25">
      <c r="A3977" s="106"/>
      <c r="B3977" s="107"/>
      <c r="D3977" s="151"/>
      <c r="E3977" s="142"/>
      <c r="F3977" s="176"/>
      <c r="G3977" s="176"/>
      <c r="H3977" s="176"/>
      <c r="I3977" s="172"/>
      <c r="J3977" s="173"/>
    </row>
    <row r="3978" spans="1:10" x14ac:dyDescent="0.25">
      <c r="A3978" s="106"/>
      <c r="B3978" s="107"/>
      <c r="D3978" s="151"/>
      <c r="E3978" s="142"/>
      <c r="F3978" s="176"/>
      <c r="G3978" s="176"/>
      <c r="H3978" s="176"/>
      <c r="I3978" s="172"/>
      <c r="J3978" s="173"/>
    </row>
    <row r="3979" spans="1:10" x14ac:dyDescent="0.25">
      <c r="A3979" s="106"/>
      <c r="B3979" s="107"/>
      <c r="D3979" s="151"/>
      <c r="E3979" s="142"/>
      <c r="F3979" s="176"/>
      <c r="G3979" s="176"/>
      <c r="H3979" s="176"/>
      <c r="I3979" s="172"/>
      <c r="J3979" s="173"/>
    </row>
    <row r="3980" spans="1:10" x14ac:dyDescent="0.25">
      <c r="A3980" s="106"/>
      <c r="B3980" s="107"/>
      <c r="D3980" s="151"/>
      <c r="E3980" s="142"/>
      <c r="F3980" s="176"/>
      <c r="G3980" s="176"/>
      <c r="H3980" s="176"/>
      <c r="I3980" s="172"/>
      <c r="J3980" s="173"/>
    </row>
    <row r="3981" spans="1:10" x14ac:dyDescent="0.25">
      <c r="A3981" s="106"/>
      <c r="B3981" s="107"/>
      <c r="D3981" s="151"/>
      <c r="E3981" s="142"/>
      <c r="F3981" s="176"/>
      <c r="G3981" s="176"/>
      <c r="H3981" s="176"/>
      <c r="I3981" s="172"/>
      <c r="J3981" s="173"/>
    </row>
    <row r="3982" spans="1:10" x14ac:dyDescent="0.25">
      <c r="A3982" s="106"/>
      <c r="B3982" s="107"/>
      <c r="D3982" s="151"/>
      <c r="E3982" s="142"/>
      <c r="F3982" s="176"/>
      <c r="G3982" s="176"/>
      <c r="H3982" s="176"/>
      <c r="I3982" s="172"/>
      <c r="J3982" s="173"/>
    </row>
    <row r="3983" spans="1:10" x14ac:dyDescent="0.25">
      <c r="A3983" s="106"/>
      <c r="B3983" s="107"/>
      <c r="D3983" s="151"/>
      <c r="E3983" s="142"/>
      <c r="F3983" s="176"/>
      <c r="G3983" s="176"/>
      <c r="H3983" s="176"/>
      <c r="I3983" s="172"/>
      <c r="J3983" s="173"/>
    </row>
    <row r="3984" spans="1:10" x14ac:dyDescent="0.25">
      <c r="A3984" s="106"/>
      <c r="B3984" s="107"/>
      <c r="D3984" s="151"/>
      <c r="E3984" s="142"/>
      <c r="F3984" s="176"/>
      <c r="G3984" s="176"/>
      <c r="H3984" s="176"/>
      <c r="I3984" s="172"/>
      <c r="J3984" s="173"/>
    </row>
    <row r="3985" spans="1:10" x14ac:dyDescent="0.25">
      <c r="A3985" s="106"/>
      <c r="B3985" s="107"/>
      <c r="D3985" s="151"/>
      <c r="E3985" s="142"/>
      <c r="F3985" s="176"/>
      <c r="G3985" s="176"/>
      <c r="H3985" s="176"/>
      <c r="I3985" s="172"/>
      <c r="J3985" s="173"/>
    </row>
    <row r="3986" spans="1:10" x14ac:dyDescent="0.25">
      <c r="A3986" s="106"/>
      <c r="B3986" s="107"/>
      <c r="D3986" s="151"/>
      <c r="E3986" s="142"/>
      <c r="F3986" s="176"/>
      <c r="G3986" s="176"/>
      <c r="H3986" s="176"/>
      <c r="I3986" s="172"/>
      <c r="J3986" s="173"/>
    </row>
    <row r="3987" spans="1:10" x14ac:dyDescent="0.25">
      <c r="A3987" s="106"/>
      <c r="B3987" s="107"/>
      <c r="D3987" s="151"/>
      <c r="E3987" s="142"/>
      <c r="F3987" s="176"/>
      <c r="G3987" s="176"/>
      <c r="H3987" s="176"/>
      <c r="I3987" s="172"/>
      <c r="J3987" s="173"/>
    </row>
    <row r="3988" spans="1:10" x14ac:dyDescent="0.25">
      <c r="A3988" s="106"/>
      <c r="B3988" s="107"/>
      <c r="D3988" s="151"/>
      <c r="E3988" s="142"/>
      <c r="F3988" s="176"/>
      <c r="G3988" s="176"/>
      <c r="H3988" s="176"/>
      <c r="I3988" s="172"/>
      <c r="J3988" s="173"/>
    </row>
    <row r="3989" spans="1:10" x14ac:dyDescent="0.25">
      <c r="A3989" s="106"/>
      <c r="B3989" s="107"/>
      <c r="D3989" s="151"/>
      <c r="E3989" s="142"/>
      <c r="F3989" s="176"/>
      <c r="G3989" s="176"/>
      <c r="H3989" s="176"/>
      <c r="I3989" s="172"/>
      <c r="J3989" s="173"/>
    </row>
    <row r="3990" spans="1:10" x14ac:dyDescent="0.25">
      <c r="A3990" s="106"/>
      <c r="B3990" s="107"/>
      <c r="D3990" s="151"/>
      <c r="E3990" s="142"/>
      <c r="F3990" s="176"/>
      <c r="G3990" s="176"/>
      <c r="H3990" s="176"/>
      <c r="I3990" s="172"/>
      <c r="J3990" s="173"/>
    </row>
    <row r="3991" spans="1:10" x14ac:dyDescent="0.25">
      <c r="A3991" s="106"/>
      <c r="B3991" s="107"/>
      <c r="D3991" s="151"/>
      <c r="E3991" s="142"/>
      <c r="F3991" s="176"/>
      <c r="G3991" s="176"/>
      <c r="H3991" s="176"/>
      <c r="I3991" s="172"/>
      <c r="J3991" s="173"/>
    </row>
    <row r="3992" spans="1:10" x14ac:dyDescent="0.25">
      <c r="A3992" s="106"/>
      <c r="B3992" s="107"/>
      <c r="D3992" s="151"/>
      <c r="E3992" s="142"/>
      <c r="F3992" s="176"/>
      <c r="G3992" s="176"/>
      <c r="H3992" s="176"/>
      <c r="I3992" s="172"/>
      <c r="J3992" s="173"/>
    </row>
    <row r="3993" spans="1:10" x14ac:dyDescent="0.25">
      <c r="A3993" s="106"/>
      <c r="B3993" s="107"/>
      <c r="D3993" s="151"/>
      <c r="E3993" s="142"/>
      <c r="F3993" s="176"/>
      <c r="G3993" s="176"/>
      <c r="H3993" s="176"/>
      <c r="I3993" s="172"/>
      <c r="J3993" s="173"/>
    </row>
    <row r="3994" spans="1:10" x14ac:dyDescent="0.25">
      <c r="A3994" s="106"/>
      <c r="B3994" s="107"/>
      <c r="D3994" s="151"/>
      <c r="E3994" s="142"/>
      <c r="F3994" s="176"/>
      <c r="G3994" s="176"/>
      <c r="H3994" s="176"/>
      <c r="I3994" s="172"/>
      <c r="J3994" s="173"/>
    </row>
    <row r="3995" spans="1:10" x14ac:dyDescent="0.25">
      <c r="A3995" s="106"/>
      <c r="B3995" s="107"/>
      <c r="D3995" s="151"/>
      <c r="E3995" s="142"/>
      <c r="F3995" s="176"/>
      <c r="G3995" s="176"/>
      <c r="H3995" s="176"/>
      <c r="I3995" s="172"/>
      <c r="J3995" s="173"/>
    </row>
    <row r="3996" spans="1:10" x14ac:dyDescent="0.25">
      <c r="A3996" s="106"/>
      <c r="B3996" s="107"/>
      <c r="D3996" s="151"/>
      <c r="E3996" s="142"/>
      <c r="F3996" s="176"/>
      <c r="G3996" s="176"/>
      <c r="H3996" s="176"/>
      <c r="I3996" s="172"/>
      <c r="J3996" s="173"/>
    </row>
    <row r="3997" spans="1:10" x14ac:dyDescent="0.25">
      <c r="A3997" s="106"/>
      <c r="B3997" s="107"/>
      <c r="D3997" s="151"/>
      <c r="E3997" s="142"/>
      <c r="F3997" s="176"/>
      <c r="G3997" s="176"/>
      <c r="H3997" s="176"/>
      <c r="I3997" s="172"/>
      <c r="J3997" s="173"/>
    </row>
    <row r="3998" spans="1:10" x14ac:dyDescent="0.25">
      <c r="A3998" s="106"/>
      <c r="B3998" s="107"/>
      <c r="D3998" s="151"/>
      <c r="E3998" s="142"/>
      <c r="F3998" s="176"/>
      <c r="G3998" s="176"/>
      <c r="H3998" s="176"/>
      <c r="I3998" s="172"/>
      <c r="J3998" s="173"/>
    </row>
    <row r="3999" spans="1:10" x14ac:dyDescent="0.25">
      <c r="A3999" s="106"/>
      <c r="B3999" s="107"/>
      <c r="D3999" s="151"/>
      <c r="E3999" s="142"/>
      <c r="F3999" s="176"/>
      <c r="G3999" s="176"/>
      <c r="H3999" s="176"/>
      <c r="I3999" s="172"/>
      <c r="J3999" s="173"/>
    </row>
    <row r="4000" spans="1:10" x14ac:dyDescent="0.25">
      <c r="A4000" s="106"/>
      <c r="B4000" s="107"/>
      <c r="D4000" s="151"/>
      <c r="E4000" s="142"/>
      <c r="F4000" s="176"/>
      <c r="G4000" s="176"/>
      <c r="H4000" s="176"/>
      <c r="I4000" s="172"/>
      <c r="J4000" s="173"/>
    </row>
    <row r="4001" spans="1:10" x14ac:dyDescent="0.25">
      <c r="A4001" s="106"/>
      <c r="B4001" s="107"/>
      <c r="D4001" s="151"/>
      <c r="E4001" s="142"/>
      <c r="F4001" s="176"/>
      <c r="G4001" s="176"/>
      <c r="H4001" s="176"/>
      <c r="I4001" s="172"/>
      <c r="J4001" s="173"/>
    </row>
    <row r="4002" spans="1:10" x14ac:dyDescent="0.25">
      <c r="A4002" s="106"/>
      <c r="B4002" s="107"/>
      <c r="D4002" s="151"/>
      <c r="E4002" s="142"/>
      <c r="F4002" s="176"/>
      <c r="G4002" s="176"/>
      <c r="H4002" s="176"/>
      <c r="I4002" s="172"/>
      <c r="J4002" s="173"/>
    </row>
    <row r="4003" spans="1:10" x14ac:dyDescent="0.25">
      <c r="A4003" s="106"/>
      <c r="B4003" s="107"/>
      <c r="D4003" s="151"/>
      <c r="E4003" s="142"/>
      <c r="F4003" s="176"/>
      <c r="G4003" s="176"/>
      <c r="H4003" s="176"/>
      <c r="I4003" s="172"/>
      <c r="J4003" s="173"/>
    </row>
    <row r="4004" spans="1:10" x14ac:dyDescent="0.25">
      <c r="A4004" s="106"/>
      <c r="B4004" s="107"/>
      <c r="D4004" s="151"/>
      <c r="E4004" s="142"/>
      <c r="F4004" s="176"/>
      <c r="G4004" s="176"/>
      <c r="H4004" s="176"/>
      <c r="I4004" s="172"/>
      <c r="J4004" s="173"/>
    </row>
    <row r="4005" spans="1:10" x14ac:dyDescent="0.25">
      <c r="A4005" s="106"/>
      <c r="B4005" s="107"/>
      <c r="D4005" s="151"/>
      <c r="E4005" s="142"/>
      <c r="F4005" s="176"/>
      <c r="G4005" s="176"/>
      <c r="H4005" s="176"/>
      <c r="I4005" s="172"/>
      <c r="J4005" s="173"/>
    </row>
    <row r="4006" spans="1:10" x14ac:dyDescent="0.25">
      <c r="A4006" s="106"/>
      <c r="B4006" s="107"/>
      <c r="D4006" s="151"/>
      <c r="E4006" s="142"/>
      <c r="F4006" s="176"/>
      <c r="G4006" s="176"/>
      <c r="H4006" s="176"/>
      <c r="I4006" s="172"/>
      <c r="J4006" s="173"/>
    </row>
    <row r="4007" spans="1:10" x14ac:dyDescent="0.25">
      <c r="A4007" s="106"/>
      <c r="B4007" s="107"/>
      <c r="D4007" s="151"/>
      <c r="E4007" s="142"/>
      <c r="F4007" s="176"/>
      <c r="G4007" s="176"/>
      <c r="H4007" s="176"/>
      <c r="I4007" s="172"/>
      <c r="J4007" s="173"/>
    </row>
    <row r="4008" spans="1:10" x14ac:dyDescent="0.25">
      <c r="A4008" s="106"/>
      <c r="B4008" s="107"/>
      <c r="D4008" s="151"/>
      <c r="E4008" s="142"/>
      <c r="F4008" s="176"/>
      <c r="G4008" s="176"/>
      <c r="H4008" s="176"/>
      <c r="I4008" s="172"/>
      <c r="J4008" s="173"/>
    </row>
    <row r="4009" spans="1:10" x14ac:dyDescent="0.25">
      <c r="A4009" s="106"/>
      <c r="B4009" s="107"/>
      <c r="D4009" s="151"/>
      <c r="E4009" s="142"/>
      <c r="F4009" s="176"/>
      <c r="G4009" s="176"/>
      <c r="H4009" s="176"/>
      <c r="I4009" s="172"/>
      <c r="J4009" s="173"/>
    </row>
    <row r="4010" spans="1:10" x14ac:dyDescent="0.25">
      <c r="A4010" s="106"/>
      <c r="B4010" s="107"/>
      <c r="D4010" s="151"/>
      <c r="E4010" s="142"/>
      <c r="F4010" s="176"/>
      <c r="G4010" s="176"/>
      <c r="H4010" s="176"/>
      <c r="I4010" s="172"/>
      <c r="J4010" s="173"/>
    </row>
    <row r="4011" spans="1:10" x14ac:dyDescent="0.25">
      <c r="A4011" s="106"/>
      <c r="B4011" s="107"/>
      <c r="D4011" s="151"/>
      <c r="E4011" s="142"/>
      <c r="F4011" s="176"/>
      <c r="G4011" s="176"/>
      <c r="H4011" s="176"/>
      <c r="I4011" s="172"/>
      <c r="J4011" s="173"/>
    </row>
    <row r="4012" spans="1:10" x14ac:dyDescent="0.25">
      <c r="A4012" s="106"/>
      <c r="B4012" s="107"/>
      <c r="D4012" s="151"/>
      <c r="E4012" s="142"/>
      <c r="F4012" s="176"/>
      <c r="G4012" s="176"/>
      <c r="H4012" s="176"/>
      <c r="I4012" s="172"/>
      <c r="J4012" s="173"/>
    </row>
    <row r="4013" spans="1:10" x14ac:dyDescent="0.25">
      <c r="A4013" s="106"/>
      <c r="B4013" s="107"/>
      <c r="D4013" s="151"/>
      <c r="E4013" s="142"/>
      <c r="F4013" s="176"/>
      <c r="G4013" s="176"/>
      <c r="H4013" s="176"/>
      <c r="I4013" s="172"/>
      <c r="J4013" s="173"/>
    </row>
    <row r="4014" spans="1:10" x14ac:dyDescent="0.25">
      <c r="A4014" s="106"/>
      <c r="B4014" s="107"/>
      <c r="D4014" s="151"/>
      <c r="E4014" s="142"/>
      <c r="F4014" s="176"/>
      <c r="G4014" s="176"/>
      <c r="H4014" s="176"/>
      <c r="I4014" s="172"/>
      <c r="J4014" s="173"/>
    </row>
    <row r="4015" spans="1:10" x14ac:dyDescent="0.25">
      <c r="A4015" s="106"/>
      <c r="B4015" s="107"/>
      <c r="D4015" s="151"/>
      <c r="E4015" s="142"/>
      <c r="F4015" s="176"/>
      <c r="G4015" s="176"/>
      <c r="H4015" s="176"/>
      <c r="I4015" s="172"/>
      <c r="J4015" s="173"/>
    </row>
    <row r="4016" spans="1:10" x14ac:dyDescent="0.25">
      <c r="A4016" s="106"/>
      <c r="B4016" s="107"/>
      <c r="D4016" s="151"/>
      <c r="E4016" s="142"/>
      <c r="F4016" s="176"/>
      <c r="G4016" s="176"/>
      <c r="H4016" s="176"/>
      <c r="I4016" s="172"/>
      <c r="J4016" s="173"/>
    </row>
    <row r="4017" spans="1:10" x14ac:dyDescent="0.25">
      <c r="A4017" s="106"/>
      <c r="B4017" s="107"/>
      <c r="D4017" s="151"/>
      <c r="E4017" s="142"/>
      <c r="F4017" s="176"/>
      <c r="G4017" s="176"/>
      <c r="H4017" s="176"/>
      <c r="I4017" s="172"/>
      <c r="J4017" s="173"/>
    </row>
    <row r="4018" spans="1:10" x14ac:dyDescent="0.25">
      <c r="A4018" s="106"/>
      <c r="B4018" s="107"/>
      <c r="D4018" s="151"/>
      <c r="E4018" s="142"/>
      <c r="F4018" s="176"/>
      <c r="G4018" s="176"/>
      <c r="H4018" s="176"/>
      <c r="I4018" s="172"/>
      <c r="J4018" s="173"/>
    </row>
    <row r="4019" spans="1:10" x14ac:dyDescent="0.25">
      <c r="A4019" s="106"/>
      <c r="B4019" s="107"/>
      <c r="D4019" s="151"/>
      <c r="E4019" s="142"/>
      <c r="F4019" s="176"/>
      <c r="G4019" s="176"/>
      <c r="H4019" s="176"/>
      <c r="I4019" s="172"/>
      <c r="J4019" s="173"/>
    </row>
    <row r="4020" spans="1:10" x14ac:dyDescent="0.25">
      <c r="A4020" s="106"/>
      <c r="B4020" s="107"/>
      <c r="D4020" s="151"/>
      <c r="E4020" s="142"/>
      <c r="F4020" s="176"/>
      <c r="G4020" s="176"/>
      <c r="H4020" s="176"/>
      <c r="I4020" s="172"/>
      <c r="J4020" s="173"/>
    </row>
    <row r="4021" spans="1:10" x14ac:dyDescent="0.25">
      <c r="A4021" s="106"/>
      <c r="B4021" s="107"/>
      <c r="D4021" s="151"/>
      <c r="E4021" s="142"/>
      <c r="F4021" s="176"/>
      <c r="G4021" s="176"/>
      <c r="H4021" s="176"/>
      <c r="I4021" s="172"/>
      <c r="J4021" s="173"/>
    </row>
    <row r="4022" spans="1:10" x14ac:dyDescent="0.25">
      <c r="A4022" s="106"/>
      <c r="B4022" s="107"/>
      <c r="D4022" s="151"/>
      <c r="E4022" s="142"/>
      <c r="F4022" s="176"/>
      <c r="G4022" s="176"/>
      <c r="H4022" s="176"/>
      <c r="I4022" s="172"/>
      <c r="J4022" s="173"/>
    </row>
    <row r="4023" spans="1:10" x14ac:dyDescent="0.25">
      <c r="A4023" s="106"/>
      <c r="B4023" s="107"/>
      <c r="D4023" s="151"/>
      <c r="E4023" s="142"/>
      <c r="F4023" s="176"/>
      <c r="G4023" s="176"/>
      <c r="H4023" s="176"/>
      <c r="I4023" s="172"/>
      <c r="J4023" s="173"/>
    </row>
    <row r="4024" spans="1:10" x14ac:dyDescent="0.25">
      <c r="A4024" s="106"/>
      <c r="B4024" s="107"/>
      <c r="D4024" s="151"/>
      <c r="E4024" s="142"/>
      <c r="F4024" s="176"/>
      <c r="G4024" s="176"/>
      <c r="H4024" s="176"/>
      <c r="I4024" s="172"/>
      <c r="J4024" s="173"/>
    </row>
    <row r="4025" spans="1:10" x14ac:dyDescent="0.25">
      <c r="A4025" s="106"/>
      <c r="B4025" s="107"/>
      <c r="D4025" s="151"/>
      <c r="E4025" s="142"/>
      <c r="F4025" s="176"/>
      <c r="G4025" s="176"/>
      <c r="H4025" s="176"/>
      <c r="I4025" s="172"/>
      <c r="J4025" s="173"/>
    </row>
    <row r="4026" spans="1:10" x14ac:dyDescent="0.25">
      <c r="A4026" s="106"/>
      <c r="B4026" s="107"/>
      <c r="D4026" s="151"/>
      <c r="E4026" s="142"/>
      <c r="F4026" s="176"/>
      <c r="G4026" s="176"/>
      <c r="H4026" s="176"/>
      <c r="I4026" s="172"/>
      <c r="J4026" s="173"/>
    </row>
    <row r="4027" spans="1:10" x14ac:dyDescent="0.25">
      <c r="A4027" s="106"/>
      <c r="B4027" s="107"/>
      <c r="D4027" s="151"/>
      <c r="E4027" s="142"/>
      <c r="F4027" s="176"/>
      <c r="G4027" s="176"/>
      <c r="H4027" s="176"/>
      <c r="I4027" s="172"/>
      <c r="J4027" s="173"/>
    </row>
    <row r="4028" spans="1:10" x14ac:dyDescent="0.25">
      <c r="A4028" s="106"/>
      <c r="B4028" s="107"/>
      <c r="D4028" s="151"/>
      <c r="E4028" s="142"/>
      <c r="F4028" s="176"/>
      <c r="G4028" s="176"/>
      <c r="H4028" s="176"/>
      <c r="I4028" s="172"/>
      <c r="J4028" s="173"/>
    </row>
    <row r="4029" spans="1:10" x14ac:dyDescent="0.25">
      <c r="A4029" s="106"/>
      <c r="B4029" s="107"/>
      <c r="D4029" s="151"/>
      <c r="E4029" s="142"/>
      <c r="F4029" s="176"/>
      <c r="G4029" s="176"/>
      <c r="H4029" s="176"/>
      <c r="I4029" s="172"/>
      <c r="J4029" s="173"/>
    </row>
    <row r="4030" spans="1:10" x14ac:dyDescent="0.25">
      <c r="A4030" s="106"/>
      <c r="B4030" s="107"/>
      <c r="D4030" s="151"/>
      <c r="E4030" s="142"/>
      <c r="F4030" s="176"/>
      <c r="G4030" s="176"/>
      <c r="H4030" s="176"/>
      <c r="I4030" s="172"/>
      <c r="J4030" s="173"/>
    </row>
    <row r="4031" spans="1:10" x14ac:dyDescent="0.25">
      <c r="A4031" s="106"/>
      <c r="B4031" s="107"/>
      <c r="D4031" s="151"/>
      <c r="E4031" s="142"/>
      <c r="F4031" s="176"/>
      <c r="G4031" s="176"/>
      <c r="H4031" s="176"/>
      <c r="I4031" s="172"/>
      <c r="J4031" s="173"/>
    </row>
    <row r="4032" spans="1:10" x14ac:dyDescent="0.25">
      <c r="A4032" s="106"/>
      <c r="B4032" s="107"/>
      <c r="D4032" s="151"/>
      <c r="E4032" s="142"/>
      <c r="F4032" s="176"/>
      <c r="G4032" s="176"/>
      <c r="H4032" s="176"/>
      <c r="I4032" s="172"/>
      <c r="J4032" s="173"/>
    </row>
    <row r="4033" spans="1:10" x14ac:dyDescent="0.25">
      <c r="A4033" s="106"/>
      <c r="B4033" s="107"/>
      <c r="D4033" s="151"/>
      <c r="E4033" s="142"/>
      <c r="F4033" s="176"/>
      <c r="G4033" s="176"/>
      <c r="H4033" s="176"/>
      <c r="I4033" s="172"/>
      <c r="J4033" s="173"/>
    </row>
    <row r="4034" spans="1:10" x14ac:dyDescent="0.25">
      <c r="A4034" s="106"/>
      <c r="B4034" s="107"/>
      <c r="D4034" s="151"/>
      <c r="E4034" s="142"/>
      <c r="F4034" s="176"/>
      <c r="G4034" s="176"/>
      <c r="H4034" s="176"/>
      <c r="I4034" s="172"/>
      <c r="J4034" s="173"/>
    </row>
    <row r="4035" spans="1:10" x14ac:dyDescent="0.25">
      <c r="A4035" s="106"/>
      <c r="B4035" s="107"/>
      <c r="D4035" s="151"/>
      <c r="E4035" s="142"/>
      <c r="F4035" s="176"/>
      <c r="G4035" s="176"/>
      <c r="H4035" s="176"/>
      <c r="I4035" s="172"/>
      <c r="J4035" s="173"/>
    </row>
    <row r="4036" spans="1:10" x14ac:dyDescent="0.25">
      <c r="A4036" s="106"/>
      <c r="B4036" s="107"/>
      <c r="D4036" s="151"/>
      <c r="E4036" s="142"/>
      <c r="F4036" s="176"/>
      <c r="G4036" s="176"/>
      <c r="H4036" s="176"/>
      <c r="I4036" s="172"/>
      <c r="J4036" s="173"/>
    </row>
    <row r="4037" spans="1:10" x14ac:dyDescent="0.25">
      <c r="A4037" s="106"/>
      <c r="B4037" s="107"/>
      <c r="D4037" s="151"/>
      <c r="E4037" s="142"/>
      <c r="F4037" s="176"/>
      <c r="G4037" s="176"/>
      <c r="H4037" s="176"/>
      <c r="I4037" s="172"/>
      <c r="J4037" s="173"/>
    </row>
    <row r="4038" spans="1:10" x14ac:dyDescent="0.25">
      <c r="A4038" s="106"/>
      <c r="B4038" s="107"/>
      <c r="D4038" s="151"/>
      <c r="E4038" s="142"/>
      <c r="F4038" s="176"/>
      <c r="G4038" s="176"/>
      <c r="H4038" s="176"/>
      <c r="I4038" s="172"/>
      <c r="J4038" s="173"/>
    </row>
    <row r="4039" spans="1:10" x14ac:dyDescent="0.25">
      <c r="A4039" s="106"/>
      <c r="B4039" s="107"/>
      <c r="D4039" s="151"/>
      <c r="E4039" s="142"/>
      <c r="F4039" s="176"/>
      <c r="G4039" s="176"/>
      <c r="H4039" s="176"/>
      <c r="I4039" s="172"/>
      <c r="J4039" s="173"/>
    </row>
    <row r="4040" spans="1:10" x14ac:dyDescent="0.25">
      <c r="A4040" s="106"/>
      <c r="B4040" s="107"/>
      <c r="D4040" s="151"/>
      <c r="E4040" s="142"/>
      <c r="F4040" s="176"/>
      <c r="G4040" s="176"/>
      <c r="H4040" s="176"/>
      <c r="I4040" s="172"/>
      <c r="J4040" s="173"/>
    </row>
    <row r="4041" spans="1:10" x14ac:dyDescent="0.25">
      <c r="A4041" s="106"/>
      <c r="B4041" s="107"/>
      <c r="D4041" s="151"/>
      <c r="E4041" s="142"/>
      <c r="F4041" s="176"/>
      <c r="G4041" s="176"/>
      <c r="H4041" s="176"/>
      <c r="I4041" s="172"/>
      <c r="J4041" s="173"/>
    </row>
    <row r="4042" spans="1:10" x14ac:dyDescent="0.25">
      <c r="A4042" s="106"/>
      <c r="B4042" s="107"/>
      <c r="D4042" s="151"/>
      <c r="E4042" s="142"/>
      <c r="F4042" s="176"/>
      <c r="G4042" s="176"/>
      <c r="H4042" s="176"/>
      <c r="I4042" s="172"/>
      <c r="J4042" s="173"/>
    </row>
    <row r="4043" spans="1:10" x14ac:dyDescent="0.25">
      <c r="A4043" s="106"/>
      <c r="B4043" s="107"/>
      <c r="D4043" s="151"/>
      <c r="E4043" s="142"/>
      <c r="F4043" s="176"/>
      <c r="G4043" s="176"/>
      <c r="H4043" s="176"/>
      <c r="I4043" s="172"/>
      <c r="J4043" s="173"/>
    </row>
    <row r="4044" spans="1:10" x14ac:dyDescent="0.25">
      <c r="A4044" s="106"/>
      <c r="B4044" s="107"/>
      <c r="D4044" s="151"/>
      <c r="E4044" s="142"/>
      <c r="F4044" s="176"/>
      <c r="G4044" s="176"/>
      <c r="H4044" s="176"/>
      <c r="I4044" s="172"/>
      <c r="J4044" s="173"/>
    </row>
    <row r="4045" spans="1:10" x14ac:dyDescent="0.25">
      <c r="A4045" s="106"/>
      <c r="B4045" s="107"/>
      <c r="D4045" s="151"/>
      <c r="E4045" s="142"/>
      <c r="F4045" s="176"/>
      <c r="G4045" s="176"/>
      <c r="H4045" s="176"/>
      <c r="I4045" s="172"/>
      <c r="J4045" s="173"/>
    </row>
    <row r="4046" spans="1:10" x14ac:dyDescent="0.25">
      <c r="A4046" s="106"/>
      <c r="B4046" s="107"/>
      <c r="D4046" s="151"/>
      <c r="E4046" s="142"/>
      <c r="F4046" s="176"/>
      <c r="G4046" s="176"/>
      <c r="H4046" s="176"/>
      <c r="I4046" s="172"/>
      <c r="J4046" s="173"/>
    </row>
    <row r="4047" spans="1:10" x14ac:dyDescent="0.25">
      <c r="A4047" s="106"/>
      <c r="B4047" s="107"/>
      <c r="D4047" s="151"/>
      <c r="E4047" s="142"/>
      <c r="F4047" s="176"/>
      <c r="G4047" s="176"/>
      <c r="H4047" s="176"/>
      <c r="I4047" s="172"/>
      <c r="J4047" s="173"/>
    </row>
    <row r="4048" spans="1:10" x14ac:dyDescent="0.25">
      <c r="A4048" s="106"/>
      <c r="B4048" s="107"/>
      <c r="D4048" s="151"/>
      <c r="E4048" s="142"/>
      <c r="F4048" s="176"/>
      <c r="G4048" s="176"/>
      <c r="H4048" s="176"/>
      <c r="I4048" s="172"/>
      <c r="J4048" s="173"/>
    </row>
    <row r="4049" spans="1:10" x14ac:dyDescent="0.25">
      <c r="A4049" s="106"/>
      <c r="B4049" s="107"/>
      <c r="D4049" s="151"/>
      <c r="E4049" s="142"/>
      <c r="F4049" s="176"/>
      <c r="G4049" s="176"/>
      <c r="H4049" s="176"/>
      <c r="I4049" s="172"/>
      <c r="J4049" s="173"/>
    </row>
    <row r="4050" spans="1:10" x14ac:dyDescent="0.25">
      <c r="A4050" s="106"/>
      <c r="B4050" s="107"/>
      <c r="D4050" s="151"/>
      <c r="E4050" s="142"/>
      <c r="F4050" s="176"/>
      <c r="G4050" s="176"/>
      <c r="H4050" s="176"/>
      <c r="I4050" s="172"/>
      <c r="J4050" s="173"/>
    </row>
    <row r="4051" spans="1:10" x14ac:dyDescent="0.25">
      <c r="A4051" s="106"/>
      <c r="B4051" s="107"/>
      <c r="D4051" s="151"/>
      <c r="E4051" s="142"/>
      <c r="F4051" s="176"/>
      <c r="G4051" s="176"/>
      <c r="H4051" s="176"/>
      <c r="I4051" s="172"/>
      <c r="J4051" s="173"/>
    </row>
    <row r="4052" spans="1:10" x14ac:dyDescent="0.25">
      <c r="A4052" s="106"/>
      <c r="B4052" s="107"/>
      <c r="D4052" s="151"/>
      <c r="E4052" s="142"/>
      <c r="F4052" s="176"/>
      <c r="G4052" s="176"/>
      <c r="H4052" s="176"/>
      <c r="I4052" s="172"/>
      <c r="J4052" s="173"/>
    </row>
    <row r="4053" spans="1:10" x14ac:dyDescent="0.25">
      <c r="A4053" s="106"/>
      <c r="B4053" s="107"/>
      <c r="D4053" s="151"/>
      <c r="E4053" s="142"/>
      <c r="F4053" s="176"/>
      <c r="G4053" s="176"/>
      <c r="H4053" s="176"/>
      <c r="I4053" s="172"/>
      <c r="J4053" s="173"/>
    </row>
    <row r="4054" spans="1:10" x14ac:dyDescent="0.25">
      <c r="A4054" s="106"/>
      <c r="B4054" s="107"/>
      <c r="D4054" s="151"/>
      <c r="E4054" s="142"/>
      <c r="F4054" s="176"/>
      <c r="G4054" s="176"/>
      <c r="H4054" s="176"/>
      <c r="I4054" s="172"/>
      <c r="J4054" s="173"/>
    </row>
    <row r="4055" spans="1:10" x14ac:dyDescent="0.25">
      <c r="A4055" s="106"/>
      <c r="B4055" s="107"/>
      <c r="D4055" s="151"/>
      <c r="E4055" s="142"/>
      <c r="F4055" s="176"/>
      <c r="G4055" s="176"/>
      <c r="H4055" s="176"/>
      <c r="I4055" s="172"/>
      <c r="J4055" s="173"/>
    </row>
    <row r="4056" spans="1:10" x14ac:dyDescent="0.25">
      <c r="A4056" s="106"/>
      <c r="B4056" s="107"/>
      <c r="D4056" s="151"/>
      <c r="E4056" s="142"/>
      <c r="F4056" s="176"/>
      <c r="G4056" s="176"/>
      <c r="H4056" s="176"/>
      <c r="I4056" s="172"/>
      <c r="J4056" s="173"/>
    </row>
    <row r="4057" spans="1:10" x14ac:dyDescent="0.25">
      <c r="A4057" s="106"/>
      <c r="B4057" s="107"/>
      <c r="D4057" s="151"/>
      <c r="E4057" s="142"/>
      <c r="F4057" s="176"/>
      <c r="G4057" s="176"/>
      <c r="H4057" s="176"/>
      <c r="I4057" s="172"/>
      <c r="J4057" s="173"/>
    </row>
    <row r="4058" spans="1:10" x14ac:dyDescent="0.25">
      <c r="A4058" s="106"/>
      <c r="B4058" s="107"/>
      <c r="D4058" s="151"/>
      <c r="E4058" s="142"/>
      <c r="F4058" s="176"/>
      <c r="G4058" s="176"/>
      <c r="H4058" s="176"/>
      <c r="I4058" s="172"/>
      <c r="J4058" s="173"/>
    </row>
    <row r="4059" spans="1:10" x14ac:dyDescent="0.25">
      <c r="A4059" s="106"/>
      <c r="B4059" s="107"/>
      <c r="D4059" s="151"/>
      <c r="E4059" s="142"/>
      <c r="F4059" s="176"/>
      <c r="G4059" s="176"/>
      <c r="H4059" s="176"/>
      <c r="I4059" s="172"/>
      <c r="J4059" s="173"/>
    </row>
    <row r="4060" spans="1:10" x14ac:dyDescent="0.25">
      <c r="A4060" s="106"/>
      <c r="B4060" s="107"/>
      <c r="D4060" s="151"/>
      <c r="E4060" s="142"/>
      <c r="F4060" s="176"/>
      <c r="G4060" s="176"/>
      <c r="H4060" s="176"/>
      <c r="I4060" s="172"/>
      <c r="J4060" s="173"/>
    </row>
    <row r="4061" spans="1:10" x14ac:dyDescent="0.25">
      <c r="A4061" s="106"/>
      <c r="B4061" s="107"/>
      <c r="D4061" s="151"/>
      <c r="E4061" s="142"/>
      <c r="F4061" s="176"/>
      <c r="G4061" s="176"/>
      <c r="H4061" s="176"/>
      <c r="I4061" s="172"/>
      <c r="J4061" s="173"/>
    </row>
    <row r="4062" spans="1:10" x14ac:dyDescent="0.25">
      <c r="A4062" s="106"/>
      <c r="B4062" s="107"/>
      <c r="D4062" s="151"/>
      <c r="E4062" s="142"/>
      <c r="F4062" s="176"/>
      <c r="G4062" s="176"/>
      <c r="H4062" s="176"/>
      <c r="I4062" s="172"/>
      <c r="J4062" s="173"/>
    </row>
    <row r="4063" spans="1:10" x14ac:dyDescent="0.25">
      <c r="A4063" s="106"/>
      <c r="B4063" s="107"/>
      <c r="D4063" s="151"/>
      <c r="E4063" s="142"/>
      <c r="F4063" s="176"/>
      <c r="G4063" s="176"/>
      <c r="H4063" s="176"/>
      <c r="I4063" s="172"/>
      <c r="J4063" s="173"/>
    </row>
    <row r="4064" spans="1:10" x14ac:dyDescent="0.25">
      <c r="A4064" s="106"/>
      <c r="B4064" s="107"/>
      <c r="D4064" s="151"/>
      <c r="E4064" s="142"/>
      <c r="F4064" s="176"/>
      <c r="G4064" s="176"/>
      <c r="H4064" s="176"/>
      <c r="I4064" s="172"/>
      <c r="J4064" s="173"/>
    </row>
    <row r="4065" spans="1:10" x14ac:dyDescent="0.25">
      <c r="A4065" s="106"/>
      <c r="B4065" s="107"/>
      <c r="D4065" s="151"/>
      <c r="E4065" s="142"/>
      <c r="F4065" s="176"/>
      <c r="G4065" s="176"/>
      <c r="H4065" s="176"/>
      <c r="I4065" s="172"/>
      <c r="J4065" s="173"/>
    </row>
    <row r="4066" spans="1:10" x14ac:dyDescent="0.25">
      <c r="A4066" s="106"/>
      <c r="B4066" s="107"/>
      <c r="D4066" s="151"/>
      <c r="E4066" s="142"/>
      <c r="F4066" s="176"/>
      <c r="G4066" s="176"/>
      <c r="H4066" s="176"/>
      <c r="I4066" s="172"/>
      <c r="J4066" s="173"/>
    </row>
    <row r="4067" spans="1:10" x14ac:dyDescent="0.25">
      <c r="A4067" s="106"/>
      <c r="B4067" s="107"/>
      <c r="D4067" s="151"/>
      <c r="E4067" s="142"/>
      <c r="F4067" s="176"/>
      <c r="G4067" s="176"/>
      <c r="H4067" s="176"/>
      <c r="I4067" s="172"/>
      <c r="J4067" s="173"/>
    </row>
    <row r="4068" spans="1:10" x14ac:dyDescent="0.25">
      <c r="A4068" s="106"/>
      <c r="B4068" s="107"/>
      <c r="D4068" s="151"/>
      <c r="E4068" s="142"/>
      <c r="F4068" s="176"/>
      <c r="G4068" s="176"/>
      <c r="H4068" s="176"/>
      <c r="I4068" s="172"/>
      <c r="J4068" s="173"/>
    </row>
    <row r="4069" spans="1:10" x14ac:dyDescent="0.25">
      <c r="A4069" s="106"/>
      <c r="B4069" s="107"/>
      <c r="D4069" s="151"/>
      <c r="E4069" s="142"/>
      <c r="F4069" s="176"/>
      <c r="G4069" s="176"/>
      <c r="H4069" s="176"/>
      <c r="I4069" s="172"/>
      <c r="J4069" s="173"/>
    </row>
    <row r="4070" spans="1:10" x14ac:dyDescent="0.25">
      <c r="A4070" s="106"/>
      <c r="B4070" s="107"/>
      <c r="D4070" s="151"/>
      <c r="E4070" s="142"/>
      <c r="F4070" s="176"/>
      <c r="G4070" s="176"/>
      <c r="H4070" s="176"/>
      <c r="I4070" s="172"/>
      <c r="J4070" s="173"/>
    </row>
    <row r="4071" spans="1:10" x14ac:dyDescent="0.25">
      <c r="A4071" s="106"/>
      <c r="B4071" s="107"/>
      <c r="D4071" s="151"/>
      <c r="E4071" s="142"/>
      <c r="F4071" s="176"/>
      <c r="G4071" s="176"/>
      <c r="H4071" s="176"/>
      <c r="I4071" s="172"/>
      <c r="J4071" s="173"/>
    </row>
    <row r="4072" spans="1:10" x14ac:dyDescent="0.25">
      <c r="A4072" s="106"/>
      <c r="B4072" s="107"/>
      <c r="D4072" s="151"/>
      <c r="E4072" s="142"/>
      <c r="F4072" s="176"/>
      <c r="G4072" s="176"/>
      <c r="H4072" s="176"/>
      <c r="I4072" s="172"/>
      <c r="J4072" s="173"/>
    </row>
    <row r="4073" spans="1:10" x14ac:dyDescent="0.25">
      <c r="A4073" s="106"/>
      <c r="B4073" s="107"/>
      <c r="D4073" s="151"/>
      <c r="E4073" s="142"/>
      <c r="F4073" s="176"/>
      <c r="G4073" s="176"/>
      <c r="H4073" s="176"/>
      <c r="I4073" s="172"/>
      <c r="J4073" s="173"/>
    </row>
    <row r="4074" spans="1:10" x14ac:dyDescent="0.25">
      <c r="A4074" s="106"/>
      <c r="B4074" s="107"/>
      <c r="D4074" s="151"/>
      <c r="E4074" s="142"/>
      <c r="F4074" s="176"/>
      <c r="G4074" s="176"/>
      <c r="H4074" s="176"/>
      <c r="I4074" s="172"/>
      <c r="J4074" s="173"/>
    </row>
    <row r="4075" spans="1:10" x14ac:dyDescent="0.25">
      <c r="A4075" s="106"/>
      <c r="B4075" s="107"/>
      <c r="D4075" s="151"/>
      <c r="E4075" s="142"/>
      <c r="F4075" s="176"/>
      <c r="G4075" s="176"/>
      <c r="H4075" s="176"/>
      <c r="I4075" s="172"/>
      <c r="J4075" s="173"/>
    </row>
    <row r="4076" spans="1:10" x14ac:dyDescent="0.25">
      <c r="A4076" s="106"/>
      <c r="B4076" s="107"/>
      <c r="D4076" s="151"/>
      <c r="E4076" s="142"/>
      <c r="F4076" s="176"/>
      <c r="G4076" s="176"/>
      <c r="H4076" s="176"/>
      <c r="I4076" s="172"/>
      <c r="J4076" s="173"/>
    </row>
    <row r="4077" spans="1:10" x14ac:dyDescent="0.25">
      <c r="A4077" s="106"/>
      <c r="B4077" s="107"/>
      <c r="D4077" s="151"/>
      <c r="E4077" s="142"/>
      <c r="F4077" s="176"/>
      <c r="G4077" s="176"/>
      <c r="H4077" s="176"/>
      <c r="I4077" s="172"/>
      <c r="J4077" s="173"/>
    </row>
    <row r="4078" spans="1:10" x14ac:dyDescent="0.25">
      <c r="A4078" s="106"/>
      <c r="B4078" s="107"/>
      <c r="D4078" s="151"/>
      <c r="E4078" s="142"/>
      <c r="F4078" s="176"/>
      <c r="G4078" s="176"/>
      <c r="H4078" s="176"/>
      <c r="I4078" s="172"/>
      <c r="J4078" s="173"/>
    </row>
    <row r="4079" spans="1:10" x14ac:dyDescent="0.25">
      <c r="A4079" s="106"/>
      <c r="B4079" s="107"/>
      <c r="D4079" s="151"/>
      <c r="E4079" s="142"/>
      <c r="F4079" s="176"/>
      <c r="G4079" s="176"/>
      <c r="H4079" s="176"/>
      <c r="I4079" s="172"/>
      <c r="J4079" s="173"/>
    </row>
    <row r="4080" spans="1:10" x14ac:dyDescent="0.25">
      <c r="A4080" s="106"/>
      <c r="B4080" s="107"/>
      <c r="D4080" s="151"/>
      <c r="E4080" s="142"/>
      <c r="F4080" s="176"/>
      <c r="G4080" s="176"/>
      <c r="H4080" s="176"/>
      <c r="I4080" s="172"/>
      <c r="J4080" s="173"/>
    </row>
    <row r="4081" spans="1:10" x14ac:dyDescent="0.25">
      <c r="A4081" s="106"/>
      <c r="B4081" s="107"/>
      <c r="D4081" s="151"/>
      <c r="E4081" s="142"/>
      <c r="F4081" s="176"/>
      <c r="G4081" s="176"/>
      <c r="H4081" s="176"/>
      <c r="I4081" s="172"/>
      <c r="J4081" s="173"/>
    </row>
    <row r="4082" spans="1:10" x14ac:dyDescent="0.25">
      <c r="A4082" s="106"/>
      <c r="B4082" s="107"/>
      <c r="D4082" s="151"/>
      <c r="E4082" s="142"/>
      <c r="F4082" s="176"/>
      <c r="G4082" s="176"/>
      <c r="H4082" s="176"/>
      <c r="I4082" s="172"/>
      <c r="J4082" s="173"/>
    </row>
    <row r="4083" spans="1:10" x14ac:dyDescent="0.25">
      <c r="A4083" s="106"/>
      <c r="B4083" s="107"/>
      <c r="D4083" s="151"/>
      <c r="E4083" s="142"/>
      <c r="F4083" s="176"/>
      <c r="G4083" s="176"/>
      <c r="H4083" s="176"/>
      <c r="I4083" s="172"/>
      <c r="J4083" s="173"/>
    </row>
    <row r="4084" spans="1:10" x14ac:dyDescent="0.25">
      <c r="A4084" s="106"/>
      <c r="B4084" s="107"/>
      <c r="D4084" s="151"/>
      <c r="E4084" s="142"/>
      <c r="F4084" s="176"/>
      <c r="G4084" s="176"/>
      <c r="H4084" s="176"/>
      <c r="I4084" s="172"/>
      <c r="J4084" s="173"/>
    </row>
    <row r="4085" spans="1:10" x14ac:dyDescent="0.25">
      <c r="A4085" s="106"/>
      <c r="B4085" s="107"/>
      <c r="D4085" s="151"/>
      <c r="E4085" s="142"/>
      <c r="F4085" s="176"/>
      <c r="G4085" s="176"/>
      <c r="H4085" s="176"/>
      <c r="I4085" s="172"/>
      <c r="J4085" s="173"/>
    </row>
    <row r="4086" spans="1:10" x14ac:dyDescent="0.25">
      <c r="A4086" s="106"/>
      <c r="B4086" s="107"/>
      <c r="D4086" s="151"/>
      <c r="E4086" s="142"/>
      <c r="F4086" s="176"/>
      <c r="G4086" s="176"/>
      <c r="H4086" s="176"/>
      <c r="I4086" s="172"/>
      <c r="J4086" s="173"/>
    </row>
    <row r="4087" spans="1:10" x14ac:dyDescent="0.25">
      <c r="A4087" s="106"/>
      <c r="B4087" s="107"/>
      <c r="D4087" s="151"/>
      <c r="E4087" s="142"/>
      <c r="F4087" s="176"/>
      <c r="G4087" s="176"/>
      <c r="H4087" s="176"/>
      <c r="I4087" s="172"/>
      <c r="J4087" s="173"/>
    </row>
    <row r="4088" spans="1:10" x14ac:dyDescent="0.25">
      <c r="A4088" s="106"/>
      <c r="B4088" s="107"/>
      <c r="D4088" s="151"/>
      <c r="E4088" s="142"/>
      <c r="F4088" s="176"/>
      <c r="G4088" s="176"/>
      <c r="H4088" s="176"/>
      <c r="I4088" s="172"/>
      <c r="J4088" s="173"/>
    </row>
    <row r="4089" spans="1:10" x14ac:dyDescent="0.25">
      <c r="A4089" s="106"/>
      <c r="B4089" s="107"/>
      <c r="D4089" s="151"/>
      <c r="E4089" s="142"/>
      <c r="F4089" s="176"/>
      <c r="G4089" s="176"/>
      <c r="H4089" s="176"/>
      <c r="I4089" s="172"/>
      <c r="J4089" s="173"/>
    </row>
    <row r="4090" spans="1:10" x14ac:dyDescent="0.25">
      <c r="A4090" s="106"/>
      <c r="B4090" s="107"/>
      <c r="D4090" s="151"/>
      <c r="E4090" s="142"/>
      <c r="F4090" s="176"/>
      <c r="G4090" s="176"/>
      <c r="H4090" s="176"/>
      <c r="I4090" s="172"/>
      <c r="J4090" s="173"/>
    </row>
    <row r="4091" spans="1:10" x14ac:dyDescent="0.25">
      <c r="A4091" s="106"/>
      <c r="B4091" s="107"/>
      <c r="D4091" s="151"/>
      <c r="E4091" s="142"/>
      <c r="F4091" s="176"/>
      <c r="G4091" s="176"/>
      <c r="H4091" s="176"/>
      <c r="I4091" s="172"/>
      <c r="J4091" s="173"/>
    </row>
    <row r="4092" spans="1:10" x14ac:dyDescent="0.25">
      <c r="A4092" s="106"/>
      <c r="B4092" s="107"/>
      <c r="D4092" s="151"/>
      <c r="E4092" s="142"/>
      <c r="F4092" s="176"/>
      <c r="G4092" s="176"/>
      <c r="H4092" s="176"/>
      <c r="I4092" s="172"/>
      <c r="J4092" s="173"/>
    </row>
    <row r="4093" spans="1:10" x14ac:dyDescent="0.25">
      <c r="A4093" s="106"/>
      <c r="B4093" s="107"/>
      <c r="D4093" s="151"/>
      <c r="E4093" s="142"/>
      <c r="F4093" s="176"/>
      <c r="G4093" s="176"/>
      <c r="H4093" s="176"/>
      <c r="I4093" s="172"/>
      <c r="J4093" s="173"/>
    </row>
    <row r="4094" spans="1:10" x14ac:dyDescent="0.25">
      <c r="A4094" s="106"/>
      <c r="B4094" s="107"/>
      <c r="D4094" s="151"/>
      <c r="E4094" s="142"/>
      <c r="F4094" s="176"/>
      <c r="G4094" s="176"/>
      <c r="H4094" s="176"/>
      <c r="I4094" s="172"/>
      <c r="J4094" s="173"/>
    </row>
    <row r="4095" spans="1:10" x14ac:dyDescent="0.25">
      <c r="A4095" s="106"/>
      <c r="B4095" s="107"/>
      <c r="D4095" s="151"/>
      <c r="E4095" s="142"/>
      <c r="F4095" s="176"/>
      <c r="G4095" s="176"/>
      <c r="H4095" s="176"/>
      <c r="I4095" s="172"/>
      <c r="J4095" s="173"/>
    </row>
  </sheetData>
  <pageMargins left="0.7" right="0.7" top="0.75" bottom="0.75" header="0.3" footer="0.3"/>
  <pageSetup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Q1057"/>
  <sheetViews>
    <sheetView topLeftCell="A44" zoomScaleNormal="100" workbookViewId="0">
      <selection activeCell="B56" sqref="B56"/>
    </sheetView>
  </sheetViews>
  <sheetFormatPr defaultRowHeight="15" x14ac:dyDescent="0.25"/>
  <cols>
    <col min="4" max="4" width="21.5703125" customWidth="1"/>
    <col min="5" max="5" width="22.42578125" customWidth="1"/>
    <col min="7" max="7" width="12" bestFit="1" customWidth="1"/>
  </cols>
  <sheetData>
    <row r="1" spans="1:11" x14ac:dyDescent="0.25">
      <c r="A1" s="2" t="str">
        <f>IF(ROW()-1&lt;16,CONCATENATE("0",DEC2HEX(ROW()-1)),DEC2HEX(ROW()-1))</f>
        <v>00</v>
      </c>
      <c r="B1" s="3" t="s">
        <v>1016</v>
      </c>
      <c r="C1" s="170">
        <v>2</v>
      </c>
      <c r="D1" s="170" t="s">
        <v>1017</v>
      </c>
      <c r="E1" s="170">
        <v>1</v>
      </c>
      <c r="F1" s="170"/>
      <c r="G1" s="170"/>
      <c r="H1" s="170"/>
      <c r="I1" s="170"/>
      <c r="J1" t="s">
        <v>2</v>
      </c>
      <c r="K1" t="s">
        <v>3</v>
      </c>
    </row>
    <row r="2" spans="1:11" x14ac:dyDescent="0.25">
      <c r="A2" s="2" t="str">
        <f t="shared" ref="A2:A67" si="0">IF(ROW()-1&lt;16,CONCATENATE("0",DEC2HEX(ROW()-1)),DEC2HEX(ROW()-1))</f>
        <v>01</v>
      </c>
      <c r="B2" s="3" t="s">
        <v>1018</v>
      </c>
      <c r="C2" s="170">
        <v>1</v>
      </c>
      <c r="D2" s="170"/>
      <c r="E2" s="170">
        <v>2</v>
      </c>
      <c r="F2" s="170"/>
      <c r="G2" s="170"/>
      <c r="H2" s="170"/>
      <c r="I2" s="170"/>
      <c r="J2" t="s">
        <v>1019</v>
      </c>
      <c r="K2" t="s">
        <v>1020</v>
      </c>
    </row>
    <row r="3" spans="1:11" x14ac:dyDescent="0.25">
      <c r="A3" s="2" t="str">
        <f t="shared" si="0"/>
        <v>02</v>
      </c>
      <c r="B3" s="3" t="s">
        <v>1021</v>
      </c>
      <c r="C3" s="170">
        <v>54</v>
      </c>
      <c r="D3" s="170"/>
      <c r="E3" s="170">
        <v>3</v>
      </c>
      <c r="F3" s="170"/>
      <c r="G3" s="170">
        <v>19</v>
      </c>
      <c r="H3" s="170"/>
      <c r="I3" s="170"/>
    </row>
    <row r="4" spans="1:11" x14ac:dyDescent="0.25">
      <c r="A4" s="2" t="str">
        <f t="shared" si="0"/>
        <v>03</v>
      </c>
      <c r="B4" s="3" t="s">
        <v>1022</v>
      </c>
      <c r="C4" s="170">
        <v>125</v>
      </c>
      <c r="D4" s="170"/>
      <c r="E4" s="170">
        <v>4</v>
      </c>
      <c r="F4" s="170"/>
      <c r="G4" s="170">
        <v>109</v>
      </c>
      <c r="H4" s="170"/>
      <c r="I4" s="170"/>
    </row>
    <row r="5" spans="1:11" x14ac:dyDescent="0.25">
      <c r="A5" s="2" t="str">
        <f t="shared" si="0"/>
        <v>04</v>
      </c>
      <c r="B5" s="3" t="s">
        <v>1023</v>
      </c>
      <c r="C5" s="170">
        <v>109</v>
      </c>
      <c r="D5" s="170"/>
      <c r="E5" s="170">
        <v>5</v>
      </c>
      <c r="F5" s="170"/>
      <c r="G5" s="170">
        <v>125</v>
      </c>
      <c r="H5" s="170"/>
      <c r="I5" s="170"/>
    </row>
    <row r="6" spans="1:11" x14ac:dyDescent="0.25">
      <c r="A6" s="2" t="str">
        <f t="shared" si="0"/>
        <v>05</v>
      </c>
      <c r="B6" s="3" t="s">
        <v>1024</v>
      </c>
      <c r="C6" s="170">
        <v>19</v>
      </c>
      <c r="D6" s="170"/>
      <c r="E6" s="170">
        <v>6</v>
      </c>
      <c r="F6" s="170"/>
      <c r="G6" s="170">
        <v>54</v>
      </c>
      <c r="H6" s="170"/>
      <c r="I6" s="170"/>
    </row>
    <row r="7" spans="1:11" x14ac:dyDescent="0.25">
      <c r="A7" s="2" t="str">
        <f t="shared" si="0"/>
        <v>06</v>
      </c>
      <c r="B7" s="3" t="str">
        <f>IF(C7&lt;16,CONCATENATE("0",DEC2HEX(C7),";"),CONCATENATE(DEC2HEX(C7),";"))</f>
        <v>C0;</v>
      </c>
      <c r="C7" s="170">
        <v>192</v>
      </c>
      <c r="D7" s="170" t="s">
        <v>1025</v>
      </c>
      <c r="E7" s="170">
        <v>1</v>
      </c>
      <c r="F7" s="170"/>
      <c r="G7" s="170"/>
      <c r="H7" s="170"/>
      <c r="I7" s="170"/>
    </row>
    <row r="8" spans="1:11" x14ac:dyDescent="0.25">
      <c r="A8" s="2" t="str">
        <f t="shared" si="0"/>
        <v>07</v>
      </c>
      <c r="B8" s="3" t="str">
        <f t="shared" ref="B8:B58" si="1">IF(C8&lt;16,CONCATENATE("0",DEC2HEX(C8),";"),CONCATENATE(DEC2HEX(C8),";"))</f>
        <v>A8;</v>
      </c>
      <c r="C8" s="170">
        <v>168</v>
      </c>
      <c r="D8" s="170"/>
      <c r="E8" s="170">
        <v>2</v>
      </c>
      <c r="F8" s="170"/>
      <c r="G8" s="170"/>
      <c r="H8" s="170"/>
      <c r="I8" s="170"/>
    </row>
    <row r="9" spans="1:11" x14ac:dyDescent="0.25">
      <c r="A9" s="2" t="str">
        <f t="shared" si="0"/>
        <v>08</v>
      </c>
      <c r="B9" s="3" t="str">
        <f t="shared" si="1"/>
        <v>01;</v>
      </c>
      <c r="C9" s="170">
        <v>1</v>
      </c>
      <c r="D9" s="170"/>
      <c r="E9" s="170">
        <v>3</v>
      </c>
      <c r="F9" s="170"/>
      <c r="G9" s="170"/>
      <c r="H9" s="170"/>
      <c r="I9" s="170"/>
    </row>
    <row r="10" spans="1:11" x14ac:dyDescent="0.25">
      <c r="A10" s="2" t="str">
        <f t="shared" si="0"/>
        <v>09</v>
      </c>
      <c r="B10" s="3" t="str">
        <f t="shared" si="1"/>
        <v>E0;</v>
      </c>
      <c r="C10" s="170">
        <v>224</v>
      </c>
      <c r="D10" s="170"/>
      <c r="E10" s="170">
        <v>4</v>
      </c>
      <c r="F10" s="170"/>
      <c r="G10" s="170"/>
      <c r="H10" s="170"/>
      <c r="I10" s="170"/>
    </row>
    <row r="11" spans="1:11" x14ac:dyDescent="0.25">
      <c r="A11" s="2" t="str">
        <f t="shared" si="0"/>
        <v>0A</v>
      </c>
      <c r="B11" s="3" t="str">
        <f t="shared" si="1"/>
        <v>FF;</v>
      </c>
      <c r="C11" s="170">
        <v>255</v>
      </c>
      <c r="D11" s="170" t="s">
        <v>1026</v>
      </c>
      <c r="E11" s="170">
        <v>1</v>
      </c>
      <c r="F11" s="170"/>
      <c r="G11" s="170"/>
      <c r="H11" s="170"/>
      <c r="I11" s="170"/>
    </row>
    <row r="12" spans="1:11" x14ac:dyDescent="0.25">
      <c r="A12" s="2" t="str">
        <f t="shared" si="0"/>
        <v>0B</v>
      </c>
      <c r="B12" s="3" t="str">
        <f t="shared" si="1"/>
        <v>FF;</v>
      </c>
      <c r="C12" s="170">
        <v>255</v>
      </c>
      <c r="D12" s="170"/>
      <c r="E12" s="170">
        <v>2</v>
      </c>
      <c r="F12" s="170"/>
      <c r="G12" s="170"/>
      <c r="H12" s="170"/>
      <c r="I12" s="170"/>
    </row>
    <row r="13" spans="1:11" x14ac:dyDescent="0.25">
      <c r="A13" s="2" t="str">
        <f t="shared" si="0"/>
        <v>0C</v>
      </c>
      <c r="B13" s="3" t="str">
        <f t="shared" si="1"/>
        <v>FF;</v>
      </c>
      <c r="C13" s="170">
        <v>255</v>
      </c>
      <c r="D13" s="170"/>
      <c r="E13" s="170">
        <v>3</v>
      </c>
      <c r="F13" s="170"/>
      <c r="G13" s="170"/>
      <c r="H13" s="170"/>
      <c r="I13" s="170"/>
    </row>
    <row r="14" spans="1:11" x14ac:dyDescent="0.25">
      <c r="A14" s="2" t="str">
        <f t="shared" si="0"/>
        <v>0D</v>
      </c>
      <c r="B14" s="3" t="str">
        <f t="shared" si="1"/>
        <v>00;</v>
      </c>
      <c r="C14" s="170">
        <v>0</v>
      </c>
      <c r="D14" s="170"/>
      <c r="E14" s="170">
        <v>4</v>
      </c>
      <c r="F14" s="170"/>
      <c r="G14" s="170"/>
      <c r="H14" s="170"/>
      <c r="I14" s="170"/>
    </row>
    <row r="15" spans="1:11" x14ac:dyDescent="0.25">
      <c r="A15" s="2" t="str">
        <f t="shared" si="0"/>
        <v>0E</v>
      </c>
      <c r="B15" s="3" t="str">
        <f t="shared" si="1"/>
        <v>82;</v>
      </c>
      <c r="C15" s="170">
        <v>130</v>
      </c>
      <c r="D15" s="170" t="s">
        <v>1027</v>
      </c>
      <c r="E15" s="170">
        <v>1</v>
      </c>
      <c r="F15" s="170"/>
      <c r="G15" s="170"/>
      <c r="H15" s="170"/>
      <c r="I15" s="170"/>
    </row>
    <row r="16" spans="1:11" x14ac:dyDescent="0.25">
      <c r="A16" s="2" t="str">
        <f t="shared" si="0"/>
        <v>0F</v>
      </c>
      <c r="B16" s="3" t="str">
        <f t="shared" si="1"/>
        <v>0A;</v>
      </c>
      <c r="C16" s="170">
        <v>10</v>
      </c>
      <c r="D16" s="170"/>
      <c r="E16" s="170">
        <v>2</v>
      </c>
      <c r="F16" s="170"/>
      <c r="G16" s="170"/>
      <c r="H16" s="170"/>
      <c r="I16" s="170"/>
    </row>
    <row r="17" spans="1:9" x14ac:dyDescent="0.25">
      <c r="A17" s="2" t="str">
        <f t="shared" si="0"/>
        <v>10</v>
      </c>
      <c r="B17" s="3" t="str">
        <f t="shared" si="1"/>
        <v>01;</v>
      </c>
      <c r="C17" s="170">
        <v>1</v>
      </c>
      <c r="D17" s="170"/>
      <c r="E17" s="170">
        <v>3</v>
      </c>
      <c r="F17" s="170"/>
      <c r="G17" s="170"/>
      <c r="H17" s="170"/>
      <c r="I17" s="170"/>
    </row>
    <row r="18" spans="1:9" x14ac:dyDescent="0.25">
      <c r="A18" s="2" t="str">
        <f t="shared" si="0"/>
        <v>11</v>
      </c>
      <c r="B18" s="3" t="str">
        <f t="shared" si="1"/>
        <v>01;</v>
      </c>
      <c r="C18" s="170">
        <v>1</v>
      </c>
      <c r="D18" s="170"/>
      <c r="E18" s="170">
        <v>4</v>
      </c>
      <c r="F18" s="170"/>
      <c r="G18" s="170"/>
      <c r="H18" s="170"/>
      <c r="I18" s="170"/>
    </row>
    <row r="19" spans="1:9" x14ac:dyDescent="0.25">
      <c r="A19" s="2" t="str">
        <f t="shared" si="0"/>
        <v>12</v>
      </c>
      <c r="B19" s="3" t="str">
        <f t="shared" si="1"/>
        <v>10;</v>
      </c>
      <c r="C19" s="170">
        <v>16</v>
      </c>
      <c r="D19" s="170" t="s">
        <v>1028</v>
      </c>
      <c r="E19" s="4" t="s">
        <v>1029</v>
      </c>
      <c r="F19" s="170">
        <v>4096</v>
      </c>
      <c r="G19" s="170"/>
      <c r="H19" s="170"/>
      <c r="I19" s="170"/>
    </row>
    <row r="20" spans="1:9" x14ac:dyDescent="0.25">
      <c r="A20" s="2" t="str">
        <f t="shared" si="0"/>
        <v>13</v>
      </c>
      <c r="B20" s="3" t="str">
        <f t="shared" si="1"/>
        <v>00;</v>
      </c>
      <c r="C20" s="170">
        <v>0</v>
      </c>
      <c r="D20" s="170"/>
      <c r="E20" s="4" t="s">
        <v>1030</v>
      </c>
      <c r="F20" s="170"/>
      <c r="G20" s="170"/>
      <c r="H20" s="170"/>
      <c r="I20" s="170"/>
    </row>
    <row r="21" spans="1:9" x14ac:dyDescent="0.25">
      <c r="A21" s="2" t="str">
        <f t="shared" si="0"/>
        <v>14</v>
      </c>
      <c r="B21" s="3" t="str">
        <f t="shared" si="1"/>
        <v>00;</v>
      </c>
      <c r="C21" s="170">
        <v>0</v>
      </c>
      <c r="D21" s="170" t="s">
        <v>1031</v>
      </c>
      <c r="E21" s="4">
        <v>1</v>
      </c>
      <c r="F21" s="170"/>
      <c r="G21" s="170" t="s">
        <v>1032</v>
      </c>
      <c r="H21" s="170"/>
      <c r="I21" s="170"/>
    </row>
    <row r="22" spans="1:9" x14ac:dyDescent="0.25">
      <c r="A22" s="2" t="str">
        <f t="shared" si="0"/>
        <v>15</v>
      </c>
      <c r="B22" s="3" t="str">
        <f t="shared" si="1"/>
        <v>C0;</v>
      </c>
      <c r="C22" s="170">
        <v>192</v>
      </c>
      <c r="D22" s="170"/>
      <c r="E22" s="4">
        <v>2</v>
      </c>
      <c r="F22" s="170"/>
      <c r="G22" s="170" t="s">
        <v>1033</v>
      </c>
      <c r="H22" s="170"/>
      <c r="I22" s="170"/>
    </row>
    <row r="23" spans="1:9" x14ac:dyDescent="0.25">
      <c r="A23" s="2" t="str">
        <f t="shared" si="0"/>
        <v>16</v>
      </c>
      <c r="B23" s="3" t="str">
        <f t="shared" si="1"/>
        <v>07;</v>
      </c>
      <c r="C23" s="170">
        <v>7</v>
      </c>
      <c r="D23" s="170"/>
      <c r="E23" s="4">
        <v>3</v>
      </c>
      <c r="F23" s="170"/>
      <c r="G23" s="170"/>
      <c r="H23" s="170"/>
      <c r="I23" s="170"/>
    </row>
    <row r="24" spans="1:9" x14ac:dyDescent="0.25">
      <c r="A24" s="2" t="str">
        <f t="shared" si="0"/>
        <v>17</v>
      </c>
      <c r="B24" s="3" t="str">
        <f t="shared" si="1"/>
        <v>00;</v>
      </c>
      <c r="C24" s="170">
        <v>0</v>
      </c>
      <c r="D24" s="170"/>
      <c r="E24" s="4">
        <v>4</v>
      </c>
      <c r="F24" s="170"/>
      <c r="G24" s="170"/>
      <c r="H24" s="170"/>
      <c r="I24" s="170"/>
    </row>
    <row r="25" spans="1:9" x14ac:dyDescent="0.25">
      <c r="A25" s="2" t="str">
        <f t="shared" si="0"/>
        <v>18</v>
      </c>
      <c r="B25" s="3" t="str">
        <f t="shared" si="1"/>
        <v>00;</v>
      </c>
      <c r="C25" s="170">
        <v>0</v>
      </c>
      <c r="D25" s="170" t="s">
        <v>1034</v>
      </c>
      <c r="E25" s="4">
        <v>1</v>
      </c>
      <c r="F25" s="170"/>
      <c r="G25" s="170" t="s">
        <v>1035</v>
      </c>
      <c r="H25" s="170"/>
      <c r="I25" s="170"/>
    </row>
    <row r="26" spans="1:9" x14ac:dyDescent="0.25">
      <c r="A26" s="2" t="str">
        <f t="shared" si="0"/>
        <v>19</v>
      </c>
      <c r="B26" s="120" t="str">
        <f t="shared" si="1"/>
        <v>80;</v>
      </c>
      <c r="C26" s="175">
        <v>128</v>
      </c>
      <c r="D26" s="175" t="s">
        <v>1036</v>
      </c>
      <c r="E26" s="4">
        <v>2</v>
      </c>
      <c r="F26" s="170"/>
      <c r="G26" s="170" t="s">
        <v>1033</v>
      </c>
      <c r="H26" s="170"/>
      <c r="I26" s="170"/>
    </row>
    <row r="27" spans="1:9" x14ac:dyDescent="0.25">
      <c r="A27" s="2" t="str">
        <f t="shared" si="0"/>
        <v>1A</v>
      </c>
      <c r="B27" s="3" t="str">
        <f t="shared" si="1"/>
        <v>07;</v>
      </c>
      <c r="C27" s="170">
        <v>7</v>
      </c>
      <c r="D27" s="170"/>
      <c r="E27" s="4">
        <v>3</v>
      </c>
      <c r="F27" s="170"/>
      <c r="G27" s="170"/>
      <c r="H27" s="170"/>
      <c r="I27" s="170"/>
    </row>
    <row r="28" spans="1:9" x14ac:dyDescent="0.25">
      <c r="A28" s="2" t="str">
        <f t="shared" si="0"/>
        <v>1B</v>
      </c>
      <c r="B28" s="3" t="str">
        <f t="shared" si="1"/>
        <v>00;</v>
      </c>
      <c r="C28" s="170">
        <v>0</v>
      </c>
      <c r="D28" s="170"/>
      <c r="E28" s="4">
        <v>4</v>
      </c>
      <c r="F28" s="170"/>
      <c r="G28" s="170"/>
      <c r="H28" s="170"/>
      <c r="I28" s="170"/>
    </row>
    <row r="29" spans="1:9" x14ac:dyDescent="0.25">
      <c r="A29" s="2" t="str">
        <f t="shared" si="0"/>
        <v>1C</v>
      </c>
      <c r="B29" s="3" t="s">
        <v>1024</v>
      </c>
      <c r="C29" s="170">
        <v>20</v>
      </c>
      <c r="D29" s="170" t="s">
        <v>1037</v>
      </c>
      <c r="E29" s="4">
        <v>4</v>
      </c>
      <c r="F29" s="170"/>
      <c r="G29" s="170" t="s">
        <v>1038</v>
      </c>
      <c r="H29" s="170"/>
      <c r="I29" s="170"/>
    </row>
    <row r="30" spans="1:9" x14ac:dyDescent="0.25">
      <c r="A30" s="2" t="str">
        <f t="shared" si="0"/>
        <v>1D</v>
      </c>
      <c r="B30" s="3" t="str">
        <f t="shared" si="1"/>
        <v>04;</v>
      </c>
      <c r="C30" s="170">
        <v>4</v>
      </c>
      <c r="D30" s="170" t="s">
        <v>1039</v>
      </c>
      <c r="E30" s="4" t="s">
        <v>1040</v>
      </c>
      <c r="F30" s="170"/>
      <c r="G30" s="170" t="s">
        <v>1041</v>
      </c>
      <c r="H30" s="170"/>
      <c r="I30" s="170"/>
    </row>
    <row r="31" spans="1:9" x14ac:dyDescent="0.25">
      <c r="A31" s="2" t="str">
        <f t="shared" si="0"/>
        <v>1E</v>
      </c>
      <c r="B31" s="3" t="str">
        <f t="shared" si="1"/>
        <v>00;</v>
      </c>
      <c r="C31" s="170">
        <v>0</v>
      </c>
      <c r="D31" s="170" t="s">
        <v>1042</v>
      </c>
      <c r="E31" s="4">
        <v>1</v>
      </c>
      <c r="F31" s="170"/>
      <c r="G31" s="170" t="s">
        <v>1043</v>
      </c>
      <c r="H31" s="170"/>
      <c r="I31" s="170"/>
    </row>
    <row r="32" spans="1:9" x14ac:dyDescent="0.25">
      <c r="A32" s="2" t="str">
        <f t="shared" si="0"/>
        <v>1F</v>
      </c>
      <c r="B32" s="3" t="str">
        <f t="shared" si="1"/>
        <v>00;</v>
      </c>
      <c r="C32" s="170">
        <v>0</v>
      </c>
      <c r="D32" s="170"/>
      <c r="E32" s="4">
        <v>2</v>
      </c>
      <c r="F32" s="170"/>
      <c r="G32" s="170"/>
      <c r="H32" s="170"/>
      <c r="I32" s="170"/>
    </row>
    <row r="33" spans="1:9" x14ac:dyDescent="0.25">
      <c r="A33" s="2" t="str">
        <f t="shared" si="0"/>
        <v>20</v>
      </c>
      <c r="B33" s="3" t="str">
        <f t="shared" si="1"/>
        <v>00;</v>
      </c>
      <c r="C33" s="170">
        <v>0</v>
      </c>
      <c r="D33" s="170"/>
      <c r="E33" s="4">
        <v>3</v>
      </c>
      <c r="F33" s="170"/>
      <c r="G33" s="170"/>
      <c r="H33" s="170"/>
      <c r="I33" s="170"/>
    </row>
    <row r="34" spans="1:9" x14ac:dyDescent="0.25">
      <c r="A34" s="2" t="str">
        <f t="shared" si="0"/>
        <v>21</v>
      </c>
      <c r="B34" s="3" t="str">
        <f t="shared" si="1"/>
        <v>00;</v>
      </c>
      <c r="C34" s="170">
        <v>0</v>
      </c>
      <c r="D34" s="170"/>
      <c r="E34" s="4">
        <v>4</v>
      </c>
      <c r="F34" s="170"/>
      <c r="G34" s="170"/>
      <c r="H34" s="170"/>
      <c r="I34" s="170"/>
    </row>
    <row r="35" spans="1:9" x14ac:dyDescent="0.25">
      <c r="A35" s="2" t="str">
        <f t="shared" si="0"/>
        <v>22</v>
      </c>
      <c r="B35" s="3" t="str">
        <f t="shared" si="1"/>
        <v>E8;</v>
      </c>
      <c r="C35" s="170">
        <v>232</v>
      </c>
      <c r="D35" s="170" t="s">
        <v>1044</v>
      </c>
      <c r="E35" s="4">
        <v>1</v>
      </c>
      <c r="F35" s="21"/>
      <c r="G35" s="170"/>
      <c r="H35" s="170"/>
      <c r="I35" s="52"/>
    </row>
    <row r="36" spans="1:9" x14ac:dyDescent="0.25">
      <c r="A36" s="2" t="str">
        <f t="shared" si="0"/>
        <v>23</v>
      </c>
      <c r="B36" s="3" t="str">
        <f t="shared" si="1"/>
        <v>03;</v>
      </c>
      <c r="C36" s="170">
        <v>3</v>
      </c>
      <c r="D36" s="170"/>
      <c r="E36" s="4">
        <v>2</v>
      </c>
      <c r="F36" s="170"/>
      <c r="G36" s="170"/>
      <c r="H36" s="170"/>
      <c r="I36" s="170"/>
    </row>
    <row r="37" spans="1:9" x14ac:dyDescent="0.25">
      <c r="A37" s="2" t="str">
        <f t="shared" si="0"/>
        <v>24</v>
      </c>
      <c r="B37" s="3" t="str">
        <f t="shared" si="1"/>
        <v>00;</v>
      </c>
      <c r="C37" s="170">
        <v>0</v>
      </c>
      <c r="D37" s="170"/>
      <c r="E37" s="4">
        <v>3</v>
      </c>
      <c r="F37" s="170"/>
      <c r="G37" s="170"/>
      <c r="H37" s="170"/>
      <c r="I37" s="170"/>
    </row>
    <row r="38" spans="1:9" x14ac:dyDescent="0.25">
      <c r="A38" s="2" t="str">
        <f t="shared" si="0"/>
        <v>25</v>
      </c>
      <c r="B38" s="3" t="str">
        <f t="shared" si="1"/>
        <v>00;</v>
      </c>
      <c r="C38" s="170">
        <v>0</v>
      </c>
      <c r="D38" s="170"/>
      <c r="E38" s="4">
        <v>4</v>
      </c>
      <c r="F38" s="170"/>
      <c r="G38" s="170"/>
      <c r="H38" s="170"/>
      <c r="I38" s="170"/>
    </row>
    <row r="39" spans="1:9" x14ac:dyDescent="0.25">
      <c r="A39" s="2" t="str">
        <f t="shared" si="0"/>
        <v>26</v>
      </c>
      <c r="B39" s="3" t="str">
        <f t="shared" si="1"/>
        <v>00;</v>
      </c>
      <c r="C39" s="170">
        <v>0</v>
      </c>
      <c r="D39" s="170"/>
      <c r="E39" s="4">
        <v>5</v>
      </c>
      <c r="F39" s="21"/>
      <c r="G39" s="170"/>
      <c r="H39" s="170"/>
      <c r="I39" s="170"/>
    </row>
    <row r="40" spans="1:9" x14ac:dyDescent="0.25">
      <c r="A40" s="2" t="str">
        <f t="shared" si="0"/>
        <v>27</v>
      </c>
      <c r="B40" s="3" t="str">
        <f t="shared" si="1"/>
        <v>00;</v>
      </c>
      <c r="C40" s="170">
        <v>0</v>
      </c>
      <c r="D40" s="170"/>
      <c r="E40" s="4">
        <v>6</v>
      </c>
      <c r="F40" s="170"/>
      <c r="G40" s="170"/>
      <c r="H40" s="170"/>
      <c r="I40" s="170"/>
    </row>
    <row r="41" spans="1:9" x14ac:dyDescent="0.25">
      <c r="A41" s="2" t="str">
        <f t="shared" si="0"/>
        <v>28</v>
      </c>
      <c r="B41" s="3" t="str">
        <f t="shared" si="1"/>
        <v>00;</v>
      </c>
      <c r="C41" s="170">
        <v>0</v>
      </c>
      <c r="D41" s="170"/>
      <c r="E41" s="4">
        <v>7</v>
      </c>
      <c r="F41" s="21"/>
      <c r="G41" s="170"/>
      <c r="H41" s="170"/>
      <c r="I41" s="170"/>
    </row>
    <row r="42" spans="1:9" x14ac:dyDescent="0.25">
      <c r="A42" s="2" t="str">
        <f t="shared" si="0"/>
        <v>29</v>
      </c>
      <c r="B42" s="3" t="str">
        <f t="shared" si="1"/>
        <v>00;</v>
      </c>
      <c r="C42" s="170">
        <v>0</v>
      </c>
      <c r="D42" s="170"/>
      <c r="E42" s="4">
        <v>8</v>
      </c>
      <c r="F42" s="170"/>
      <c r="G42" s="170"/>
      <c r="H42" s="170"/>
      <c r="I42" s="170"/>
    </row>
    <row r="43" spans="1:9" x14ac:dyDescent="0.25">
      <c r="A43" s="2" t="str">
        <f t="shared" si="0"/>
        <v>2A</v>
      </c>
      <c r="B43" s="3" t="str">
        <f t="shared" si="1"/>
        <v>81;</v>
      </c>
      <c r="C43" s="170">
        <v>129</v>
      </c>
      <c r="D43" s="170" t="s">
        <v>1045</v>
      </c>
      <c r="E43" s="4">
        <v>1</v>
      </c>
      <c r="F43" s="170"/>
      <c r="G43" s="170"/>
      <c r="H43" s="170"/>
      <c r="I43" s="170"/>
    </row>
    <row r="44" spans="1:9" x14ac:dyDescent="0.25">
      <c r="A44" s="2" t="str">
        <f t="shared" si="0"/>
        <v>2B</v>
      </c>
      <c r="B44" s="3" t="str">
        <f t="shared" si="1"/>
        <v>00;</v>
      </c>
      <c r="C44" s="170">
        <v>0</v>
      </c>
      <c r="D44" s="170"/>
      <c r="E44" s="4">
        <v>2</v>
      </c>
      <c r="F44" s="170"/>
      <c r="G44" s="170"/>
      <c r="H44" s="170"/>
      <c r="I44" s="170"/>
    </row>
    <row r="45" spans="1:9" x14ac:dyDescent="0.25">
      <c r="A45" s="2" t="str">
        <f t="shared" si="0"/>
        <v>2C</v>
      </c>
      <c r="B45" s="3" t="str">
        <f t="shared" si="1"/>
        <v>00;</v>
      </c>
      <c r="C45" s="170">
        <v>0</v>
      </c>
      <c r="D45" s="170" t="s">
        <v>1046</v>
      </c>
      <c r="E45" s="4">
        <v>1</v>
      </c>
      <c r="F45" s="170"/>
      <c r="G45" s="170"/>
      <c r="H45" s="170"/>
      <c r="I45" s="170"/>
    </row>
    <row r="46" spans="1:9" x14ac:dyDescent="0.25">
      <c r="A46" s="2" t="str">
        <f t="shared" si="0"/>
        <v>2D</v>
      </c>
      <c r="B46" s="3" t="str">
        <f t="shared" si="1"/>
        <v>00;</v>
      </c>
      <c r="C46" s="170">
        <v>0</v>
      </c>
      <c r="D46" s="170"/>
      <c r="E46" s="4">
        <v>2</v>
      </c>
      <c r="F46" s="170"/>
      <c r="G46" s="170"/>
      <c r="H46" s="170"/>
      <c r="I46" s="170"/>
    </row>
    <row r="47" spans="1:9" x14ac:dyDescent="0.25">
      <c r="A47" s="2" t="str">
        <f t="shared" si="0"/>
        <v>2E</v>
      </c>
      <c r="B47" s="3" t="str">
        <f t="shared" si="1"/>
        <v>10;</v>
      </c>
      <c r="C47" s="170">
        <v>16</v>
      </c>
      <c r="D47" s="170" t="s">
        <v>1047</v>
      </c>
      <c r="E47" s="4">
        <v>1</v>
      </c>
      <c r="F47" s="170"/>
      <c r="G47" s="170"/>
      <c r="H47" s="170"/>
      <c r="I47" s="170"/>
    </row>
    <row r="48" spans="1:9" x14ac:dyDescent="0.25">
      <c r="A48" s="2" t="str">
        <f t="shared" si="0"/>
        <v>2F</v>
      </c>
      <c r="B48" s="3" t="str">
        <f t="shared" si="1"/>
        <v>00;</v>
      </c>
      <c r="C48" s="170">
        <v>0</v>
      </c>
      <c r="D48" s="170"/>
      <c r="E48" s="4">
        <v>2</v>
      </c>
      <c r="F48" s="170"/>
      <c r="G48" s="170"/>
      <c r="H48" s="170"/>
      <c r="I48" s="170"/>
    </row>
    <row r="49" spans="1:12" x14ac:dyDescent="0.25">
      <c r="A49" s="2" t="str">
        <f t="shared" si="0"/>
        <v>30</v>
      </c>
      <c r="B49" s="3" t="str">
        <f>CONCATENATE(DEC2HEX(C49,2),";")</f>
        <v>53;</v>
      </c>
      <c r="C49" s="170">
        <v>83</v>
      </c>
      <c r="D49" s="170" t="s">
        <v>1048</v>
      </c>
      <c r="E49" s="4" t="s">
        <v>5</v>
      </c>
      <c r="F49" s="170"/>
      <c r="G49" s="170" t="s">
        <v>1049</v>
      </c>
      <c r="H49" s="5" t="s">
        <v>1050</v>
      </c>
      <c r="I49" s="170"/>
    </row>
    <row r="50" spans="1:12" x14ac:dyDescent="0.25">
      <c r="A50" s="2" t="str">
        <f t="shared" si="0"/>
        <v>31</v>
      </c>
      <c r="B50" s="3" t="str">
        <f t="shared" ref="B50:B51" si="2">CONCATENATE(DEC2HEX(C50,2),";")</f>
        <v>51;</v>
      </c>
      <c r="C50" s="170">
        <v>81</v>
      </c>
      <c r="D50" s="170" t="s">
        <v>1051</v>
      </c>
      <c r="E50" s="4" t="s">
        <v>5</v>
      </c>
      <c r="F50" s="170"/>
      <c r="G50" s="170" t="s">
        <v>1049</v>
      </c>
      <c r="H50" s="170"/>
      <c r="I50" s="170"/>
    </row>
    <row r="51" spans="1:12" x14ac:dyDescent="0.25">
      <c r="A51" s="2" t="str">
        <f t="shared" si="0"/>
        <v>32</v>
      </c>
      <c r="B51" s="3" t="str">
        <f t="shared" si="2"/>
        <v>53;</v>
      </c>
      <c r="C51" s="170">
        <v>83</v>
      </c>
      <c r="D51" s="170" t="s">
        <v>1052</v>
      </c>
      <c r="E51" s="4" t="s">
        <v>5</v>
      </c>
      <c r="F51" s="170"/>
      <c r="G51" s="170" t="s">
        <v>1053</v>
      </c>
      <c r="H51" s="170"/>
      <c r="I51" s="170"/>
    </row>
    <row r="52" spans="1:12" x14ac:dyDescent="0.25">
      <c r="A52" s="2" t="str">
        <f t="shared" si="0"/>
        <v>33</v>
      </c>
      <c r="B52" s="120" t="str">
        <f t="shared" si="1"/>
        <v>00;</v>
      </c>
      <c r="C52" s="175">
        <v>0</v>
      </c>
      <c r="D52" s="175" t="s">
        <v>1054</v>
      </c>
      <c r="E52" s="4" t="s">
        <v>5</v>
      </c>
      <c r="F52" s="170"/>
      <c r="G52" s="170" t="s">
        <v>1055</v>
      </c>
      <c r="H52" s="170"/>
      <c r="I52" s="170"/>
    </row>
    <row r="53" spans="1:12" x14ac:dyDescent="0.25">
      <c r="A53" s="2" t="str">
        <f t="shared" si="0"/>
        <v>34</v>
      </c>
      <c r="B53" s="113" t="str">
        <f t="shared" si="1"/>
        <v>01;</v>
      </c>
      <c r="C53" s="114">
        <v>1</v>
      </c>
      <c r="D53" s="114" t="s">
        <v>1056</v>
      </c>
      <c r="E53" s="4" t="s">
        <v>5</v>
      </c>
      <c r="F53" s="170"/>
      <c r="G53" s="170" t="s">
        <v>1057</v>
      </c>
      <c r="H53" s="170"/>
      <c r="I53" s="170"/>
    </row>
    <row r="54" spans="1:12" x14ac:dyDescent="0.25">
      <c r="A54" s="2" t="str">
        <f t="shared" si="0"/>
        <v>35</v>
      </c>
      <c r="B54" s="3" t="str">
        <f t="shared" si="1"/>
        <v>14;</v>
      </c>
      <c r="C54" s="170">
        <v>20</v>
      </c>
      <c r="D54" s="170" t="s">
        <v>1058</v>
      </c>
      <c r="E54" s="4" t="s">
        <v>1059</v>
      </c>
      <c r="F54" s="170"/>
      <c r="G54" s="170" t="s">
        <v>1060</v>
      </c>
      <c r="H54" s="170"/>
      <c r="I54" s="170"/>
    </row>
    <row r="55" spans="1:12" x14ac:dyDescent="0.25">
      <c r="A55" s="2" t="str">
        <f t="shared" si="0"/>
        <v>36</v>
      </c>
      <c r="B55" s="3" t="str">
        <f t="shared" si="1"/>
        <v>20;</v>
      </c>
      <c r="C55" s="170">
        <v>32</v>
      </c>
      <c r="D55" s="170" t="s">
        <v>1061</v>
      </c>
      <c r="E55" s="4" t="s">
        <v>1062</v>
      </c>
      <c r="F55" s="170"/>
      <c r="G55" s="170" t="s">
        <v>1063</v>
      </c>
      <c r="H55" s="170"/>
      <c r="I55" s="170"/>
    </row>
    <row r="56" spans="1:12" x14ac:dyDescent="0.25">
      <c r="A56" s="2" t="str">
        <f t="shared" si="0"/>
        <v>37</v>
      </c>
      <c r="B56" s="3" t="str">
        <f t="shared" si="1"/>
        <v>32;</v>
      </c>
      <c r="C56" s="170">
        <v>50</v>
      </c>
      <c r="D56" s="170" t="s">
        <v>1061</v>
      </c>
      <c r="E56" s="4" t="s">
        <v>1062</v>
      </c>
      <c r="F56" s="170"/>
      <c r="G56" s="170" t="s">
        <v>1063</v>
      </c>
      <c r="H56" s="170"/>
      <c r="I56" s="170"/>
    </row>
    <row r="57" spans="1:12" x14ac:dyDescent="0.25">
      <c r="A57" s="2" t="str">
        <f t="shared" si="0"/>
        <v>38</v>
      </c>
      <c r="B57" s="3" t="str">
        <f t="shared" si="1"/>
        <v>20;</v>
      </c>
      <c r="C57" s="170">
        <v>32</v>
      </c>
      <c r="D57" s="170" t="s">
        <v>1061</v>
      </c>
      <c r="E57" s="4" t="s">
        <v>1062</v>
      </c>
      <c r="F57" s="170"/>
      <c r="G57" s="170" t="s">
        <v>1063</v>
      </c>
      <c r="H57" s="170"/>
      <c r="I57" s="170"/>
    </row>
    <row r="58" spans="1:12" x14ac:dyDescent="0.25">
      <c r="A58" s="2" t="str">
        <f t="shared" si="0"/>
        <v>39</v>
      </c>
      <c r="B58" s="3" t="str">
        <f t="shared" si="1"/>
        <v>07;</v>
      </c>
      <c r="C58" s="170">
        <v>7</v>
      </c>
      <c r="D58" s="170" t="s">
        <v>1064</v>
      </c>
      <c r="E58" s="4"/>
      <c r="F58" s="170"/>
      <c r="G58" s="170" t="s">
        <v>1065</v>
      </c>
      <c r="H58" s="170"/>
      <c r="I58" s="170"/>
    </row>
    <row r="59" spans="1:12" x14ac:dyDescent="0.25">
      <c r="A59" s="2" t="str">
        <f t="shared" si="0"/>
        <v>3A</v>
      </c>
      <c r="B59" s="110" t="str">
        <f>CONCATENATE(DEC2HEX(C59,2),";")</f>
        <v>03;</v>
      </c>
      <c r="C59" s="111">
        <v>3</v>
      </c>
      <c r="D59" s="111" t="s">
        <v>1066</v>
      </c>
      <c r="E59" s="112" t="s">
        <v>1067</v>
      </c>
      <c r="F59" s="111"/>
      <c r="G59" s="111" t="s">
        <v>45</v>
      </c>
      <c r="H59" s="111"/>
      <c r="I59" s="111"/>
    </row>
    <row r="60" spans="1:12" x14ac:dyDescent="0.25">
      <c r="A60" s="2" t="str">
        <f t="shared" si="0"/>
        <v>3B</v>
      </c>
      <c r="B60" s="110" t="str">
        <f t="shared" ref="B60:B85" si="3">CONCATENATE(DEC2HEX(C60,2),";")</f>
        <v>01;</v>
      </c>
      <c r="C60" s="111">
        <v>1</v>
      </c>
      <c r="D60" s="111" t="s">
        <v>1066</v>
      </c>
      <c r="E60" s="112" t="s">
        <v>5</v>
      </c>
      <c r="F60" s="111"/>
      <c r="G60" s="111" t="s">
        <v>1068</v>
      </c>
      <c r="H60" s="111"/>
      <c r="I60" s="111"/>
    </row>
    <row r="61" spans="1:12" x14ac:dyDescent="0.25">
      <c r="A61" s="2" t="str">
        <f t="shared" si="0"/>
        <v>3C</v>
      </c>
      <c r="B61" s="110" t="str">
        <f t="shared" si="3"/>
        <v>00;</v>
      </c>
      <c r="C61" s="111">
        <v>0</v>
      </c>
      <c r="D61" s="111" t="s">
        <v>1066</v>
      </c>
      <c r="E61" s="112" t="s">
        <v>1069</v>
      </c>
      <c r="F61" s="111"/>
      <c r="G61" s="111" t="s">
        <v>1070</v>
      </c>
      <c r="H61" s="111"/>
      <c r="I61" s="111"/>
      <c r="K61">
        <v>15</v>
      </c>
      <c r="L61" t="s">
        <v>1071</v>
      </c>
    </row>
    <row r="62" spans="1:12" x14ac:dyDescent="0.25">
      <c r="A62" s="2" t="str">
        <f t="shared" si="0"/>
        <v>3D</v>
      </c>
      <c r="B62" s="110" t="str">
        <f t="shared" si="3"/>
        <v>00;</v>
      </c>
      <c r="C62" s="111">
        <v>0</v>
      </c>
      <c r="D62" s="111" t="s">
        <v>1066</v>
      </c>
      <c r="E62" s="112" t="s">
        <v>1072</v>
      </c>
      <c r="F62" s="111"/>
      <c r="G62" s="111" t="s">
        <v>1073</v>
      </c>
      <c r="H62" s="111"/>
      <c r="I62" s="111"/>
      <c r="K62">
        <v>16</v>
      </c>
      <c r="L62" t="s">
        <v>1074</v>
      </c>
    </row>
    <row r="63" spans="1:12" x14ac:dyDescent="0.25">
      <c r="A63" s="2" t="str">
        <f t="shared" si="0"/>
        <v>3E</v>
      </c>
      <c r="B63" s="110" t="str">
        <f t="shared" si="3"/>
        <v>00;</v>
      </c>
      <c r="C63" s="111">
        <v>0</v>
      </c>
      <c r="D63" s="111" t="s">
        <v>1066</v>
      </c>
      <c r="E63" s="112" t="s">
        <v>1075</v>
      </c>
      <c r="F63" s="111"/>
      <c r="G63" s="111" t="s">
        <v>1073</v>
      </c>
      <c r="H63" s="111"/>
      <c r="I63" s="111"/>
    </row>
    <row r="64" spans="1:12" x14ac:dyDescent="0.25">
      <c r="A64" s="2" t="str">
        <f t="shared" si="0"/>
        <v>3F</v>
      </c>
      <c r="B64" s="110" t="str">
        <f t="shared" si="3"/>
        <v>00;</v>
      </c>
      <c r="C64" s="111">
        <v>0</v>
      </c>
      <c r="D64" s="111" t="s">
        <v>1066</v>
      </c>
      <c r="E64" s="112" t="s">
        <v>1076</v>
      </c>
      <c r="F64" s="111"/>
      <c r="G64" s="111" t="s">
        <v>1077</v>
      </c>
      <c r="H64" s="111"/>
      <c r="I64" s="111"/>
    </row>
    <row r="65" spans="1:12" x14ac:dyDescent="0.25">
      <c r="A65" s="2" t="str">
        <f t="shared" si="0"/>
        <v>40</v>
      </c>
      <c r="B65" s="110" t="str">
        <f t="shared" si="3"/>
        <v>00;</v>
      </c>
      <c r="C65" s="111">
        <v>0</v>
      </c>
      <c r="D65" s="111" t="s">
        <v>1066</v>
      </c>
      <c r="E65" s="112" t="s">
        <v>1078</v>
      </c>
      <c r="F65" s="111"/>
      <c r="G65" s="111" t="s">
        <v>1077</v>
      </c>
      <c r="H65" s="111"/>
      <c r="I65" s="111"/>
      <c r="K65" t="str">
        <f>CONCATENATE("1",IF(K61&gt;8,"1","0"),IF(K61&gt;8,DEC2BIN(K61-9,3),DEC2BIN(K61-1,3)),IF(K61&gt;8,DEC2BIN(K62-9,3),DEC2BIN(K62-1,3)))</f>
        <v>11110111</v>
      </c>
      <c r="L65" t="str">
        <f>CONCATENATE(BIN2HEX(K65,2),";")</f>
        <v>F7;</v>
      </c>
    </row>
    <row r="66" spans="1:12" x14ac:dyDescent="0.25">
      <c r="A66" s="2" t="str">
        <f t="shared" si="0"/>
        <v>41</v>
      </c>
      <c r="B66" s="110" t="str">
        <f t="shared" si="3"/>
        <v>00;</v>
      </c>
      <c r="C66" s="111">
        <v>0</v>
      </c>
      <c r="D66" s="111" t="s">
        <v>1066</v>
      </c>
      <c r="E66" s="112" t="s">
        <v>1079</v>
      </c>
      <c r="F66" s="111"/>
      <c r="G66" s="111" t="s">
        <v>1077</v>
      </c>
      <c r="H66" s="111"/>
      <c r="I66" s="111"/>
    </row>
    <row r="67" spans="1:12" x14ac:dyDescent="0.25">
      <c r="A67" s="2" t="str">
        <f t="shared" si="0"/>
        <v>42</v>
      </c>
      <c r="B67" s="110" t="str">
        <f>IF(C67&gt;0,"2"&amp;C67&amp;";","00;")</f>
        <v>00;</v>
      </c>
      <c r="C67" s="111">
        <v>0</v>
      </c>
      <c r="D67" s="111" t="s">
        <v>1066</v>
      </c>
      <c r="E67" s="112" t="s">
        <v>1080</v>
      </c>
      <c r="F67" s="111"/>
      <c r="G67" s="111" t="s">
        <v>1081</v>
      </c>
      <c r="H67" s="111"/>
      <c r="I67" s="111"/>
    </row>
    <row r="68" spans="1:12" x14ac:dyDescent="0.25">
      <c r="A68" s="2" t="str">
        <f t="shared" ref="A68:A135" si="4">IF(ROW()-1&lt;16,CONCATENATE("0",DEC2HEX(ROW()-1)),DEC2HEX(ROW()-1))</f>
        <v>43</v>
      </c>
      <c r="B68" s="113" t="str">
        <f t="shared" si="3"/>
        <v>00;</v>
      </c>
      <c r="C68" s="114">
        <v>0</v>
      </c>
      <c r="D68" s="114" t="s">
        <v>1082</v>
      </c>
      <c r="E68" s="115" t="s">
        <v>1067</v>
      </c>
      <c r="F68" s="114"/>
      <c r="G68" s="114" t="s">
        <v>45</v>
      </c>
      <c r="H68" s="114"/>
      <c r="I68" s="114"/>
    </row>
    <row r="69" spans="1:12" x14ac:dyDescent="0.25">
      <c r="A69" s="2" t="str">
        <f t="shared" si="4"/>
        <v>44</v>
      </c>
      <c r="B69" s="113" t="str">
        <f t="shared" si="3"/>
        <v>00;</v>
      </c>
      <c r="C69" s="114">
        <v>0</v>
      </c>
      <c r="D69" s="114" t="s">
        <v>1082</v>
      </c>
      <c r="E69" s="115" t="s">
        <v>5</v>
      </c>
      <c r="F69" s="114"/>
      <c r="G69" s="114" t="s">
        <v>1068</v>
      </c>
      <c r="H69" s="114"/>
      <c r="I69" s="114"/>
    </row>
    <row r="70" spans="1:12" x14ac:dyDescent="0.25">
      <c r="A70" s="2" t="str">
        <f t="shared" si="4"/>
        <v>45</v>
      </c>
      <c r="B70" s="113" t="str">
        <f t="shared" si="3"/>
        <v>00;</v>
      </c>
      <c r="C70" s="114">
        <v>0</v>
      </c>
      <c r="D70" s="114" t="s">
        <v>1082</v>
      </c>
      <c r="E70" s="115" t="s">
        <v>1069</v>
      </c>
      <c r="F70" s="114"/>
      <c r="G70" s="114" t="s">
        <v>1070</v>
      </c>
      <c r="H70" s="114"/>
      <c r="I70" s="114"/>
    </row>
    <row r="71" spans="1:12" x14ac:dyDescent="0.25">
      <c r="A71" s="2" t="str">
        <f t="shared" si="4"/>
        <v>46</v>
      </c>
      <c r="B71" s="113" t="str">
        <f t="shared" si="3"/>
        <v>00;</v>
      </c>
      <c r="C71" s="114">
        <v>0</v>
      </c>
      <c r="D71" s="114" t="s">
        <v>1082</v>
      </c>
      <c r="E71" s="115" t="s">
        <v>1072</v>
      </c>
      <c r="F71" s="114"/>
      <c r="G71" s="114" t="s">
        <v>1073</v>
      </c>
      <c r="H71" s="114"/>
      <c r="I71" s="114"/>
    </row>
    <row r="72" spans="1:12" x14ac:dyDescent="0.25">
      <c r="A72" s="2" t="str">
        <f t="shared" si="4"/>
        <v>47</v>
      </c>
      <c r="B72" s="113" t="str">
        <f t="shared" si="3"/>
        <v>00;</v>
      </c>
      <c r="C72" s="114">
        <v>0</v>
      </c>
      <c r="D72" s="114" t="s">
        <v>1082</v>
      </c>
      <c r="E72" s="115" t="s">
        <v>1075</v>
      </c>
      <c r="F72" s="114"/>
      <c r="G72" s="114" t="s">
        <v>1073</v>
      </c>
      <c r="H72" s="114"/>
      <c r="I72" s="114"/>
    </row>
    <row r="73" spans="1:12" x14ac:dyDescent="0.25">
      <c r="A73" s="2" t="str">
        <f t="shared" si="4"/>
        <v>48</v>
      </c>
      <c r="B73" s="113" t="str">
        <f t="shared" si="3"/>
        <v>00;</v>
      </c>
      <c r="C73" s="114">
        <v>0</v>
      </c>
      <c r="D73" s="114" t="s">
        <v>1082</v>
      </c>
      <c r="E73" s="115" t="s">
        <v>1076</v>
      </c>
      <c r="F73" s="114"/>
      <c r="G73" s="114" t="s">
        <v>1077</v>
      </c>
      <c r="H73" s="114"/>
      <c r="I73" s="114"/>
    </row>
    <row r="74" spans="1:12" x14ac:dyDescent="0.25">
      <c r="A74" s="2" t="str">
        <f t="shared" si="4"/>
        <v>49</v>
      </c>
      <c r="B74" s="113" t="str">
        <f t="shared" si="3"/>
        <v>00;</v>
      </c>
      <c r="C74" s="114">
        <v>0</v>
      </c>
      <c r="D74" s="114" t="s">
        <v>1082</v>
      </c>
      <c r="E74" s="115" t="s">
        <v>1078</v>
      </c>
      <c r="F74" s="114"/>
      <c r="G74" s="114" t="s">
        <v>1077</v>
      </c>
      <c r="H74" s="114"/>
      <c r="I74" s="114"/>
    </row>
    <row r="75" spans="1:12" x14ac:dyDescent="0.25">
      <c r="A75" s="2" t="str">
        <f t="shared" si="4"/>
        <v>4A</v>
      </c>
      <c r="B75" s="113" t="str">
        <f t="shared" si="3"/>
        <v>00;</v>
      </c>
      <c r="C75" s="114">
        <v>0</v>
      </c>
      <c r="D75" s="114" t="s">
        <v>1082</v>
      </c>
      <c r="E75" s="115" t="s">
        <v>1079</v>
      </c>
      <c r="F75" s="114"/>
      <c r="G75" s="114" t="s">
        <v>1077</v>
      </c>
      <c r="H75" s="114"/>
      <c r="I75" s="114"/>
    </row>
    <row r="76" spans="1:12" x14ac:dyDescent="0.25">
      <c r="A76" s="2" t="str">
        <f t="shared" si="4"/>
        <v>4B</v>
      </c>
      <c r="B76" s="113" t="str">
        <f t="shared" si="3"/>
        <v>00;</v>
      </c>
      <c r="C76" s="114">
        <v>0</v>
      </c>
      <c r="D76" s="114" t="s">
        <v>1082</v>
      </c>
      <c r="E76" s="115" t="s">
        <v>1080</v>
      </c>
      <c r="F76" s="114"/>
      <c r="G76" s="114" t="s">
        <v>1083</v>
      </c>
      <c r="H76" s="114"/>
      <c r="I76" s="114"/>
    </row>
    <row r="77" spans="1:12" x14ac:dyDescent="0.25">
      <c r="A77" s="2" t="str">
        <f t="shared" si="4"/>
        <v>4C</v>
      </c>
      <c r="B77" s="116" t="str">
        <f t="shared" si="3"/>
        <v>00;</v>
      </c>
      <c r="C77" s="117">
        <v>0</v>
      </c>
      <c r="D77" s="117" t="s">
        <v>1084</v>
      </c>
      <c r="E77" s="118" t="s">
        <v>1067</v>
      </c>
      <c r="F77" s="117"/>
      <c r="G77" s="117" t="s">
        <v>45</v>
      </c>
      <c r="H77" s="117"/>
      <c r="I77" s="117"/>
    </row>
    <row r="78" spans="1:12" x14ac:dyDescent="0.25">
      <c r="A78" s="2" t="str">
        <f t="shared" si="4"/>
        <v>4D</v>
      </c>
      <c r="B78" s="116" t="str">
        <f t="shared" si="3"/>
        <v>00;</v>
      </c>
      <c r="C78" s="117">
        <v>0</v>
      </c>
      <c r="D78" s="117" t="s">
        <v>1084</v>
      </c>
      <c r="E78" s="118" t="s">
        <v>5</v>
      </c>
      <c r="F78" s="117"/>
      <c r="G78" s="117" t="s">
        <v>1068</v>
      </c>
      <c r="H78" s="117"/>
      <c r="I78" s="117"/>
    </row>
    <row r="79" spans="1:12" x14ac:dyDescent="0.25">
      <c r="A79" s="2" t="str">
        <f t="shared" si="4"/>
        <v>4E</v>
      </c>
      <c r="B79" s="116" t="str">
        <f t="shared" si="3"/>
        <v>00;</v>
      </c>
      <c r="C79" s="117">
        <v>0</v>
      </c>
      <c r="D79" s="117" t="s">
        <v>1084</v>
      </c>
      <c r="E79" s="118" t="s">
        <v>1069</v>
      </c>
      <c r="F79" s="117"/>
      <c r="G79" s="117" t="s">
        <v>1070</v>
      </c>
      <c r="H79" s="117"/>
      <c r="I79" s="117"/>
    </row>
    <row r="80" spans="1:12" x14ac:dyDescent="0.25">
      <c r="A80" s="2" t="str">
        <f t="shared" si="4"/>
        <v>4F</v>
      </c>
      <c r="B80" s="116" t="str">
        <f t="shared" si="3"/>
        <v>00;</v>
      </c>
      <c r="C80" s="117">
        <v>0</v>
      </c>
      <c r="D80" s="117" t="s">
        <v>1084</v>
      </c>
      <c r="E80" s="118" t="s">
        <v>1072</v>
      </c>
      <c r="F80" s="117"/>
      <c r="G80" s="117" t="s">
        <v>1073</v>
      </c>
      <c r="H80" s="117"/>
      <c r="I80" s="117"/>
    </row>
    <row r="81" spans="1:9" x14ac:dyDescent="0.25">
      <c r="A81" s="2" t="str">
        <f t="shared" si="4"/>
        <v>50</v>
      </c>
      <c r="B81" s="116" t="str">
        <f t="shared" si="3"/>
        <v>00;</v>
      </c>
      <c r="C81" s="117">
        <v>0</v>
      </c>
      <c r="D81" s="117" t="s">
        <v>1084</v>
      </c>
      <c r="E81" s="118" t="s">
        <v>1075</v>
      </c>
      <c r="F81" s="117"/>
      <c r="G81" s="117" t="s">
        <v>1073</v>
      </c>
      <c r="H81" s="117"/>
      <c r="I81" s="117"/>
    </row>
    <row r="82" spans="1:9" x14ac:dyDescent="0.25">
      <c r="A82" s="2" t="str">
        <f t="shared" si="4"/>
        <v>51</v>
      </c>
      <c r="B82" s="116" t="str">
        <f t="shared" si="3"/>
        <v>00;</v>
      </c>
      <c r="C82" s="117">
        <v>0</v>
      </c>
      <c r="D82" s="117" t="s">
        <v>1084</v>
      </c>
      <c r="E82" s="118" t="s">
        <v>1076</v>
      </c>
      <c r="F82" s="117"/>
      <c r="G82" s="117" t="s">
        <v>1077</v>
      </c>
      <c r="H82" s="117"/>
      <c r="I82" s="117"/>
    </row>
    <row r="83" spans="1:9" x14ac:dyDescent="0.25">
      <c r="A83" s="2" t="str">
        <f t="shared" si="4"/>
        <v>52</v>
      </c>
      <c r="B83" s="116" t="str">
        <f t="shared" si="3"/>
        <v>00;</v>
      </c>
      <c r="C83" s="117">
        <v>0</v>
      </c>
      <c r="D83" s="117" t="s">
        <v>1084</v>
      </c>
      <c r="E83" s="118" t="s">
        <v>1078</v>
      </c>
      <c r="F83" s="117"/>
      <c r="G83" s="117" t="s">
        <v>1077</v>
      </c>
      <c r="H83" s="117"/>
      <c r="I83" s="117"/>
    </row>
    <row r="84" spans="1:9" x14ac:dyDescent="0.25">
      <c r="A84" s="2" t="str">
        <f t="shared" si="4"/>
        <v>53</v>
      </c>
      <c r="B84" s="116" t="str">
        <f t="shared" si="3"/>
        <v>00;</v>
      </c>
      <c r="C84" s="117">
        <v>0</v>
      </c>
      <c r="D84" s="117" t="s">
        <v>1084</v>
      </c>
      <c r="E84" s="118" t="s">
        <v>1079</v>
      </c>
      <c r="F84" s="117"/>
      <c r="G84" s="117" t="s">
        <v>1077</v>
      </c>
      <c r="H84" s="117"/>
      <c r="I84" s="117"/>
    </row>
    <row r="85" spans="1:9" x14ac:dyDescent="0.25">
      <c r="A85" s="2" t="str">
        <f t="shared" si="4"/>
        <v>54</v>
      </c>
      <c r="B85" s="116" t="str">
        <f t="shared" si="3"/>
        <v>00;</v>
      </c>
      <c r="C85" s="117">
        <v>0</v>
      </c>
      <c r="D85" s="117" t="s">
        <v>1084</v>
      </c>
      <c r="E85" s="118" t="s">
        <v>1080</v>
      </c>
      <c r="F85" s="117"/>
      <c r="G85" s="117" t="s">
        <v>1083</v>
      </c>
      <c r="H85" s="117"/>
      <c r="I85" s="117"/>
    </row>
    <row r="86" spans="1:9" x14ac:dyDescent="0.25">
      <c r="A86" s="2" t="str">
        <f t="shared" si="4"/>
        <v>55</v>
      </c>
      <c r="B86" s="3" t="str">
        <f t="shared" ref="B86:B149" si="5">IF(C86&lt;16,CONCATENATE("0",DEC2HEX(C86),";"),CONCATENATE(DEC2HEX(C86),";"))</f>
        <v>00;</v>
      </c>
      <c r="C86" s="170">
        <v>0</v>
      </c>
      <c r="D86" s="170" t="s">
        <v>1085</v>
      </c>
      <c r="E86" s="4" t="s">
        <v>1067</v>
      </c>
      <c r="F86" s="170"/>
      <c r="G86" s="170" t="s">
        <v>45</v>
      </c>
      <c r="H86" s="170"/>
      <c r="I86" s="170"/>
    </row>
    <row r="87" spans="1:9" x14ac:dyDescent="0.25">
      <c r="A87" s="2" t="str">
        <f t="shared" si="4"/>
        <v>56</v>
      </c>
      <c r="B87" s="3" t="str">
        <f t="shared" si="5"/>
        <v>00;</v>
      </c>
      <c r="C87" s="170">
        <v>0</v>
      </c>
      <c r="D87" s="170" t="s">
        <v>1085</v>
      </c>
      <c r="E87" s="4" t="s">
        <v>5</v>
      </c>
      <c r="F87" s="170"/>
      <c r="G87" s="170" t="s">
        <v>1068</v>
      </c>
      <c r="H87" s="170"/>
      <c r="I87" s="170"/>
    </row>
    <row r="88" spans="1:9" x14ac:dyDescent="0.25">
      <c r="A88" s="2" t="str">
        <f t="shared" si="4"/>
        <v>57</v>
      </c>
      <c r="B88" s="3" t="str">
        <f t="shared" si="5"/>
        <v>00;</v>
      </c>
      <c r="C88" s="170">
        <v>0</v>
      </c>
      <c r="D88" s="170" t="s">
        <v>1085</v>
      </c>
      <c r="E88" s="4" t="s">
        <v>1069</v>
      </c>
      <c r="F88" s="170"/>
      <c r="G88" s="170" t="s">
        <v>1070</v>
      </c>
      <c r="H88" s="170"/>
      <c r="I88" s="170"/>
    </row>
    <row r="89" spans="1:9" x14ac:dyDescent="0.25">
      <c r="A89" s="2" t="str">
        <f t="shared" si="4"/>
        <v>58</v>
      </c>
      <c r="B89" s="3" t="str">
        <f t="shared" si="5"/>
        <v>00;</v>
      </c>
      <c r="C89" s="170">
        <v>0</v>
      </c>
      <c r="D89" s="170" t="s">
        <v>1085</v>
      </c>
      <c r="E89" s="4" t="s">
        <v>1072</v>
      </c>
      <c r="F89" s="170"/>
      <c r="G89" s="170" t="s">
        <v>1073</v>
      </c>
      <c r="H89" s="170"/>
      <c r="I89" s="170"/>
    </row>
    <row r="90" spans="1:9" x14ac:dyDescent="0.25">
      <c r="A90" s="2" t="str">
        <f t="shared" si="4"/>
        <v>59</v>
      </c>
      <c r="B90" s="3" t="str">
        <f t="shared" si="5"/>
        <v>00;</v>
      </c>
      <c r="C90" s="170">
        <v>0</v>
      </c>
      <c r="D90" s="170" t="s">
        <v>1085</v>
      </c>
      <c r="E90" s="4" t="s">
        <v>1075</v>
      </c>
      <c r="F90" s="170"/>
      <c r="G90" s="170" t="s">
        <v>1073</v>
      </c>
      <c r="H90" s="170"/>
      <c r="I90" s="170"/>
    </row>
    <row r="91" spans="1:9" x14ac:dyDescent="0.25">
      <c r="A91" s="2" t="str">
        <f t="shared" si="4"/>
        <v>5A</v>
      </c>
      <c r="B91" s="3" t="str">
        <f t="shared" si="5"/>
        <v>00;</v>
      </c>
      <c r="C91" s="170">
        <v>0</v>
      </c>
      <c r="D91" s="170" t="s">
        <v>1085</v>
      </c>
      <c r="E91" s="4" t="s">
        <v>1076</v>
      </c>
      <c r="F91" s="170"/>
      <c r="G91" s="170" t="s">
        <v>1077</v>
      </c>
      <c r="H91" s="170"/>
      <c r="I91" s="170"/>
    </row>
    <row r="92" spans="1:9" x14ac:dyDescent="0.25">
      <c r="A92" s="2" t="str">
        <f t="shared" si="4"/>
        <v>5B</v>
      </c>
      <c r="B92" s="3" t="str">
        <f t="shared" si="5"/>
        <v>00;</v>
      </c>
      <c r="C92" s="170">
        <v>0</v>
      </c>
      <c r="D92" s="170" t="s">
        <v>1085</v>
      </c>
      <c r="E92" s="4" t="s">
        <v>1078</v>
      </c>
      <c r="F92" s="170"/>
      <c r="G92" s="170" t="s">
        <v>1077</v>
      </c>
      <c r="H92" s="170"/>
      <c r="I92" s="170"/>
    </row>
    <row r="93" spans="1:9" x14ac:dyDescent="0.25">
      <c r="A93" s="2" t="str">
        <f t="shared" si="4"/>
        <v>5C</v>
      </c>
      <c r="B93" s="3" t="str">
        <f t="shared" si="5"/>
        <v>00;</v>
      </c>
      <c r="C93" s="170">
        <v>0</v>
      </c>
      <c r="D93" s="170" t="s">
        <v>1085</v>
      </c>
      <c r="E93" s="4" t="s">
        <v>1079</v>
      </c>
      <c r="F93" s="170"/>
      <c r="G93" s="170" t="s">
        <v>1077</v>
      </c>
      <c r="H93" s="170"/>
      <c r="I93" s="170"/>
    </row>
    <row r="94" spans="1:9" x14ac:dyDescent="0.25">
      <c r="A94" s="2" t="str">
        <f t="shared" si="4"/>
        <v>5D</v>
      </c>
      <c r="B94" s="3" t="str">
        <f t="shared" si="5"/>
        <v>00;</v>
      </c>
      <c r="C94" s="170">
        <v>0</v>
      </c>
      <c r="D94" s="170" t="s">
        <v>1085</v>
      </c>
      <c r="E94" s="4" t="s">
        <v>1080</v>
      </c>
      <c r="F94" s="170"/>
      <c r="G94" s="170" t="s">
        <v>1083</v>
      </c>
      <c r="H94" s="170"/>
      <c r="I94" s="170"/>
    </row>
    <row r="95" spans="1:9" x14ac:dyDescent="0.25">
      <c r="A95" s="2" t="str">
        <f t="shared" si="4"/>
        <v>5E</v>
      </c>
      <c r="B95" s="3" t="str">
        <f t="shared" si="5"/>
        <v>00;</v>
      </c>
      <c r="C95" s="170">
        <v>0</v>
      </c>
      <c r="D95" s="170" t="s">
        <v>1086</v>
      </c>
      <c r="E95" s="4" t="s">
        <v>1067</v>
      </c>
      <c r="F95" s="170"/>
      <c r="G95" s="170" t="s">
        <v>45</v>
      </c>
      <c r="H95" s="170"/>
      <c r="I95" s="170"/>
    </row>
    <row r="96" spans="1:9" x14ac:dyDescent="0.25">
      <c r="A96" s="2" t="str">
        <f t="shared" si="4"/>
        <v>5F</v>
      </c>
      <c r="B96" s="3" t="str">
        <f t="shared" si="5"/>
        <v>00;</v>
      </c>
      <c r="C96" s="170">
        <v>0</v>
      </c>
      <c r="D96" s="170" t="s">
        <v>1086</v>
      </c>
      <c r="E96" s="4" t="s">
        <v>5</v>
      </c>
      <c r="F96" s="170"/>
      <c r="G96" s="170" t="s">
        <v>1068</v>
      </c>
      <c r="H96" s="170"/>
      <c r="I96" s="170"/>
    </row>
    <row r="97" spans="1:9" x14ac:dyDescent="0.25">
      <c r="A97" s="2" t="str">
        <f t="shared" si="4"/>
        <v>60</v>
      </c>
      <c r="B97" s="3" t="str">
        <f t="shared" si="5"/>
        <v>00;</v>
      </c>
      <c r="C97" s="170">
        <v>0</v>
      </c>
      <c r="D97" s="170" t="s">
        <v>1086</v>
      </c>
      <c r="E97" s="4" t="s">
        <v>1069</v>
      </c>
      <c r="F97" s="170"/>
      <c r="G97" s="170" t="s">
        <v>1070</v>
      </c>
      <c r="H97" s="170"/>
      <c r="I97" s="170"/>
    </row>
    <row r="98" spans="1:9" x14ac:dyDescent="0.25">
      <c r="A98" s="2" t="str">
        <f t="shared" si="4"/>
        <v>61</v>
      </c>
      <c r="B98" s="3" t="str">
        <f t="shared" si="5"/>
        <v>00;</v>
      </c>
      <c r="C98" s="170">
        <v>0</v>
      </c>
      <c r="D98" s="170" t="s">
        <v>1086</v>
      </c>
      <c r="E98" s="4" t="s">
        <v>1072</v>
      </c>
      <c r="F98" s="170"/>
      <c r="G98" s="170" t="s">
        <v>1073</v>
      </c>
      <c r="H98" s="170"/>
      <c r="I98" s="170"/>
    </row>
    <row r="99" spans="1:9" x14ac:dyDescent="0.25">
      <c r="A99" s="2" t="str">
        <f t="shared" si="4"/>
        <v>62</v>
      </c>
      <c r="B99" s="3" t="str">
        <f t="shared" si="5"/>
        <v>00;</v>
      </c>
      <c r="C99" s="170">
        <v>0</v>
      </c>
      <c r="D99" s="170" t="s">
        <v>1086</v>
      </c>
      <c r="E99" s="4" t="s">
        <v>1075</v>
      </c>
      <c r="F99" s="170"/>
      <c r="G99" s="170" t="s">
        <v>1073</v>
      </c>
      <c r="H99" s="170"/>
      <c r="I99" s="170"/>
    </row>
    <row r="100" spans="1:9" x14ac:dyDescent="0.25">
      <c r="A100" s="2" t="str">
        <f t="shared" si="4"/>
        <v>63</v>
      </c>
      <c r="B100" s="3" t="str">
        <f t="shared" si="5"/>
        <v>00;</v>
      </c>
      <c r="C100" s="170">
        <v>0</v>
      </c>
      <c r="D100" s="170" t="s">
        <v>1086</v>
      </c>
      <c r="E100" s="4" t="s">
        <v>1076</v>
      </c>
      <c r="F100" s="170"/>
      <c r="G100" s="170" t="s">
        <v>1077</v>
      </c>
      <c r="H100" s="170"/>
      <c r="I100" s="170"/>
    </row>
    <row r="101" spans="1:9" x14ac:dyDescent="0.25">
      <c r="A101" s="2" t="str">
        <f t="shared" si="4"/>
        <v>64</v>
      </c>
      <c r="B101" s="3" t="str">
        <f t="shared" si="5"/>
        <v>00;</v>
      </c>
      <c r="C101" s="170">
        <v>0</v>
      </c>
      <c r="D101" s="170" t="s">
        <v>1086</v>
      </c>
      <c r="E101" s="4" t="s">
        <v>1078</v>
      </c>
      <c r="F101" s="170"/>
      <c r="G101" s="170" t="s">
        <v>1077</v>
      </c>
      <c r="H101" s="170"/>
      <c r="I101" s="170"/>
    </row>
    <row r="102" spans="1:9" x14ac:dyDescent="0.25">
      <c r="A102" s="2" t="str">
        <f t="shared" si="4"/>
        <v>65</v>
      </c>
      <c r="B102" s="3" t="str">
        <f t="shared" si="5"/>
        <v>00;</v>
      </c>
      <c r="C102" s="170">
        <v>0</v>
      </c>
      <c r="D102" s="170" t="s">
        <v>1086</v>
      </c>
      <c r="E102" s="4" t="s">
        <v>1079</v>
      </c>
      <c r="F102" s="170"/>
      <c r="G102" s="170" t="s">
        <v>1077</v>
      </c>
      <c r="H102" s="170"/>
      <c r="I102" s="170"/>
    </row>
    <row r="103" spans="1:9" x14ac:dyDescent="0.25">
      <c r="A103" s="2" t="str">
        <f t="shared" si="4"/>
        <v>66</v>
      </c>
      <c r="B103" s="3" t="str">
        <f t="shared" si="5"/>
        <v>00;</v>
      </c>
      <c r="C103" s="170">
        <v>0</v>
      </c>
      <c r="D103" s="170" t="s">
        <v>1086</v>
      </c>
      <c r="E103" s="4" t="s">
        <v>1080</v>
      </c>
      <c r="F103" s="170"/>
      <c r="G103" s="170" t="s">
        <v>1083</v>
      </c>
      <c r="H103" s="170"/>
      <c r="I103" s="170"/>
    </row>
    <row r="104" spans="1:9" x14ac:dyDescent="0.25">
      <c r="A104" s="2" t="str">
        <f t="shared" si="4"/>
        <v>67</v>
      </c>
      <c r="B104" s="3" t="str">
        <f t="shared" si="5"/>
        <v>00;</v>
      </c>
      <c r="C104" s="170">
        <v>0</v>
      </c>
      <c r="D104" s="170" t="s">
        <v>1087</v>
      </c>
      <c r="E104" s="4" t="s">
        <v>1067</v>
      </c>
      <c r="F104" s="170"/>
      <c r="G104" s="170" t="s">
        <v>45</v>
      </c>
      <c r="H104" s="170"/>
      <c r="I104" s="170"/>
    </row>
    <row r="105" spans="1:9" x14ac:dyDescent="0.25">
      <c r="A105" s="2" t="str">
        <f t="shared" si="4"/>
        <v>68</v>
      </c>
      <c r="B105" s="3" t="str">
        <f t="shared" si="5"/>
        <v>00;</v>
      </c>
      <c r="C105" s="170">
        <v>0</v>
      </c>
      <c r="D105" s="170" t="s">
        <v>1087</v>
      </c>
      <c r="E105" s="4" t="s">
        <v>5</v>
      </c>
      <c r="F105" s="170"/>
      <c r="G105" s="170" t="s">
        <v>1068</v>
      </c>
      <c r="H105" s="170"/>
      <c r="I105" s="170"/>
    </row>
    <row r="106" spans="1:9" x14ac:dyDescent="0.25">
      <c r="A106" s="2" t="str">
        <f t="shared" si="4"/>
        <v>69</v>
      </c>
      <c r="B106" s="3" t="str">
        <f t="shared" si="5"/>
        <v>00;</v>
      </c>
      <c r="C106" s="170">
        <v>0</v>
      </c>
      <c r="D106" s="170" t="s">
        <v>1087</v>
      </c>
      <c r="E106" s="4" t="s">
        <v>1069</v>
      </c>
      <c r="F106" s="170"/>
      <c r="G106" s="170" t="s">
        <v>1070</v>
      </c>
      <c r="H106" s="170"/>
      <c r="I106" s="170"/>
    </row>
    <row r="107" spans="1:9" x14ac:dyDescent="0.25">
      <c r="A107" s="2" t="str">
        <f t="shared" si="4"/>
        <v>6A</v>
      </c>
      <c r="B107" s="3" t="str">
        <f t="shared" si="5"/>
        <v>00;</v>
      </c>
      <c r="C107" s="170">
        <v>0</v>
      </c>
      <c r="D107" s="170" t="s">
        <v>1087</v>
      </c>
      <c r="E107" s="4" t="s">
        <v>1072</v>
      </c>
      <c r="F107" s="170"/>
      <c r="G107" s="170" t="s">
        <v>1073</v>
      </c>
      <c r="H107" s="170"/>
      <c r="I107" s="170"/>
    </row>
    <row r="108" spans="1:9" x14ac:dyDescent="0.25">
      <c r="A108" s="2" t="str">
        <f t="shared" si="4"/>
        <v>6B</v>
      </c>
      <c r="B108" s="3" t="str">
        <f t="shared" si="5"/>
        <v>00;</v>
      </c>
      <c r="C108" s="170">
        <v>0</v>
      </c>
      <c r="D108" s="170" t="s">
        <v>1087</v>
      </c>
      <c r="E108" s="4" t="s">
        <v>1075</v>
      </c>
      <c r="F108" s="170"/>
      <c r="G108" s="170" t="s">
        <v>1073</v>
      </c>
      <c r="H108" s="170"/>
      <c r="I108" s="170"/>
    </row>
    <row r="109" spans="1:9" x14ac:dyDescent="0.25">
      <c r="A109" s="2" t="str">
        <f t="shared" si="4"/>
        <v>6C</v>
      </c>
      <c r="B109" s="3" t="str">
        <f t="shared" si="5"/>
        <v>00;</v>
      </c>
      <c r="C109" s="170">
        <v>0</v>
      </c>
      <c r="D109" s="170" t="s">
        <v>1087</v>
      </c>
      <c r="E109" s="4" t="s">
        <v>1076</v>
      </c>
      <c r="F109" s="170"/>
      <c r="G109" s="170" t="s">
        <v>1077</v>
      </c>
      <c r="H109" s="170"/>
      <c r="I109" s="170"/>
    </row>
    <row r="110" spans="1:9" x14ac:dyDescent="0.25">
      <c r="A110" s="2" t="str">
        <f t="shared" si="4"/>
        <v>6D</v>
      </c>
      <c r="B110" s="3" t="str">
        <f t="shared" si="5"/>
        <v>00;</v>
      </c>
      <c r="C110" s="170">
        <v>0</v>
      </c>
      <c r="D110" s="170" t="s">
        <v>1087</v>
      </c>
      <c r="E110" s="4" t="s">
        <v>1078</v>
      </c>
      <c r="F110" s="170"/>
      <c r="G110" s="170" t="s">
        <v>1077</v>
      </c>
      <c r="H110" s="170"/>
      <c r="I110" s="170"/>
    </row>
    <row r="111" spans="1:9" x14ac:dyDescent="0.25">
      <c r="A111" s="2" t="str">
        <f t="shared" si="4"/>
        <v>6E</v>
      </c>
      <c r="B111" s="3" t="str">
        <f t="shared" si="5"/>
        <v>00;</v>
      </c>
      <c r="C111" s="170">
        <v>0</v>
      </c>
      <c r="D111" s="170" t="s">
        <v>1087</v>
      </c>
      <c r="E111" s="4" t="s">
        <v>1079</v>
      </c>
      <c r="F111" s="170"/>
      <c r="G111" s="170" t="s">
        <v>1077</v>
      </c>
      <c r="H111" s="170"/>
      <c r="I111" s="170"/>
    </row>
    <row r="112" spans="1:9" x14ac:dyDescent="0.25">
      <c r="A112" s="2" t="str">
        <f t="shared" si="4"/>
        <v>6F</v>
      </c>
      <c r="B112" s="3" t="str">
        <f t="shared" si="5"/>
        <v>00;</v>
      </c>
      <c r="C112" s="170">
        <v>0</v>
      </c>
      <c r="D112" s="170" t="s">
        <v>1087</v>
      </c>
      <c r="E112" s="4" t="s">
        <v>1080</v>
      </c>
      <c r="F112" s="170"/>
      <c r="G112" s="170" t="s">
        <v>1088</v>
      </c>
      <c r="H112" s="170"/>
      <c r="I112" s="170"/>
    </row>
    <row r="113" spans="1:9" x14ac:dyDescent="0.25">
      <c r="A113" s="2" t="str">
        <f t="shared" si="4"/>
        <v>70</v>
      </c>
      <c r="B113" s="137" t="str">
        <f t="shared" si="5"/>
        <v>14;</v>
      </c>
      <c r="C113" s="138">
        <v>20</v>
      </c>
      <c r="D113" s="138" t="s">
        <v>1089</v>
      </c>
      <c r="E113" s="139" t="s">
        <v>1090</v>
      </c>
      <c r="F113" s="138"/>
      <c r="G113" s="138" t="s">
        <v>1091</v>
      </c>
      <c r="H113" s="138"/>
      <c r="I113" s="138"/>
    </row>
    <row r="114" spans="1:9" x14ac:dyDescent="0.25">
      <c r="A114" s="2" t="str">
        <f t="shared" si="4"/>
        <v>71</v>
      </c>
      <c r="B114" s="137" t="str">
        <f t="shared" si="5"/>
        <v>05;</v>
      </c>
      <c r="C114" s="138">
        <v>5</v>
      </c>
      <c r="D114" s="138" t="s">
        <v>1089</v>
      </c>
      <c r="E114" s="139" t="s">
        <v>1092</v>
      </c>
      <c r="F114" s="138"/>
      <c r="G114" s="138" t="s">
        <v>1093</v>
      </c>
      <c r="H114" s="138"/>
      <c r="I114" s="138"/>
    </row>
    <row r="115" spans="1:9" x14ac:dyDescent="0.25">
      <c r="A115" s="2" t="str">
        <f t="shared" si="4"/>
        <v>72</v>
      </c>
      <c r="B115" s="3" t="str">
        <f t="shared" si="5"/>
        <v>00;</v>
      </c>
      <c r="C115" s="170">
        <v>0</v>
      </c>
      <c r="D115" s="170"/>
      <c r="E115" s="4"/>
      <c r="F115" s="170"/>
      <c r="G115" s="170"/>
      <c r="H115" s="170"/>
      <c r="I115" s="170"/>
    </row>
    <row r="116" spans="1:9" x14ac:dyDescent="0.25">
      <c r="A116" s="2" t="str">
        <f t="shared" si="4"/>
        <v>73</v>
      </c>
      <c r="B116" s="3" t="str">
        <f t="shared" si="5"/>
        <v>00;</v>
      </c>
      <c r="C116" s="170">
        <v>0</v>
      </c>
      <c r="D116" s="170"/>
      <c r="E116" s="4"/>
      <c r="F116" s="170"/>
      <c r="G116" s="170"/>
      <c r="H116" s="170"/>
      <c r="I116" s="170"/>
    </row>
    <row r="117" spans="1:9" x14ac:dyDescent="0.25">
      <c r="A117" s="2" t="str">
        <f t="shared" si="4"/>
        <v>74</v>
      </c>
      <c r="B117" s="110" t="str">
        <f>CONCATENATE(RIGHT(I119,2),";")</f>
        <v>A0;</v>
      </c>
      <c r="C117" s="111">
        <v>0</v>
      </c>
      <c r="D117" s="111" t="s">
        <v>1089</v>
      </c>
      <c r="E117" s="112" t="s">
        <v>1094</v>
      </c>
      <c r="F117" s="111">
        <v>1</v>
      </c>
      <c r="G117" s="111" t="s">
        <v>1095</v>
      </c>
      <c r="H117" s="111"/>
      <c r="I117" s="111"/>
    </row>
    <row r="118" spans="1:9" ht="15.75" thickBot="1" x14ac:dyDescent="0.3">
      <c r="A118" s="2" t="str">
        <f t="shared" si="4"/>
        <v>75</v>
      </c>
      <c r="B118" s="110" t="str">
        <f>CONCATENATE(MID(I119,5,2),";")</f>
        <v>BB;</v>
      </c>
      <c r="C118" s="111">
        <v>0</v>
      </c>
      <c r="D118" s="111" t="s">
        <v>1089</v>
      </c>
      <c r="E118" s="112" t="s">
        <v>1094</v>
      </c>
      <c r="F118" s="111">
        <v>2</v>
      </c>
      <c r="G118" s="111" t="s">
        <v>1096</v>
      </c>
      <c r="H118" s="111"/>
      <c r="I118" s="111"/>
    </row>
    <row r="119" spans="1:9" ht="15.75" thickBot="1" x14ac:dyDescent="0.3">
      <c r="A119" s="2" t="str">
        <f t="shared" si="4"/>
        <v>76</v>
      </c>
      <c r="B119" s="110" t="str">
        <f>CONCATENATE(MID(I119,3,2),";")</f>
        <v>0D;</v>
      </c>
      <c r="C119" s="111">
        <v>0</v>
      </c>
      <c r="D119" s="111" t="s">
        <v>1089</v>
      </c>
      <c r="E119" s="112" t="s">
        <v>1094</v>
      </c>
      <c r="F119" s="111">
        <v>3</v>
      </c>
      <c r="G119" s="111"/>
      <c r="H119" s="125">
        <v>90</v>
      </c>
      <c r="I119" s="111" t="str">
        <f>DEC2HEX(H119*10000,8)</f>
        <v>000DBBA0</v>
      </c>
    </row>
    <row r="120" spans="1:9" x14ac:dyDescent="0.25">
      <c r="A120" s="2" t="str">
        <f t="shared" si="4"/>
        <v>77</v>
      </c>
      <c r="B120" s="110" t="str">
        <f>CONCATENATE(LEFT(I119,2),";")</f>
        <v>00;</v>
      </c>
      <c r="C120" s="111">
        <v>0</v>
      </c>
      <c r="D120" s="111" t="s">
        <v>1089</v>
      </c>
      <c r="E120" s="112" t="s">
        <v>1094</v>
      </c>
      <c r="F120" s="111">
        <v>4</v>
      </c>
      <c r="G120" s="111"/>
      <c r="H120" s="111"/>
      <c r="I120" s="111"/>
    </row>
    <row r="121" spans="1:9" x14ac:dyDescent="0.25">
      <c r="A121" s="2" t="str">
        <f t="shared" si="4"/>
        <v>78</v>
      </c>
      <c r="B121" s="126" t="str">
        <f>CONCATENATE(RIGHT(I123,2),";")</f>
        <v>A0;</v>
      </c>
      <c r="C121" s="127">
        <v>0</v>
      </c>
      <c r="D121" s="127" t="s">
        <v>1089</v>
      </c>
      <c r="E121" s="128" t="s">
        <v>1097</v>
      </c>
      <c r="F121" s="127">
        <v>1</v>
      </c>
      <c r="G121" s="127"/>
      <c r="H121" s="127"/>
      <c r="I121" s="127"/>
    </row>
    <row r="122" spans="1:9" ht="15.75" thickBot="1" x14ac:dyDescent="0.3">
      <c r="A122" s="2" t="str">
        <f t="shared" si="4"/>
        <v>79</v>
      </c>
      <c r="B122" s="126" t="str">
        <f>CONCATENATE(MID(I123,5,2),";")</f>
        <v>BB;</v>
      </c>
      <c r="C122" s="127">
        <v>0</v>
      </c>
      <c r="D122" s="127" t="s">
        <v>1089</v>
      </c>
      <c r="E122" s="128" t="s">
        <v>1097</v>
      </c>
      <c r="F122" s="127">
        <v>2</v>
      </c>
      <c r="G122" s="127"/>
      <c r="H122" s="127"/>
      <c r="I122" s="127"/>
    </row>
    <row r="123" spans="1:9" ht="15.75" thickBot="1" x14ac:dyDescent="0.3">
      <c r="A123" s="2" t="str">
        <f t="shared" si="4"/>
        <v>7A</v>
      </c>
      <c r="B123" s="126" t="str">
        <f>CONCATENATE(MID(I123,3,2),";")</f>
        <v>0D;</v>
      </c>
      <c r="C123" s="127">
        <v>0</v>
      </c>
      <c r="D123" s="127" t="s">
        <v>1089</v>
      </c>
      <c r="E123" s="128" t="s">
        <v>1097</v>
      </c>
      <c r="F123" s="127">
        <v>3</v>
      </c>
      <c r="G123" s="127"/>
      <c r="H123" s="129">
        <v>90</v>
      </c>
      <c r="I123" s="127" t="str">
        <f>DEC2HEX(H123*10000,8)</f>
        <v>000DBBA0</v>
      </c>
    </row>
    <row r="124" spans="1:9" x14ac:dyDescent="0.25">
      <c r="A124" s="2" t="str">
        <f t="shared" si="4"/>
        <v>7B</v>
      </c>
      <c r="B124" s="126" t="str">
        <f>CONCATENATE(LEFT(I123,2),";")</f>
        <v>00;</v>
      </c>
      <c r="C124" s="127">
        <v>0</v>
      </c>
      <c r="D124" s="127" t="s">
        <v>1089</v>
      </c>
      <c r="E124" s="128" t="s">
        <v>1097</v>
      </c>
      <c r="F124" s="127">
        <v>4</v>
      </c>
      <c r="G124" s="127"/>
      <c r="H124" s="127"/>
      <c r="I124" s="127"/>
    </row>
    <row r="125" spans="1:9" x14ac:dyDescent="0.25">
      <c r="A125" s="2" t="str">
        <f t="shared" si="4"/>
        <v>7C</v>
      </c>
      <c r="B125" s="3" t="str">
        <f t="shared" si="5"/>
        <v>00;</v>
      </c>
      <c r="C125" s="170">
        <v>0</v>
      </c>
      <c r="D125" s="170"/>
      <c r="E125" s="4"/>
      <c r="F125" s="170"/>
      <c r="G125" s="170"/>
      <c r="H125" s="170"/>
      <c r="I125" s="170"/>
    </row>
    <row r="126" spans="1:9" x14ac:dyDescent="0.25">
      <c r="A126" s="2" t="str">
        <f t="shared" si="4"/>
        <v>7D</v>
      </c>
      <c r="B126" s="3" t="str">
        <f t="shared" si="5"/>
        <v>00;</v>
      </c>
      <c r="C126" s="170">
        <v>0</v>
      </c>
      <c r="D126" s="170"/>
      <c r="E126" s="4"/>
      <c r="F126" s="170"/>
      <c r="G126" s="170"/>
      <c r="H126" s="170"/>
      <c r="I126" s="170"/>
    </row>
    <row r="127" spans="1:9" x14ac:dyDescent="0.25">
      <c r="A127" s="2" t="str">
        <f t="shared" si="4"/>
        <v>7E</v>
      </c>
      <c r="B127" s="3" t="str">
        <f t="shared" si="5"/>
        <v>00;</v>
      </c>
      <c r="C127" s="170">
        <v>0</v>
      </c>
      <c r="D127" s="170"/>
      <c r="E127" s="4"/>
      <c r="F127" s="170"/>
      <c r="G127" s="170"/>
      <c r="H127" s="170"/>
      <c r="I127" s="170"/>
    </row>
    <row r="128" spans="1:9" x14ac:dyDescent="0.25">
      <c r="A128" s="2" t="str">
        <f t="shared" si="4"/>
        <v>7F</v>
      </c>
      <c r="B128" s="3" t="str">
        <f t="shared" si="5"/>
        <v>01;</v>
      </c>
      <c r="C128" s="170">
        <v>1</v>
      </c>
      <c r="D128" s="170"/>
      <c r="E128" s="4"/>
      <c r="F128" s="170"/>
      <c r="G128" s="170"/>
      <c r="H128" s="170"/>
      <c r="I128" s="170"/>
    </row>
    <row r="129" spans="1:17" x14ac:dyDescent="0.25">
      <c r="A129" s="2" t="str">
        <f t="shared" si="4"/>
        <v>80</v>
      </c>
      <c r="B129" s="3" t="str">
        <f t="shared" si="5"/>
        <v>10;</v>
      </c>
      <c r="C129" s="170">
        <v>16</v>
      </c>
      <c r="D129" s="170" t="s">
        <v>1098</v>
      </c>
      <c r="E129" s="4" t="s">
        <v>35</v>
      </c>
      <c r="F129" s="170"/>
      <c r="G129" s="170" t="s">
        <v>1099</v>
      </c>
      <c r="H129" s="170"/>
      <c r="I129" s="170"/>
    </row>
    <row r="130" spans="1:17" x14ac:dyDescent="0.25">
      <c r="A130" s="2" t="str">
        <f t="shared" si="4"/>
        <v>81</v>
      </c>
      <c r="B130" s="3" t="str">
        <f t="shared" si="5"/>
        <v>00;</v>
      </c>
      <c r="C130" s="170">
        <v>0</v>
      </c>
      <c r="D130" s="170" t="s">
        <v>1098</v>
      </c>
      <c r="E130" s="4" t="s">
        <v>1100</v>
      </c>
      <c r="F130" s="170"/>
      <c r="G130" s="170"/>
      <c r="H130" s="170"/>
      <c r="I130" s="170"/>
    </row>
    <row r="131" spans="1:17" x14ac:dyDescent="0.25">
      <c r="A131" s="2" t="str">
        <f t="shared" si="4"/>
        <v>82</v>
      </c>
      <c r="B131" s="3" t="str">
        <f t="shared" si="5"/>
        <v>01;</v>
      </c>
      <c r="C131" s="170">
        <v>1</v>
      </c>
      <c r="D131" s="170" t="s">
        <v>1101</v>
      </c>
      <c r="E131" s="4"/>
      <c r="F131" s="170"/>
      <c r="G131" s="170" t="s">
        <v>1102</v>
      </c>
      <c r="H131" s="170"/>
      <c r="I131" s="170"/>
    </row>
    <row r="132" spans="1:17" x14ac:dyDescent="0.25">
      <c r="A132" s="2" t="str">
        <f t="shared" si="4"/>
        <v>83</v>
      </c>
      <c r="B132" s="3" t="str">
        <f t="shared" si="5"/>
        <v>18;</v>
      </c>
      <c r="C132" s="170">
        <v>24</v>
      </c>
      <c r="D132" s="170" t="s">
        <v>1103</v>
      </c>
      <c r="E132" s="4" t="s">
        <v>35</v>
      </c>
      <c r="F132" s="170"/>
      <c r="G132" s="170" t="s">
        <v>1104</v>
      </c>
      <c r="H132" s="170"/>
      <c r="I132" s="170"/>
    </row>
    <row r="133" spans="1:17" x14ac:dyDescent="0.25">
      <c r="A133" s="2" t="str">
        <f t="shared" si="4"/>
        <v>84</v>
      </c>
      <c r="B133" s="3" t="str">
        <f t="shared" si="5"/>
        <v>00;</v>
      </c>
      <c r="C133" s="170">
        <v>0</v>
      </c>
      <c r="D133" s="170" t="s">
        <v>1105</v>
      </c>
      <c r="E133" s="4" t="s">
        <v>1100</v>
      </c>
      <c r="F133" s="170"/>
      <c r="G133" s="170"/>
      <c r="H133" s="170"/>
      <c r="I133" s="170"/>
    </row>
    <row r="134" spans="1:17" x14ac:dyDescent="0.25">
      <c r="A134" s="2" t="str">
        <f t="shared" si="4"/>
        <v>85</v>
      </c>
      <c r="B134" s="120" t="str">
        <f t="shared" si="5"/>
        <v>00;</v>
      </c>
      <c r="C134" s="175">
        <v>0</v>
      </c>
      <c r="D134" s="175" t="s">
        <v>1106</v>
      </c>
      <c r="E134" s="4"/>
      <c r="F134" s="170"/>
      <c r="G134" s="170" t="s">
        <v>1107</v>
      </c>
      <c r="H134" s="170"/>
      <c r="I134" s="170"/>
    </row>
    <row r="135" spans="1:17" x14ac:dyDescent="0.25">
      <c r="A135" s="2" t="str">
        <f t="shared" si="4"/>
        <v>86</v>
      </c>
      <c r="B135" s="120" t="str">
        <f t="shared" si="5"/>
        <v>00;</v>
      </c>
      <c r="C135" s="175">
        <v>0</v>
      </c>
      <c r="D135" s="175" t="s">
        <v>1108</v>
      </c>
      <c r="E135" s="4"/>
      <c r="F135" s="170"/>
      <c r="G135" s="170" t="s">
        <v>1109</v>
      </c>
      <c r="H135" s="170"/>
      <c r="I135" s="170"/>
    </row>
    <row r="136" spans="1:17" x14ac:dyDescent="0.25">
      <c r="A136" s="2" t="str">
        <f t="shared" ref="A136:A199" si="6">IF(ROW()-1&lt;16,CONCATENATE("0",DEC2HEX(ROW()-1)),DEC2HEX(ROW()-1))</f>
        <v>87</v>
      </c>
      <c r="B136" s="3" t="str">
        <f t="shared" si="5"/>
        <v>00;</v>
      </c>
      <c r="C136" s="170">
        <v>0</v>
      </c>
      <c r="D136" s="170"/>
      <c r="E136" s="4"/>
      <c r="F136" s="170"/>
      <c r="G136" s="170"/>
      <c r="H136" s="170"/>
      <c r="I136" s="170"/>
    </row>
    <row r="137" spans="1:17" x14ac:dyDescent="0.25">
      <c r="A137" s="2" t="str">
        <f t="shared" si="6"/>
        <v>88</v>
      </c>
      <c r="B137" s="121" t="str">
        <f t="shared" si="5"/>
        <v>00;</v>
      </c>
      <c r="C137" s="122">
        <v>0</v>
      </c>
      <c r="D137" s="122" t="s">
        <v>1110</v>
      </c>
      <c r="E137" s="123"/>
      <c r="F137" s="122"/>
      <c r="G137" s="122" t="s">
        <v>1111</v>
      </c>
      <c r="H137" s="122"/>
      <c r="I137" s="122"/>
    </row>
    <row r="138" spans="1:17" x14ac:dyDescent="0.25">
      <c r="A138" s="2" t="str">
        <f t="shared" si="6"/>
        <v>89</v>
      </c>
      <c r="B138" s="3" t="str">
        <f t="shared" si="5"/>
        <v>00;</v>
      </c>
      <c r="C138" s="170">
        <v>0</v>
      </c>
      <c r="D138" s="170"/>
      <c r="E138" s="4"/>
      <c r="F138" s="170"/>
      <c r="G138" s="170"/>
      <c r="H138" s="170"/>
      <c r="I138" s="170"/>
    </row>
    <row r="139" spans="1:17" x14ac:dyDescent="0.25">
      <c r="A139" s="2" t="str">
        <f t="shared" si="6"/>
        <v>8A</v>
      </c>
      <c r="B139" s="120" t="str">
        <f t="shared" si="5"/>
        <v>00;</v>
      </c>
      <c r="C139" s="175">
        <v>0</v>
      </c>
      <c r="D139" s="170" t="s">
        <v>1112</v>
      </c>
      <c r="E139" s="4"/>
      <c r="F139" s="170"/>
      <c r="G139" s="170" t="s">
        <v>1113</v>
      </c>
      <c r="H139" s="170"/>
      <c r="I139" s="170"/>
    </row>
    <row r="140" spans="1:17" x14ac:dyDescent="0.25">
      <c r="A140" s="2" t="str">
        <f t="shared" si="6"/>
        <v>8B</v>
      </c>
      <c r="B140" s="113" t="s">
        <v>1657</v>
      </c>
      <c r="C140" s="114">
        <v>0</v>
      </c>
      <c r="D140" s="175" t="s">
        <v>1114</v>
      </c>
      <c r="E140" s="4"/>
      <c r="F140" s="170"/>
      <c r="G140" s="170" t="s">
        <v>1115</v>
      </c>
      <c r="H140" s="170"/>
      <c r="I140" s="170"/>
      <c r="N140" t="s">
        <v>1116</v>
      </c>
      <c r="Q140" t="s">
        <v>1117</v>
      </c>
    </row>
    <row r="141" spans="1:17" x14ac:dyDescent="0.25">
      <c r="A141" s="2" t="str">
        <f t="shared" si="6"/>
        <v>8C</v>
      </c>
      <c r="B141" s="120" t="str">
        <f t="shared" si="5"/>
        <v>00;</v>
      </c>
      <c r="C141" s="175">
        <v>0</v>
      </c>
      <c r="D141" s="175" t="s">
        <v>1118</v>
      </c>
      <c r="E141" s="140"/>
      <c r="F141" s="175"/>
      <c r="G141" s="175" t="s">
        <v>1119</v>
      </c>
      <c r="H141" s="175"/>
      <c r="I141" s="175"/>
    </row>
    <row r="142" spans="1:17" x14ac:dyDescent="0.25">
      <c r="A142" s="2" t="str">
        <f t="shared" si="6"/>
        <v>8D</v>
      </c>
      <c r="B142" s="120" t="str">
        <f t="shared" si="5"/>
        <v>00;</v>
      </c>
      <c r="C142" s="175">
        <v>0</v>
      </c>
      <c r="D142" s="175" t="s">
        <v>1120</v>
      </c>
      <c r="E142" s="140"/>
      <c r="F142" s="175"/>
      <c r="G142" s="175"/>
      <c r="H142" s="175"/>
      <c r="I142" s="175"/>
    </row>
    <row r="143" spans="1:17" x14ac:dyDescent="0.25">
      <c r="A143" s="2" t="str">
        <f t="shared" si="6"/>
        <v>8E</v>
      </c>
      <c r="B143" s="120" t="str">
        <f t="shared" si="5"/>
        <v>00;</v>
      </c>
      <c r="C143" s="175">
        <v>0</v>
      </c>
      <c r="D143" s="175" t="s">
        <v>1121</v>
      </c>
      <c r="E143" s="140"/>
      <c r="F143" s="175"/>
      <c r="G143" s="175"/>
      <c r="H143" s="175"/>
      <c r="I143" s="175"/>
    </row>
    <row r="144" spans="1:17" x14ac:dyDescent="0.25">
      <c r="A144" s="2" t="str">
        <f t="shared" si="6"/>
        <v>8F</v>
      </c>
      <c r="B144" s="120" t="str">
        <f t="shared" si="5"/>
        <v>00;</v>
      </c>
      <c r="C144" s="175">
        <v>0</v>
      </c>
      <c r="D144" s="175" t="s">
        <v>1122</v>
      </c>
      <c r="E144" s="140"/>
      <c r="F144" s="175"/>
      <c r="G144" s="175"/>
      <c r="H144" s="175"/>
      <c r="I144" s="175"/>
    </row>
    <row r="145" spans="1:9" x14ac:dyDescent="0.25">
      <c r="A145" s="2" t="str">
        <f t="shared" si="6"/>
        <v>90</v>
      </c>
      <c r="B145" s="3" t="str">
        <f t="shared" si="5"/>
        <v>1D;</v>
      </c>
      <c r="C145" s="170">
        <v>29</v>
      </c>
      <c r="D145" s="170" t="s">
        <v>1123</v>
      </c>
      <c r="E145" s="4"/>
      <c r="F145" s="170"/>
      <c r="G145" s="170"/>
      <c r="H145" s="170"/>
      <c r="I145" s="170"/>
    </row>
    <row r="146" spans="1:9" x14ac:dyDescent="0.25">
      <c r="A146" s="2" t="str">
        <f t="shared" si="6"/>
        <v>91</v>
      </c>
      <c r="B146" s="3" t="str">
        <f t="shared" si="5"/>
        <v>01;</v>
      </c>
      <c r="C146" s="170">
        <v>1</v>
      </c>
      <c r="D146" s="170"/>
      <c r="E146" s="4"/>
      <c r="F146" s="170"/>
      <c r="G146" s="170"/>
      <c r="H146" s="170"/>
      <c r="I146" s="170"/>
    </row>
    <row r="147" spans="1:9" x14ac:dyDescent="0.25">
      <c r="A147" s="2" t="str">
        <f t="shared" si="6"/>
        <v>92</v>
      </c>
      <c r="B147" s="3" t="str">
        <f t="shared" si="5"/>
        <v>03;</v>
      </c>
      <c r="C147" s="170">
        <v>3</v>
      </c>
      <c r="D147" s="170"/>
      <c r="E147" s="4"/>
      <c r="F147" s="170"/>
      <c r="G147" s="170"/>
      <c r="H147" s="170"/>
      <c r="I147" s="170"/>
    </row>
    <row r="148" spans="1:9" x14ac:dyDescent="0.25">
      <c r="A148" s="2" t="str">
        <f t="shared" si="6"/>
        <v>93</v>
      </c>
      <c r="B148" s="3" t="str">
        <f t="shared" si="5"/>
        <v>80;</v>
      </c>
      <c r="C148" s="170">
        <v>128</v>
      </c>
      <c r="D148" s="170"/>
      <c r="E148" s="4"/>
      <c r="F148" s="170"/>
      <c r="G148" s="170"/>
      <c r="H148" s="170"/>
      <c r="I148" s="170"/>
    </row>
    <row r="149" spans="1:9" x14ac:dyDescent="0.25">
      <c r="A149" s="2" t="str">
        <f t="shared" si="6"/>
        <v>94</v>
      </c>
      <c r="B149" s="3" t="str">
        <f t="shared" si="5"/>
        <v>00;</v>
      </c>
      <c r="C149" s="170">
        <v>0</v>
      </c>
      <c r="D149" s="170" t="s">
        <v>1124</v>
      </c>
      <c r="E149" s="4"/>
      <c r="F149" s="170"/>
      <c r="G149" s="170"/>
      <c r="H149" s="170"/>
      <c r="I149" s="170"/>
    </row>
    <row r="150" spans="1:9" x14ac:dyDescent="0.25">
      <c r="A150" s="2" t="str">
        <f t="shared" si="6"/>
        <v>95</v>
      </c>
      <c r="B150" s="3" t="str">
        <f t="shared" ref="B150:B192" si="7">IF(C150&lt;16,CONCATENATE("0",DEC2HEX(C150),";"),CONCATENATE(DEC2HEX(C150),";"))</f>
        <v>00;</v>
      </c>
      <c r="C150" s="170">
        <v>0</v>
      </c>
      <c r="D150" s="170"/>
      <c r="E150" s="4"/>
      <c r="F150" s="170"/>
      <c r="G150" s="170"/>
      <c r="H150" s="170"/>
      <c r="I150" s="170"/>
    </row>
    <row r="151" spans="1:9" x14ac:dyDescent="0.25">
      <c r="A151" s="2" t="str">
        <f t="shared" si="6"/>
        <v>96</v>
      </c>
      <c r="B151" s="3" t="str">
        <f t="shared" si="7"/>
        <v>00;</v>
      </c>
      <c r="C151" s="170">
        <v>0</v>
      </c>
      <c r="D151" s="170"/>
      <c r="E151" s="4"/>
      <c r="F151" s="170"/>
      <c r="G151" s="170"/>
      <c r="H151" s="170"/>
      <c r="I151" s="170"/>
    </row>
    <row r="152" spans="1:9" x14ac:dyDescent="0.25">
      <c r="A152" s="2" t="str">
        <f t="shared" si="6"/>
        <v>97</v>
      </c>
      <c r="B152" s="3" t="str">
        <f t="shared" si="7"/>
        <v>00;</v>
      </c>
      <c r="C152" s="170">
        <v>0</v>
      </c>
      <c r="D152" s="170"/>
      <c r="E152" s="4"/>
      <c r="F152" s="170"/>
      <c r="G152" s="170"/>
      <c r="H152" s="170"/>
      <c r="I152" s="170"/>
    </row>
    <row r="153" spans="1:9" x14ac:dyDescent="0.25">
      <c r="A153" s="2" t="str">
        <f t="shared" si="6"/>
        <v>98</v>
      </c>
      <c r="B153" s="3" t="str">
        <f t="shared" si="7"/>
        <v>00;</v>
      </c>
      <c r="C153" s="170">
        <v>0</v>
      </c>
      <c r="D153" s="170" t="s">
        <v>1125</v>
      </c>
      <c r="E153" s="4"/>
      <c r="F153" s="170"/>
      <c r="G153" s="170"/>
      <c r="H153" s="170"/>
      <c r="I153" s="170"/>
    </row>
    <row r="154" spans="1:9" x14ac:dyDescent="0.25">
      <c r="A154" s="2" t="str">
        <f t="shared" si="6"/>
        <v>99</v>
      </c>
      <c r="B154" s="3" t="str">
        <f t="shared" si="7"/>
        <v>00;</v>
      </c>
      <c r="C154" s="170">
        <v>0</v>
      </c>
      <c r="D154" s="170"/>
      <c r="E154" s="4"/>
      <c r="F154" s="170"/>
      <c r="G154" s="170"/>
      <c r="H154" s="170"/>
      <c r="I154" s="170"/>
    </row>
    <row r="155" spans="1:9" x14ac:dyDescent="0.25">
      <c r="A155" s="2" t="str">
        <f t="shared" si="6"/>
        <v>9A</v>
      </c>
      <c r="B155" s="3" t="str">
        <f t="shared" si="7"/>
        <v>00;</v>
      </c>
      <c r="C155" s="170">
        <v>0</v>
      </c>
      <c r="D155" s="170"/>
      <c r="E155" s="4"/>
      <c r="F155" s="170"/>
      <c r="G155" s="170"/>
      <c r="H155" s="170"/>
      <c r="I155" s="170"/>
    </row>
    <row r="156" spans="1:9" x14ac:dyDescent="0.25">
      <c r="A156" s="2" t="str">
        <f t="shared" si="6"/>
        <v>9B</v>
      </c>
      <c r="B156" s="3" t="str">
        <f t="shared" si="7"/>
        <v>00;</v>
      </c>
      <c r="C156" s="170">
        <v>0</v>
      </c>
      <c r="D156" s="170"/>
      <c r="E156" s="4"/>
      <c r="F156" s="170"/>
      <c r="G156" s="170"/>
      <c r="H156" s="170"/>
      <c r="I156" s="170"/>
    </row>
    <row r="157" spans="1:9" x14ac:dyDescent="0.25">
      <c r="A157" s="2" t="str">
        <f t="shared" si="6"/>
        <v>9C</v>
      </c>
      <c r="B157" s="3" t="str">
        <f t="shared" si="7"/>
        <v>00;</v>
      </c>
      <c r="C157" s="170">
        <v>0</v>
      </c>
      <c r="D157" s="170" t="s">
        <v>1126</v>
      </c>
      <c r="E157" s="4"/>
      <c r="F157" s="170"/>
      <c r="G157" s="170"/>
      <c r="H157" s="170"/>
      <c r="I157" s="170"/>
    </row>
    <row r="158" spans="1:9" x14ac:dyDescent="0.25">
      <c r="A158" s="2" t="str">
        <f t="shared" si="6"/>
        <v>9D</v>
      </c>
      <c r="B158" s="3" t="str">
        <f t="shared" si="7"/>
        <v>00;</v>
      </c>
      <c r="C158" s="170">
        <v>0</v>
      </c>
      <c r="D158" s="170"/>
      <c r="E158" s="4"/>
      <c r="F158" s="170"/>
      <c r="G158" s="170"/>
      <c r="H158" s="170"/>
      <c r="I158" s="170"/>
    </row>
    <row r="159" spans="1:9" x14ac:dyDescent="0.25">
      <c r="A159" s="2" t="str">
        <f t="shared" si="6"/>
        <v>9E</v>
      </c>
      <c r="B159" s="3" t="str">
        <f t="shared" si="7"/>
        <v>00;</v>
      </c>
      <c r="C159" s="170">
        <v>0</v>
      </c>
      <c r="D159" s="170"/>
      <c r="E159" s="4"/>
      <c r="F159" s="170"/>
      <c r="G159" s="170"/>
      <c r="H159" s="170"/>
      <c r="I159" s="170"/>
    </row>
    <row r="160" spans="1:9" x14ac:dyDescent="0.25">
      <c r="A160" s="2" t="str">
        <f t="shared" si="6"/>
        <v>9F</v>
      </c>
      <c r="B160" s="3" t="str">
        <f t="shared" si="7"/>
        <v>00;</v>
      </c>
      <c r="C160" s="170">
        <v>0</v>
      </c>
      <c r="D160" s="170"/>
      <c r="E160" s="4"/>
      <c r="F160" s="170"/>
      <c r="G160" s="170"/>
      <c r="H160" s="170"/>
      <c r="I160" s="170"/>
    </row>
    <row r="161" spans="1:9" x14ac:dyDescent="0.25">
      <c r="A161" s="2" t="str">
        <f t="shared" si="6"/>
        <v>A0</v>
      </c>
      <c r="B161" s="3" t="str">
        <f t="shared" si="7"/>
        <v>00;</v>
      </c>
      <c r="C161" s="170">
        <v>0</v>
      </c>
      <c r="D161" s="170" t="s">
        <v>1127</v>
      </c>
      <c r="E161" s="4"/>
      <c r="F161" s="170"/>
      <c r="G161" s="170"/>
      <c r="H161" s="170"/>
      <c r="I161" s="170"/>
    </row>
    <row r="162" spans="1:9" x14ac:dyDescent="0.25">
      <c r="A162" s="2" t="str">
        <f t="shared" si="6"/>
        <v>A1</v>
      </c>
      <c r="B162" s="3" t="str">
        <f t="shared" si="7"/>
        <v>00;</v>
      </c>
      <c r="C162" s="170">
        <v>0</v>
      </c>
      <c r="D162" s="170"/>
      <c r="E162" s="4"/>
      <c r="F162" s="170"/>
      <c r="G162" s="170"/>
      <c r="H162" s="170"/>
      <c r="I162" s="170"/>
    </row>
    <row r="163" spans="1:9" x14ac:dyDescent="0.25">
      <c r="A163" s="2" t="str">
        <f t="shared" si="6"/>
        <v>A2</v>
      </c>
      <c r="B163" s="3" t="str">
        <f t="shared" si="7"/>
        <v>00;</v>
      </c>
      <c r="C163" s="170">
        <v>0</v>
      </c>
      <c r="D163" s="170"/>
      <c r="E163" s="4"/>
      <c r="F163" s="170"/>
      <c r="G163" s="170"/>
      <c r="H163" s="170"/>
      <c r="I163" s="170"/>
    </row>
    <row r="164" spans="1:9" x14ac:dyDescent="0.25">
      <c r="A164" s="2" t="str">
        <f t="shared" si="6"/>
        <v>A3</v>
      </c>
      <c r="B164" s="3" t="str">
        <f t="shared" si="7"/>
        <v>00;</v>
      </c>
      <c r="C164" s="170">
        <v>0</v>
      </c>
      <c r="D164" s="170"/>
      <c r="E164" s="4"/>
      <c r="F164" s="170"/>
      <c r="G164" s="170"/>
      <c r="H164" s="170"/>
      <c r="I164" s="170"/>
    </row>
    <row r="165" spans="1:9" x14ac:dyDescent="0.25">
      <c r="A165" s="2" t="str">
        <f t="shared" si="6"/>
        <v>A4</v>
      </c>
      <c r="B165" s="3" t="str">
        <f t="shared" si="7"/>
        <v>00;</v>
      </c>
      <c r="C165" s="170">
        <v>0</v>
      </c>
      <c r="D165" s="170" t="s">
        <v>1128</v>
      </c>
      <c r="E165" s="4"/>
      <c r="F165" s="170"/>
      <c r="G165" s="170"/>
      <c r="H165" s="170"/>
      <c r="I165" s="170"/>
    </row>
    <row r="166" spans="1:9" x14ac:dyDescent="0.25">
      <c r="A166" s="2" t="str">
        <f t="shared" si="6"/>
        <v>A5</v>
      </c>
      <c r="B166" s="3" t="str">
        <f t="shared" si="7"/>
        <v>00;</v>
      </c>
      <c r="C166" s="170">
        <v>0</v>
      </c>
      <c r="D166" s="170"/>
      <c r="E166" s="4"/>
      <c r="F166" s="170"/>
      <c r="G166" s="170"/>
      <c r="H166" s="170"/>
      <c r="I166" s="170"/>
    </row>
    <row r="167" spans="1:9" x14ac:dyDescent="0.25">
      <c r="A167" s="2" t="str">
        <f t="shared" si="6"/>
        <v>A6</v>
      </c>
      <c r="B167" s="3" t="str">
        <f t="shared" si="7"/>
        <v>00;</v>
      </c>
      <c r="C167" s="170">
        <v>0</v>
      </c>
      <c r="D167" s="170"/>
      <c r="E167" s="4"/>
      <c r="F167" s="170"/>
      <c r="G167" s="170"/>
      <c r="H167" s="170"/>
      <c r="I167" s="170"/>
    </row>
    <row r="168" spans="1:9" x14ac:dyDescent="0.25">
      <c r="A168" s="2" t="str">
        <f t="shared" si="6"/>
        <v>A7</v>
      </c>
      <c r="B168" s="3" t="str">
        <f t="shared" si="7"/>
        <v>00;</v>
      </c>
      <c r="C168" s="170">
        <v>0</v>
      </c>
      <c r="D168" s="170"/>
      <c r="E168" s="4"/>
      <c r="F168" s="170"/>
      <c r="G168" s="170"/>
      <c r="H168" s="170"/>
      <c r="I168" s="170"/>
    </row>
    <row r="169" spans="1:9" x14ac:dyDescent="0.25">
      <c r="A169" s="2" t="str">
        <f t="shared" si="6"/>
        <v>A8</v>
      </c>
      <c r="B169" s="3" t="str">
        <f t="shared" si="7"/>
        <v>00;</v>
      </c>
      <c r="C169" s="170">
        <v>0</v>
      </c>
      <c r="D169" s="170"/>
      <c r="E169" s="4"/>
      <c r="F169" s="170"/>
      <c r="G169" s="170"/>
      <c r="H169" s="170"/>
      <c r="I169" s="170"/>
    </row>
    <row r="170" spans="1:9" x14ac:dyDescent="0.25">
      <c r="A170" s="2" t="str">
        <f t="shared" si="6"/>
        <v>A9</v>
      </c>
      <c r="B170" s="3" t="str">
        <f t="shared" si="7"/>
        <v>00;</v>
      </c>
      <c r="C170" s="170">
        <v>0</v>
      </c>
      <c r="D170" s="170"/>
      <c r="E170" s="4"/>
      <c r="F170" s="170"/>
      <c r="G170" s="170"/>
      <c r="H170" s="170"/>
      <c r="I170" s="170"/>
    </row>
    <row r="171" spans="1:9" x14ac:dyDescent="0.25">
      <c r="A171" s="2" t="str">
        <f t="shared" si="6"/>
        <v>AA</v>
      </c>
      <c r="B171" s="3" t="str">
        <f t="shared" si="7"/>
        <v>00;</v>
      </c>
      <c r="C171" s="170">
        <v>0</v>
      </c>
      <c r="D171" s="170"/>
      <c r="E171" s="4"/>
      <c r="F171" s="170"/>
      <c r="G171" s="170"/>
      <c r="H171" s="170"/>
      <c r="I171" s="170"/>
    </row>
    <row r="172" spans="1:9" x14ac:dyDescent="0.25">
      <c r="A172" s="2" t="str">
        <f t="shared" si="6"/>
        <v>AB</v>
      </c>
      <c r="B172" s="3" t="str">
        <f t="shared" si="7"/>
        <v>00;</v>
      </c>
      <c r="C172" s="170">
        <v>0</v>
      </c>
      <c r="D172" s="170"/>
      <c r="E172" s="4"/>
      <c r="F172" s="170"/>
      <c r="G172" s="170"/>
      <c r="H172" s="170"/>
      <c r="I172" s="170"/>
    </row>
    <row r="173" spans="1:9" x14ac:dyDescent="0.25">
      <c r="A173" s="2" t="str">
        <f t="shared" si="6"/>
        <v>AC</v>
      </c>
      <c r="B173" s="3" t="str">
        <f t="shared" si="7"/>
        <v>00;</v>
      </c>
      <c r="C173" s="170">
        <v>0</v>
      </c>
      <c r="D173" s="170"/>
      <c r="E173" s="4"/>
      <c r="F173" s="170"/>
      <c r="G173" s="170"/>
      <c r="H173" s="170"/>
      <c r="I173" s="170"/>
    </row>
    <row r="174" spans="1:9" x14ac:dyDescent="0.25">
      <c r="A174" s="2" t="str">
        <f t="shared" si="6"/>
        <v>AD</v>
      </c>
      <c r="B174" s="3" t="str">
        <f t="shared" si="7"/>
        <v>00;</v>
      </c>
      <c r="C174" s="170">
        <v>0</v>
      </c>
      <c r="D174" s="170"/>
      <c r="E174" s="4"/>
      <c r="F174" s="170"/>
      <c r="G174" s="170"/>
      <c r="H174" s="170"/>
      <c r="I174" s="170"/>
    </row>
    <row r="175" spans="1:9" x14ac:dyDescent="0.25">
      <c r="A175" s="2" t="str">
        <f t="shared" si="6"/>
        <v>AE</v>
      </c>
      <c r="B175" s="3" t="str">
        <f t="shared" si="7"/>
        <v>00;</v>
      </c>
      <c r="C175" s="170">
        <v>0</v>
      </c>
      <c r="D175" s="170"/>
      <c r="E175" s="4"/>
      <c r="F175" s="170"/>
      <c r="G175" s="170"/>
      <c r="H175" s="170"/>
      <c r="I175" s="170"/>
    </row>
    <row r="176" spans="1:9" x14ac:dyDescent="0.25">
      <c r="A176" s="2" t="str">
        <f t="shared" si="6"/>
        <v>AF</v>
      </c>
      <c r="B176" s="3" t="str">
        <f t="shared" si="7"/>
        <v>00;</v>
      </c>
      <c r="C176" s="170">
        <v>0</v>
      </c>
      <c r="D176" s="170"/>
      <c r="E176" s="4"/>
      <c r="F176" s="170"/>
      <c r="G176" s="170"/>
      <c r="H176" s="170"/>
      <c r="I176" s="170"/>
    </row>
    <row r="177" spans="1:9" x14ac:dyDescent="0.25">
      <c r="A177" s="2" t="str">
        <f t="shared" si="6"/>
        <v>B0</v>
      </c>
      <c r="B177" s="3" t="str">
        <f t="shared" si="7"/>
        <v>00;</v>
      </c>
      <c r="C177" s="170">
        <v>0</v>
      </c>
      <c r="D177" s="170"/>
      <c r="E177" s="4"/>
      <c r="F177" s="170"/>
      <c r="G177" s="170"/>
      <c r="H177" s="170"/>
      <c r="I177" s="170"/>
    </row>
    <row r="178" spans="1:9" x14ac:dyDescent="0.25">
      <c r="A178" s="2" t="str">
        <f t="shared" si="6"/>
        <v>B1</v>
      </c>
      <c r="B178" s="3" t="str">
        <f t="shared" si="7"/>
        <v>00;</v>
      </c>
      <c r="C178" s="170">
        <v>0</v>
      </c>
      <c r="D178" s="170"/>
      <c r="E178" s="4"/>
      <c r="F178" s="170"/>
      <c r="G178" s="170"/>
      <c r="H178" s="170"/>
      <c r="I178" s="170"/>
    </row>
    <row r="179" spans="1:9" x14ac:dyDescent="0.25">
      <c r="A179" s="2" t="str">
        <f t="shared" si="6"/>
        <v>B2</v>
      </c>
      <c r="B179" s="3" t="str">
        <f t="shared" si="7"/>
        <v>00;</v>
      </c>
      <c r="C179" s="170">
        <v>0</v>
      </c>
      <c r="D179" s="170"/>
      <c r="E179" s="4"/>
      <c r="F179" s="170"/>
      <c r="G179" s="170"/>
      <c r="H179" s="170"/>
      <c r="I179" s="170"/>
    </row>
    <row r="180" spans="1:9" x14ac:dyDescent="0.25">
      <c r="A180" s="2" t="str">
        <f t="shared" si="6"/>
        <v>B3</v>
      </c>
      <c r="B180" s="3" t="str">
        <f t="shared" si="7"/>
        <v>00;</v>
      </c>
      <c r="C180" s="170">
        <v>0</v>
      </c>
      <c r="D180" s="170"/>
      <c r="E180" s="4"/>
      <c r="F180" s="170"/>
      <c r="G180" s="170"/>
      <c r="H180" s="170"/>
      <c r="I180" s="170"/>
    </row>
    <row r="181" spans="1:9" x14ac:dyDescent="0.25">
      <c r="A181" s="2" t="str">
        <f t="shared" si="6"/>
        <v>B4</v>
      </c>
      <c r="B181" s="3" t="str">
        <f t="shared" si="7"/>
        <v>00;</v>
      </c>
      <c r="C181" s="170">
        <v>0</v>
      </c>
      <c r="D181" s="170"/>
      <c r="E181" s="4"/>
      <c r="F181" s="170"/>
      <c r="G181" s="170"/>
      <c r="H181" s="170"/>
      <c r="I181" s="170"/>
    </row>
    <row r="182" spans="1:9" x14ac:dyDescent="0.25">
      <c r="A182" s="2" t="str">
        <f t="shared" si="6"/>
        <v>B5</v>
      </c>
      <c r="B182" s="3" t="str">
        <f t="shared" si="7"/>
        <v>00;</v>
      </c>
      <c r="C182" s="170">
        <v>0</v>
      </c>
      <c r="D182" s="170"/>
      <c r="E182" s="4"/>
      <c r="F182" s="170"/>
      <c r="G182" s="170"/>
      <c r="H182" s="170"/>
      <c r="I182" s="170"/>
    </row>
    <row r="183" spans="1:9" x14ac:dyDescent="0.25">
      <c r="A183" s="2" t="str">
        <f t="shared" si="6"/>
        <v>B6</v>
      </c>
      <c r="B183" s="3" t="str">
        <f t="shared" si="7"/>
        <v>00;</v>
      </c>
      <c r="C183" s="170">
        <v>0</v>
      </c>
      <c r="D183" s="170"/>
      <c r="E183" s="4"/>
      <c r="F183" s="170"/>
      <c r="G183" s="170"/>
      <c r="H183" s="170"/>
      <c r="I183" s="170"/>
    </row>
    <row r="184" spans="1:9" x14ac:dyDescent="0.25">
      <c r="A184" s="2" t="str">
        <f t="shared" si="6"/>
        <v>B7</v>
      </c>
      <c r="B184" s="3" t="str">
        <f t="shared" si="7"/>
        <v>00;</v>
      </c>
      <c r="C184" s="170">
        <v>0</v>
      </c>
      <c r="D184" s="170"/>
      <c r="E184" s="4"/>
      <c r="F184" s="170"/>
      <c r="G184" s="170"/>
      <c r="H184" s="170"/>
      <c r="I184" s="170"/>
    </row>
    <row r="185" spans="1:9" x14ac:dyDescent="0.25">
      <c r="A185" s="2" t="str">
        <f t="shared" si="6"/>
        <v>B8</v>
      </c>
      <c r="B185" s="3" t="str">
        <f t="shared" si="7"/>
        <v>00;</v>
      </c>
      <c r="C185" s="170">
        <v>0</v>
      </c>
      <c r="D185" s="170"/>
      <c r="E185" s="4"/>
      <c r="F185" s="170"/>
      <c r="G185" s="170"/>
      <c r="H185" s="170"/>
      <c r="I185" s="170"/>
    </row>
    <row r="186" spans="1:9" x14ac:dyDescent="0.25">
      <c r="A186" s="2" t="str">
        <f t="shared" si="6"/>
        <v>B9</v>
      </c>
      <c r="B186" s="3" t="str">
        <f t="shared" si="7"/>
        <v>00;</v>
      </c>
      <c r="C186" s="170">
        <v>0</v>
      </c>
      <c r="D186" s="170"/>
      <c r="E186" s="4"/>
      <c r="F186" s="170"/>
      <c r="G186" s="170"/>
      <c r="H186" s="170"/>
      <c r="I186" s="170"/>
    </row>
    <row r="187" spans="1:9" x14ac:dyDescent="0.25">
      <c r="A187" s="2" t="str">
        <f t="shared" si="6"/>
        <v>BA</v>
      </c>
      <c r="B187" s="3" t="str">
        <f t="shared" si="7"/>
        <v>00;</v>
      </c>
      <c r="C187" s="170">
        <v>0</v>
      </c>
      <c r="D187" s="170"/>
      <c r="E187" s="4"/>
      <c r="F187" s="170"/>
      <c r="G187" s="170"/>
      <c r="H187" s="170"/>
      <c r="I187" s="170"/>
    </row>
    <row r="188" spans="1:9" x14ac:dyDescent="0.25">
      <c r="A188" s="2" t="str">
        <f t="shared" si="6"/>
        <v>BB</v>
      </c>
      <c r="B188" s="3" t="str">
        <f t="shared" si="7"/>
        <v>00;</v>
      </c>
      <c r="C188" s="170">
        <v>0</v>
      </c>
      <c r="D188" s="170"/>
      <c r="E188" s="4"/>
      <c r="F188" s="170"/>
      <c r="G188" s="170"/>
      <c r="H188" s="170"/>
      <c r="I188" s="170"/>
    </row>
    <row r="189" spans="1:9" x14ac:dyDescent="0.25">
      <c r="A189" s="2" t="str">
        <f t="shared" si="6"/>
        <v>BC</v>
      </c>
      <c r="B189" s="3" t="str">
        <f t="shared" si="7"/>
        <v>00;</v>
      </c>
      <c r="C189" s="170">
        <v>0</v>
      </c>
      <c r="D189" s="170" t="s">
        <v>1129</v>
      </c>
      <c r="E189" s="4" t="s">
        <v>1059</v>
      </c>
      <c r="F189" s="170"/>
      <c r="G189" s="170" t="s">
        <v>1060</v>
      </c>
      <c r="H189" s="170"/>
      <c r="I189" s="170"/>
    </row>
    <row r="190" spans="1:9" x14ac:dyDescent="0.25">
      <c r="A190" s="2" t="str">
        <f t="shared" si="6"/>
        <v>BD</v>
      </c>
      <c r="B190" s="3" t="str">
        <f t="shared" si="7"/>
        <v>00;</v>
      </c>
      <c r="C190" s="170">
        <v>0</v>
      </c>
      <c r="D190" s="170" t="s">
        <v>1130</v>
      </c>
      <c r="E190" s="4" t="s">
        <v>1059</v>
      </c>
      <c r="F190" s="170"/>
      <c r="G190" s="170" t="s">
        <v>1060</v>
      </c>
      <c r="H190" s="170"/>
      <c r="I190" s="170"/>
    </row>
    <row r="191" spans="1:9" x14ac:dyDescent="0.25">
      <c r="A191" s="2" t="str">
        <f t="shared" si="6"/>
        <v>BE</v>
      </c>
      <c r="B191" s="113" t="s">
        <v>1141</v>
      </c>
      <c r="C191" s="114">
        <v>0</v>
      </c>
      <c r="D191" s="175" t="s">
        <v>1131</v>
      </c>
      <c r="E191" s="140" t="s">
        <v>1059</v>
      </c>
      <c r="F191" s="175"/>
      <c r="G191" s="175" t="s">
        <v>1060</v>
      </c>
      <c r="H191" s="175"/>
      <c r="I191" s="175"/>
    </row>
    <row r="192" spans="1:9" x14ac:dyDescent="0.25">
      <c r="A192" s="2" t="str">
        <f t="shared" si="6"/>
        <v>BF</v>
      </c>
      <c r="B192" s="3" t="str">
        <f t="shared" si="7"/>
        <v>00;</v>
      </c>
      <c r="C192" s="170">
        <v>0</v>
      </c>
      <c r="D192" s="170" t="s">
        <v>1132</v>
      </c>
      <c r="E192" s="4" t="s">
        <v>1059</v>
      </c>
      <c r="F192" s="170"/>
      <c r="G192" s="170" t="s">
        <v>1060</v>
      </c>
      <c r="H192" s="170"/>
      <c r="I192" s="170"/>
    </row>
    <row r="193" spans="1:9" x14ac:dyDescent="0.25">
      <c r="A193" s="2" t="str">
        <f t="shared" si="6"/>
        <v>C0</v>
      </c>
      <c r="B193" s="195" t="s">
        <v>1133</v>
      </c>
      <c r="C193" s="170"/>
      <c r="D193" s="170" t="s">
        <v>1134</v>
      </c>
      <c r="E193" s="4"/>
      <c r="F193" s="170" t="s">
        <v>1135</v>
      </c>
      <c r="G193" s="170"/>
      <c r="H193" s="170" t="s">
        <v>1136</v>
      </c>
      <c r="I193" s="170"/>
    </row>
    <row r="194" spans="1:9" x14ac:dyDescent="0.25">
      <c r="A194" s="2" t="str">
        <f t="shared" si="6"/>
        <v>C1</v>
      </c>
      <c r="B194" s="113" t="s">
        <v>1141</v>
      </c>
      <c r="C194" s="114">
        <v>1</v>
      </c>
      <c r="D194" s="170" t="s">
        <v>1137</v>
      </c>
      <c r="E194" s="4"/>
      <c r="F194" s="170" t="s">
        <v>1138</v>
      </c>
      <c r="G194" s="170"/>
      <c r="H194" s="170"/>
      <c r="I194" s="170"/>
    </row>
    <row r="195" spans="1:9" x14ac:dyDescent="0.25">
      <c r="A195" s="2" t="str">
        <f t="shared" si="6"/>
        <v>C2</v>
      </c>
      <c r="B195" s="120" t="s">
        <v>1018</v>
      </c>
      <c r="C195" s="170">
        <v>1</v>
      </c>
      <c r="D195" s="170" t="s">
        <v>1139</v>
      </c>
      <c r="E195" s="4"/>
      <c r="F195" s="170" t="s">
        <v>1140</v>
      </c>
      <c r="G195" s="170"/>
      <c r="H195" s="170"/>
      <c r="I195" s="170"/>
    </row>
    <row r="196" spans="1:9" x14ac:dyDescent="0.25">
      <c r="A196" s="2" t="str">
        <f t="shared" si="6"/>
        <v>C3</v>
      </c>
      <c r="B196" s="120" t="s">
        <v>1141</v>
      </c>
      <c r="C196" s="170">
        <v>0</v>
      </c>
      <c r="D196" s="170" t="s">
        <v>1142</v>
      </c>
      <c r="E196" s="4"/>
      <c r="F196" s="170" t="s">
        <v>1143</v>
      </c>
      <c r="G196" s="170"/>
      <c r="H196" s="170"/>
      <c r="I196" s="170"/>
    </row>
    <row r="197" spans="1:9" x14ac:dyDescent="0.25">
      <c r="A197" s="2" t="str">
        <f t="shared" si="6"/>
        <v>C4</v>
      </c>
      <c r="B197" s="3" t="str">
        <f t="shared" ref="B197:B200" si="8">IF(C197&lt;16,CONCATENATE("0",DEC2HEX(C197),";"),CONCATENATE(DEC2HEX(C197),";"))</f>
        <v>00;</v>
      </c>
      <c r="C197" s="170">
        <v>0</v>
      </c>
      <c r="D197" s="170" t="s">
        <v>1144</v>
      </c>
      <c r="E197" s="4">
        <v>1</v>
      </c>
      <c r="F197" s="170" t="s">
        <v>1145</v>
      </c>
      <c r="G197" s="170"/>
      <c r="H197" s="170"/>
      <c r="I197" s="170"/>
    </row>
    <row r="198" spans="1:9" x14ac:dyDescent="0.25">
      <c r="A198" s="2" t="str">
        <f t="shared" si="6"/>
        <v>C5</v>
      </c>
      <c r="B198" s="3" t="str">
        <f t="shared" si="8"/>
        <v>00;</v>
      </c>
      <c r="C198" s="170">
        <v>0</v>
      </c>
      <c r="D198" s="170" t="s">
        <v>1146</v>
      </c>
      <c r="E198" s="4">
        <v>2</v>
      </c>
      <c r="F198" s="170"/>
      <c r="G198" s="170"/>
      <c r="H198" s="170"/>
      <c r="I198" s="170"/>
    </row>
    <row r="199" spans="1:9" x14ac:dyDescent="0.25">
      <c r="A199" s="2" t="str">
        <f t="shared" si="6"/>
        <v>C6</v>
      </c>
      <c r="B199" s="3" t="str">
        <f t="shared" si="8"/>
        <v>00;</v>
      </c>
      <c r="C199" s="170">
        <v>0</v>
      </c>
      <c r="D199" s="170" t="s">
        <v>1146</v>
      </c>
      <c r="E199" s="4">
        <v>3</v>
      </c>
      <c r="F199" s="170"/>
      <c r="G199" s="170"/>
      <c r="H199" s="170"/>
      <c r="I199" s="170"/>
    </row>
    <row r="200" spans="1:9" x14ac:dyDescent="0.25">
      <c r="A200" s="2" t="str">
        <f t="shared" ref="A200:A263" si="9">IF(ROW()-1&lt;16,CONCATENATE("0",DEC2HEX(ROW()-1)),DEC2HEX(ROW()-1))</f>
        <v>C7</v>
      </c>
      <c r="B200" s="3" t="str">
        <f t="shared" si="8"/>
        <v>00;</v>
      </c>
      <c r="C200" s="170">
        <v>0</v>
      </c>
      <c r="D200" s="170" t="s">
        <v>1146</v>
      </c>
      <c r="E200" s="4">
        <v>4</v>
      </c>
      <c r="F200" s="170"/>
      <c r="G200" s="170"/>
      <c r="H200" s="170"/>
      <c r="I200" s="170"/>
    </row>
    <row r="201" spans="1:9" ht="15.75" thickBot="1" x14ac:dyDescent="0.3">
      <c r="A201" s="2" t="str">
        <f t="shared" si="9"/>
        <v>C8</v>
      </c>
      <c r="B201" s="153" t="s">
        <v>1141</v>
      </c>
      <c r="C201" s="154">
        <v>0</v>
      </c>
      <c r="D201" s="154" t="s">
        <v>1147</v>
      </c>
      <c r="E201" s="155">
        <v>1</v>
      </c>
      <c r="F201" s="154" t="s">
        <v>1148</v>
      </c>
      <c r="G201" s="154"/>
      <c r="H201" s="154"/>
      <c r="I201" s="154"/>
    </row>
    <row r="202" spans="1:9" ht="15.75" thickBot="1" x14ac:dyDescent="0.3">
      <c r="A202" s="2" t="str">
        <f t="shared" si="9"/>
        <v>C9</v>
      </c>
      <c r="B202" s="153" t="s">
        <v>1141</v>
      </c>
      <c r="C202" s="154">
        <v>0</v>
      </c>
      <c r="D202" s="154" t="s">
        <v>1149</v>
      </c>
      <c r="E202" s="155">
        <v>2</v>
      </c>
      <c r="F202" s="154"/>
      <c r="G202" s="156">
        <v>0</v>
      </c>
      <c r="H202" s="157" t="s">
        <v>1150</v>
      </c>
      <c r="I202" s="154"/>
    </row>
    <row r="203" spans="1:9" ht="15.75" thickBot="1" x14ac:dyDescent="0.3">
      <c r="A203" s="2" t="str">
        <f t="shared" si="9"/>
        <v>CA</v>
      </c>
      <c r="B203" s="153" t="s">
        <v>1141</v>
      </c>
      <c r="C203" s="154">
        <v>0</v>
      </c>
      <c r="D203" s="154"/>
      <c r="E203" s="155">
        <v>3</v>
      </c>
      <c r="F203" s="154"/>
      <c r="G203" s="158">
        <v>0</v>
      </c>
      <c r="H203" s="157" t="s">
        <v>1151</v>
      </c>
      <c r="I203" s="154"/>
    </row>
    <row r="204" spans="1:9" x14ac:dyDescent="0.25">
      <c r="A204" s="2" t="str">
        <f t="shared" si="9"/>
        <v>CB</v>
      </c>
      <c r="B204" s="153" t="s">
        <v>1141</v>
      </c>
      <c r="C204" s="154">
        <v>0</v>
      </c>
      <c r="D204" s="154"/>
      <c r="E204" s="155">
        <v>4</v>
      </c>
      <c r="F204" s="154"/>
      <c r="G204" s="155"/>
      <c r="H204" s="155" t="s">
        <v>1152</v>
      </c>
      <c r="I204" s="154"/>
    </row>
    <row r="205" spans="1:9" x14ac:dyDescent="0.25">
      <c r="A205" s="2" t="str">
        <f t="shared" si="9"/>
        <v>CC</v>
      </c>
      <c r="B205" s="3" t="str">
        <f t="shared" ref="B205:B268" si="10">IF(C205&lt;16,CONCATENATE("0",DEC2HEX(C205),";"),CONCATENATE(DEC2HEX(C205),";"))</f>
        <v>00;</v>
      </c>
      <c r="C205" s="170">
        <v>0</v>
      </c>
      <c r="D205" s="170"/>
      <c r="E205" s="4"/>
      <c r="F205" s="170"/>
      <c r="G205" s="170"/>
      <c r="H205" s="170"/>
      <c r="I205" s="170"/>
    </row>
    <row r="206" spans="1:9" x14ac:dyDescent="0.25">
      <c r="A206" s="2" t="str">
        <f t="shared" si="9"/>
        <v>CD</v>
      </c>
      <c r="B206" s="3" t="str">
        <f t="shared" si="10"/>
        <v>00;</v>
      </c>
      <c r="C206" s="170">
        <v>0</v>
      </c>
      <c r="D206" s="170"/>
      <c r="E206" s="4"/>
      <c r="F206" s="170"/>
      <c r="G206" s="170"/>
      <c r="H206" s="170"/>
      <c r="I206" s="170"/>
    </row>
    <row r="207" spans="1:9" x14ac:dyDescent="0.25">
      <c r="A207" s="2" t="str">
        <f t="shared" si="9"/>
        <v>CE</v>
      </c>
      <c r="B207" s="3" t="str">
        <f t="shared" si="10"/>
        <v>00;</v>
      </c>
      <c r="C207" s="170">
        <v>0</v>
      </c>
      <c r="D207" s="170"/>
      <c r="E207" s="4"/>
      <c r="F207" s="170"/>
      <c r="G207" s="170"/>
      <c r="H207" s="170"/>
      <c r="I207" s="170"/>
    </row>
    <row r="208" spans="1:9" x14ac:dyDescent="0.25">
      <c r="A208" s="2" t="str">
        <f t="shared" si="9"/>
        <v>CF</v>
      </c>
      <c r="B208" s="3" t="str">
        <f t="shared" si="10"/>
        <v>00;</v>
      </c>
      <c r="C208" s="170">
        <v>0</v>
      </c>
      <c r="D208" s="170"/>
      <c r="E208" s="4"/>
      <c r="F208" s="170"/>
      <c r="G208" s="170"/>
      <c r="H208" s="170"/>
      <c r="I208" s="170"/>
    </row>
    <row r="209" spans="1:9" x14ac:dyDescent="0.25">
      <c r="A209" s="2" t="str">
        <f t="shared" si="9"/>
        <v>D0</v>
      </c>
      <c r="B209" s="3" t="str">
        <f t="shared" si="10"/>
        <v>00;</v>
      </c>
      <c r="C209" s="170">
        <v>0</v>
      </c>
      <c r="D209" s="170"/>
      <c r="E209" s="4"/>
      <c r="F209" s="170"/>
      <c r="G209" s="170"/>
      <c r="H209" s="170"/>
      <c r="I209" s="170"/>
    </row>
    <row r="210" spans="1:9" x14ac:dyDescent="0.25">
      <c r="A210" s="2" t="str">
        <f t="shared" si="9"/>
        <v>D1</v>
      </c>
      <c r="B210" s="3" t="str">
        <f t="shared" si="10"/>
        <v>00;</v>
      </c>
      <c r="C210" s="170">
        <v>0</v>
      </c>
      <c r="D210" s="170"/>
      <c r="E210" s="4"/>
      <c r="F210" s="170"/>
      <c r="G210" s="170"/>
      <c r="H210" s="170"/>
      <c r="I210" s="170"/>
    </row>
    <row r="211" spans="1:9" x14ac:dyDescent="0.25">
      <c r="A211" s="2" t="str">
        <f t="shared" si="9"/>
        <v>D2</v>
      </c>
      <c r="B211" s="3" t="str">
        <f t="shared" si="10"/>
        <v>00;</v>
      </c>
      <c r="C211" s="170">
        <v>0</v>
      </c>
      <c r="D211" s="170"/>
      <c r="E211" s="4"/>
      <c r="F211" s="170"/>
      <c r="G211" s="170"/>
      <c r="H211" s="170"/>
      <c r="I211" s="170"/>
    </row>
    <row r="212" spans="1:9" x14ac:dyDescent="0.25">
      <c r="A212" s="2" t="str">
        <f t="shared" si="9"/>
        <v>D3</v>
      </c>
      <c r="B212" s="3" t="str">
        <f t="shared" si="10"/>
        <v>00;</v>
      </c>
      <c r="C212" s="170">
        <v>0</v>
      </c>
      <c r="D212" s="170"/>
      <c r="E212" s="4"/>
      <c r="F212" s="170"/>
      <c r="G212" s="170"/>
      <c r="H212" s="170"/>
      <c r="I212" s="170"/>
    </row>
    <row r="213" spans="1:9" x14ac:dyDescent="0.25">
      <c r="A213" s="2" t="str">
        <f t="shared" si="9"/>
        <v>D4</v>
      </c>
      <c r="B213" s="3" t="str">
        <f t="shared" si="10"/>
        <v>00;</v>
      </c>
      <c r="C213" s="170">
        <v>0</v>
      </c>
      <c r="D213" s="170"/>
      <c r="E213" s="4"/>
      <c r="F213" s="170"/>
      <c r="G213" s="170"/>
      <c r="H213" s="170"/>
      <c r="I213" s="170"/>
    </row>
    <row r="214" spans="1:9" x14ac:dyDescent="0.25">
      <c r="A214" s="2" t="str">
        <f t="shared" si="9"/>
        <v>D5</v>
      </c>
      <c r="B214" s="3" t="str">
        <f t="shared" si="10"/>
        <v>00;</v>
      </c>
      <c r="C214" s="170">
        <v>0</v>
      </c>
      <c r="D214" s="170"/>
      <c r="E214" s="4"/>
      <c r="F214" s="170"/>
      <c r="G214" s="170"/>
      <c r="H214" s="170"/>
      <c r="I214" s="170"/>
    </row>
    <row r="215" spans="1:9" x14ac:dyDescent="0.25">
      <c r="A215" s="2" t="str">
        <f t="shared" si="9"/>
        <v>D6</v>
      </c>
      <c r="B215" s="3" t="str">
        <f t="shared" si="10"/>
        <v>00;</v>
      </c>
      <c r="C215" s="170">
        <v>0</v>
      </c>
      <c r="D215" s="170"/>
      <c r="E215" s="4"/>
      <c r="F215" s="170"/>
      <c r="G215" s="170"/>
      <c r="H215" s="170"/>
      <c r="I215" s="170"/>
    </row>
    <row r="216" spans="1:9" x14ac:dyDescent="0.25">
      <c r="A216" s="2" t="str">
        <f t="shared" si="9"/>
        <v>D7</v>
      </c>
      <c r="B216" s="3" t="str">
        <f t="shared" si="10"/>
        <v>00;</v>
      </c>
      <c r="C216" s="170">
        <v>0</v>
      </c>
      <c r="D216" s="170"/>
      <c r="E216" s="4"/>
      <c r="F216" s="170"/>
      <c r="G216" s="170"/>
      <c r="H216" s="170"/>
      <c r="I216" s="170"/>
    </row>
    <row r="217" spans="1:9" x14ac:dyDescent="0.25">
      <c r="A217" s="2" t="str">
        <f t="shared" si="9"/>
        <v>D8</v>
      </c>
      <c r="B217" s="3" t="str">
        <f t="shared" si="10"/>
        <v>00;</v>
      </c>
      <c r="C217" s="170">
        <v>0</v>
      </c>
      <c r="D217" s="170"/>
      <c r="E217" s="4"/>
      <c r="F217" s="170"/>
      <c r="G217" s="170"/>
      <c r="H217" s="170"/>
      <c r="I217" s="170"/>
    </row>
    <row r="218" spans="1:9" x14ac:dyDescent="0.25">
      <c r="A218" s="2" t="str">
        <f t="shared" si="9"/>
        <v>D9</v>
      </c>
      <c r="B218" s="3" t="str">
        <f t="shared" si="10"/>
        <v>00;</v>
      </c>
      <c r="C218" s="170">
        <v>0</v>
      </c>
      <c r="D218" s="170"/>
      <c r="E218" s="4"/>
      <c r="F218" s="170"/>
      <c r="G218" s="170"/>
      <c r="H218" s="170"/>
      <c r="I218" s="170"/>
    </row>
    <row r="219" spans="1:9" x14ac:dyDescent="0.25">
      <c r="A219" s="2" t="str">
        <f t="shared" si="9"/>
        <v>DA</v>
      </c>
      <c r="B219" s="3" t="str">
        <f t="shared" si="10"/>
        <v>00;</v>
      </c>
      <c r="C219" s="170">
        <v>0</v>
      </c>
      <c r="D219" s="170"/>
      <c r="E219" s="4"/>
      <c r="F219" s="170"/>
      <c r="G219" s="170"/>
      <c r="H219" s="170"/>
      <c r="I219" s="170"/>
    </row>
    <row r="220" spans="1:9" x14ac:dyDescent="0.25">
      <c r="A220" s="2" t="str">
        <f t="shared" si="9"/>
        <v>DB</v>
      </c>
      <c r="B220" s="3" t="str">
        <f t="shared" si="10"/>
        <v>00;</v>
      </c>
      <c r="C220" s="170">
        <v>0</v>
      </c>
      <c r="D220" s="170"/>
      <c r="E220" s="4"/>
      <c r="F220" s="170"/>
      <c r="G220" s="170"/>
      <c r="H220" s="170"/>
      <c r="I220" s="170"/>
    </row>
    <row r="221" spans="1:9" x14ac:dyDescent="0.25">
      <c r="A221" s="2" t="str">
        <f t="shared" si="9"/>
        <v>DC</v>
      </c>
      <c r="B221" s="3" t="str">
        <f t="shared" si="10"/>
        <v>00;</v>
      </c>
      <c r="C221" s="170">
        <v>0</v>
      </c>
      <c r="D221" s="170"/>
      <c r="E221" s="4"/>
      <c r="F221" s="170"/>
      <c r="G221" s="170"/>
      <c r="H221" s="170"/>
      <c r="I221" s="170"/>
    </row>
    <row r="222" spans="1:9" x14ac:dyDescent="0.25">
      <c r="A222" s="2" t="str">
        <f t="shared" si="9"/>
        <v>DD</v>
      </c>
      <c r="B222" s="3" t="str">
        <f t="shared" si="10"/>
        <v>00;</v>
      </c>
      <c r="C222" s="170">
        <v>0</v>
      </c>
      <c r="D222" s="170"/>
      <c r="E222" s="4"/>
      <c r="F222" s="170"/>
      <c r="G222" s="170"/>
      <c r="H222" s="170"/>
      <c r="I222" s="170"/>
    </row>
    <row r="223" spans="1:9" x14ac:dyDescent="0.25">
      <c r="A223" s="2" t="str">
        <f t="shared" si="9"/>
        <v>DE</v>
      </c>
      <c r="B223" s="3" t="str">
        <f t="shared" si="10"/>
        <v>00;</v>
      </c>
      <c r="C223" s="170">
        <v>0</v>
      </c>
      <c r="D223" s="170"/>
      <c r="E223" s="4"/>
      <c r="F223" s="170"/>
      <c r="G223" s="170"/>
      <c r="H223" s="170"/>
      <c r="I223" s="170"/>
    </row>
    <row r="224" spans="1:9" x14ac:dyDescent="0.25">
      <c r="A224" s="2" t="str">
        <f t="shared" si="9"/>
        <v>DF</v>
      </c>
      <c r="B224" s="3" t="str">
        <f t="shared" si="10"/>
        <v>00;</v>
      </c>
      <c r="C224" s="170">
        <v>0</v>
      </c>
      <c r="D224" s="170"/>
      <c r="E224" s="4"/>
      <c r="F224" s="170"/>
      <c r="G224" s="170"/>
      <c r="H224" s="170"/>
      <c r="I224" s="170"/>
    </row>
    <row r="225" spans="1:9" x14ac:dyDescent="0.25">
      <c r="A225" s="2" t="str">
        <f t="shared" si="9"/>
        <v>E0</v>
      </c>
      <c r="B225" s="3" t="str">
        <f t="shared" si="10"/>
        <v>00;</v>
      </c>
      <c r="C225" s="170">
        <v>0</v>
      </c>
      <c r="D225" s="170"/>
      <c r="E225" s="4"/>
      <c r="F225" s="170"/>
      <c r="G225" s="170"/>
      <c r="H225" s="170"/>
      <c r="I225" s="170"/>
    </row>
    <row r="226" spans="1:9" x14ac:dyDescent="0.25">
      <c r="A226" s="2" t="str">
        <f t="shared" si="9"/>
        <v>E1</v>
      </c>
      <c r="B226" s="3" t="str">
        <f t="shared" si="10"/>
        <v>00;</v>
      </c>
      <c r="C226" s="170">
        <v>0</v>
      </c>
      <c r="D226" s="170"/>
      <c r="E226" s="4"/>
      <c r="F226" s="170"/>
      <c r="G226" s="170"/>
      <c r="H226" s="170"/>
      <c r="I226" s="170"/>
    </row>
    <row r="227" spans="1:9" x14ac:dyDescent="0.25">
      <c r="A227" s="2" t="str">
        <f t="shared" si="9"/>
        <v>E2</v>
      </c>
      <c r="B227" s="3" t="str">
        <f t="shared" si="10"/>
        <v>00;</v>
      </c>
      <c r="C227" s="170">
        <v>0</v>
      </c>
      <c r="D227" s="170"/>
      <c r="E227" s="4"/>
      <c r="F227" s="170"/>
      <c r="G227" s="170"/>
      <c r="H227" s="170"/>
      <c r="I227" s="170"/>
    </row>
    <row r="228" spans="1:9" x14ac:dyDescent="0.25">
      <c r="A228" s="2" t="str">
        <f t="shared" si="9"/>
        <v>E3</v>
      </c>
      <c r="B228" s="3" t="str">
        <f t="shared" si="10"/>
        <v>00;</v>
      </c>
      <c r="C228" s="170">
        <v>0</v>
      </c>
      <c r="D228" s="170"/>
      <c r="E228" s="4"/>
      <c r="F228" s="170"/>
      <c r="G228" s="170"/>
      <c r="H228" s="170"/>
      <c r="I228" s="170"/>
    </row>
    <row r="229" spans="1:9" x14ac:dyDescent="0.25">
      <c r="A229" s="2" t="str">
        <f t="shared" si="9"/>
        <v>E4</v>
      </c>
      <c r="B229" s="120" t="str">
        <f t="shared" si="10"/>
        <v>0D;</v>
      </c>
      <c r="C229" s="175">
        <v>13</v>
      </c>
      <c r="D229" s="175" t="s">
        <v>1518</v>
      </c>
      <c r="E229" s="140"/>
      <c r="F229" s="175"/>
      <c r="G229" s="175"/>
      <c r="H229" s="175"/>
      <c r="I229" s="175"/>
    </row>
    <row r="230" spans="1:9" x14ac:dyDescent="0.25">
      <c r="A230" s="2" t="str">
        <f t="shared" si="9"/>
        <v>E5</v>
      </c>
      <c r="B230" s="3" t="str">
        <f t="shared" si="10"/>
        <v>00;</v>
      </c>
      <c r="C230" s="170">
        <v>0</v>
      </c>
      <c r="D230" s="170"/>
      <c r="E230" s="4"/>
      <c r="F230" s="170"/>
      <c r="G230" s="170"/>
      <c r="H230" s="170"/>
      <c r="I230" s="170"/>
    </row>
    <row r="231" spans="1:9" x14ac:dyDescent="0.25">
      <c r="A231" s="2" t="str">
        <f t="shared" si="9"/>
        <v>E6</v>
      </c>
      <c r="B231" s="3" t="str">
        <f t="shared" si="10"/>
        <v>00;</v>
      </c>
      <c r="C231" s="170">
        <v>0</v>
      </c>
      <c r="D231" s="170"/>
      <c r="E231" s="4"/>
      <c r="F231" s="170"/>
      <c r="G231" s="170"/>
      <c r="H231" s="170"/>
      <c r="I231" s="170"/>
    </row>
    <row r="232" spans="1:9" x14ac:dyDescent="0.25">
      <c r="A232" s="2" t="str">
        <f t="shared" si="9"/>
        <v>E7</v>
      </c>
      <c r="B232" s="3" t="str">
        <f t="shared" si="10"/>
        <v>00;</v>
      </c>
      <c r="C232" s="170">
        <v>0</v>
      </c>
      <c r="D232" s="170"/>
      <c r="E232" s="4"/>
      <c r="F232" s="170"/>
      <c r="G232" s="170"/>
      <c r="H232" s="170"/>
      <c r="I232" s="170"/>
    </row>
    <row r="233" spans="1:9" x14ac:dyDescent="0.25">
      <c r="A233" s="2" t="str">
        <f t="shared" si="9"/>
        <v>E8</v>
      </c>
      <c r="B233" s="3" t="str">
        <f t="shared" si="10"/>
        <v>00;</v>
      </c>
      <c r="C233" s="170">
        <v>0</v>
      </c>
      <c r="D233" s="170"/>
      <c r="E233" s="4"/>
      <c r="F233" s="170"/>
      <c r="G233" s="170"/>
      <c r="H233" s="170"/>
      <c r="I233" s="170"/>
    </row>
    <row r="234" spans="1:9" x14ac:dyDescent="0.25">
      <c r="A234" s="2" t="str">
        <f t="shared" si="9"/>
        <v>E9</v>
      </c>
      <c r="B234" s="3" t="str">
        <f t="shared" si="10"/>
        <v>00;</v>
      </c>
      <c r="C234" s="170">
        <v>0</v>
      </c>
      <c r="D234" s="170"/>
      <c r="E234" s="4"/>
      <c r="F234" s="170"/>
      <c r="G234" s="170"/>
      <c r="H234" s="170"/>
      <c r="I234" s="170"/>
    </row>
    <row r="235" spans="1:9" x14ac:dyDescent="0.25">
      <c r="A235" s="2" t="str">
        <f t="shared" si="9"/>
        <v>EA</v>
      </c>
      <c r="B235" s="3" t="str">
        <f t="shared" si="10"/>
        <v>00;</v>
      </c>
      <c r="C235" s="170">
        <v>0</v>
      </c>
      <c r="D235" s="170"/>
      <c r="E235" s="4"/>
      <c r="F235" s="170"/>
      <c r="G235" s="170"/>
      <c r="H235" s="170"/>
      <c r="I235" s="170"/>
    </row>
    <row r="236" spans="1:9" x14ac:dyDescent="0.25">
      <c r="A236" s="2" t="str">
        <f t="shared" si="9"/>
        <v>EB</v>
      </c>
      <c r="B236" s="3" t="str">
        <f t="shared" si="10"/>
        <v>00;</v>
      </c>
      <c r="C236" s="170">
        <v>0</v>
      </c>
      <c r="D236" s="170"/>
      <c r="E236" s="4"/>
      <c r="F236" s="170"/>
      <c r="G236" s="170"/>
      <c r="H236" s="170"/>
      <c r="I236" s="170"/>
    </row>
    <row r="237" spans="1:9" x14ac:dyDescent="0.25">
      <c r="A237" s="2" t="str">
        <f t="shared" si="9"/>
        <v>EC</v>
      </c>
      <c r="B237" s="3" t="str">
        <f t="shared" si="10"/>
        <v>00;</v>
      </c>
      <c r="C237" s="170">
        <v>0</v>
      </c>
      <c r="D237" s="170"/>
      <c r="E237" s="4"/>
      <c r="F237" s="170"/>
      <c r="G237" s="170"/>
      <c r="H237" s="170"/>
      <c r="I237" s="170"/>
    </row>
    <row r="238" spans="1:9" x14ac:dyDescent="0.25">
      <c r="A238" s="2" t="str">
        <f t="shared" si="9"/>
        <v>ED</v>
      </c>
      <c r="B238" s="3" t="str">
        <f t="shared" si="10"/>
        <v>00;</v>
      </c>
      <c r="C238" s="170">
        <v>0</v>
      </c>
      <c r="D238" s="170"/>
      <c r="E238" s="4"/>
      <c r="F238" s="170"/>
      <c r="G238" s="170"/>
      <c r="H238" s="170"/>
      <c r="I238" s="170"/>
    </row>
    <row r="239" spans="1:9" x14ac:dyDescent="0.25">
      <c r="A239" s="2" t="str">
        <f t="shared" si="9"/>
        <v>EE</v>
      </c>
      <c r="B239" s="3" t="str">
        <f t="shared" si="10"/>
        <v>00;</v>
      </c>
      <c r="C239" s="170">
        <v>0</v>
      </c>
      <c r="D239" s="170"/>
      <c r="E239" s="4"/>
      <c r="F239" s="170"/>
      <c r="G239" s="170"/>
      <c r="H239" s="170"/>
      <c r="I239" s="170"/>
    </row>
    <row r="240" spans="1:9" x14ac:dyDescent="0.25">
      <c r="A240" s="2" t="str">
        <f t="shared" si="9"/>
        <v>EF</v>
      </c>
      <c r="B240" s="3" t="str">
        <f t="shared" si="10"/>
        <v>00;</v>
      </c>
      <c r="C240" s="170">
        <v>0</v>
      </c>
      <c r="D240" s="170"/>
      <c r="E240" s="4"/>
      <c r="F240" s="170"/>
      <c r="G240" s="170"/>
      <c r="H240" s="170"/>
      <c r="I240" s="170"/>
    </row>
    <row r="241" spans="1:9" x14ac:dyDescent="0.25">
      <c r="A241" s="2" t="str">
        <f t="shared" si="9"/>
        <v>F0</v>
      </c>
      <c r="B241" s="3" t="str">
        <f t="shared" si="10"/>
        <v>00;</v>
      </c>
      <c r="C241" s="170">
        <v>0</v>
      </c>
      <c r="D241" s="170"/>
      <c r="E241" s="4"/>
      <c r="F241" s="170"/>
      <c r="G241" s="170"/>
      <c r="H241" s="170"/>
      <c r="I241" s="170"/>
    </row>
    <row r="242" spans="1:9" x14ac:dyDescent="0.25">
      <c r="A242" s="2" t="str">
        <f t="shared" si="9"/>
        <v>F1</v>
      </c>
      <c r="B242" s="3" t="str">
        <f t="shared" si="10"/>
        <v>00;</v>
      </c>
      <c r="C242" s="170">
        <v>0</v>
      </c>
      <c r="D242" s="170"/>
      <c r="E242" s="4"/>
      <c r="F242" s="170"/>
      <c r="G242" s="170"/>
      <c r="H242" s="170"/>
      <c r="I242" s="170"/>
    </row>
    <row r="243" spans="1:9" x14ac:dyDescent="0.25">
      <c r="A243" s="2" t="str">
        <f t="shared" si="9"/>
        <v>F2</v>
      </c>
      <c r="B243" s="3" t="str">
        <f t="shared" si="10"/>
        <v>00;</v>
      </c>
      <c r="C243" s="170">
        <v>0</v>
      </c>
      <c r="D243" s="170"/>
      <c r="E243" s="4"/>
      <c r="F243" s="170"/>
      <c r="G243" s="170"/>
      <c r="H243" s="170"/>
      <c r="I243" s="170"/>
    </row>
    <row r="244" spans="1:9" x14ac:dyDescent="0.25">
      <c r="A244" s="2" t="str">
        <f t="shared" si="9"/>
        <v>F3</v>
      </c>
      <c r="B244" s="3" t="str">
        <f t="shared" si="10"/>
        <v>00;</v>
      </c>
      <c r="C244" s="170">
        <v>0</v>
      </c>
      <c r="D244" s="170"/>
      <c r="E244" s="4"/>
      <c r="F244" s="170"/>
      <c r="G244" s="170"/>
      <c r="H244" s="170"/>
      <c r="I244" s="170"/>
    </row>
    <row r="245" spans="1:9" x14ac:dyDescent="0.25">
      <c r="A245" s="2" t="str">
        <f t="shared" si="9"/>
        <v>F4</v>
      </c>
      <c r="B245" s="3" t="str">
        <f t="shared" si="10"/>
        <v>00;</v>
      </c>
      <c r="C245" s="170">
        <v>0</v>
      </c>
      <c r="D245" s="170"/>
      <c r="E245" s="4"/>
      <c r="F245" s="170"/>
      <c r="G245" s="170"/>
      <c r="H245" s="170"/>
      <c r="I245" s="170"/>
    </row>
    <row r="246" spans="1:9" x14ac:dyDescent="0.25">
      <c r="A246" s="2" t="str">
        <f t="shared" si="9"/>
        <v>F5</v>
      </c>
      <c r="B246" s="3" t="str">
        <f t="shared" si="10"/>
        <v>00;</v>
      </c>
      <c r="C246" s="170">
        <v>0</v>
      </c>
      <c r="D246" s="170"/>
      <c r="E246" s="4"/>
      <c r="F246" s="170"/>
      <c r="G246" s="170"/>
      <c r="H246" s="170"/>
      <c r="I246" s="170"/>
    </row>
    <row r="247" spans="1:9" x14ac:dyDescent="0.25">
      <c r="A247" s="2" t="str">
        <f t="shared" si="9"/>
        <v>F6</v>
      </c>
      <c r="B247" s="3" t="str">
        <f t="shared" si="10"/>
        <v>00;</v>
      </c>
      <c r="C247" s="170">
        <v>0</v>
      </c>
      <c r="D247" s="170"/>
      <c r="E247" s="4"/>
      <c r="F247" s="170"/>
      <c r="G247" s="170"/>
      <c r="H247" s="170"/>
      <c r="I247" s="170"/>
    </row>
    <row r="248" spans="1:9" x14ac:dyDescent="0.25">
      <c r="A248" s="2" t="str">
        <f t="shared" si="9"/>
        <v>F7</v>
      </c>
      <c r="B248" s="3" t="str">
        <f t="shared" si="10"/>
        <v>00;</v>
      </c>
      <c r="C248" s="170">
        <v>0</v>
      </c>
      <c r="D248" s="170"/>
      <c r="E248" s="4"/>
      <c r="F248" s="170"/>
      <c r="G248" s="170"/>
      <c r="H248" s="170"/>
      <c r="I248" s="170"/>
    </row>
    <row r="249" spans="1:9" x14ac:dyDescent="0.25">
      <c r="A249" s="2" t="str">
        <f t="shared" si="9"/>
        <v>F8</v>
      </c>
      <c r="B249" s="3" t="str">
        <f t="shared" si="10"/>
        <v>00;</v>
      </c>
      <c r="C249" s="170">
        <v>0</v>
      </c>
      <c r="D249" s="170"/>
      <c r="E249" s="4"/>
      <c r="F249" s="170"/>
      <c r="G249" s="170"/>
      <c r="H249" s="170"/>
      <c r="I249" s="170"/>
    </row>
    <row r="250" spans="1:9" x14ac:dyDescent="0.25">
      <c r="A250" s="2" t="str">
        <f t="shared" si="9"/>
        <v>F9</v>
      </c>
      <c r="B250" s="3" t="str">
        <f t="shared" si="10"/>
        <v>00;</v>
      </c>
      <c r="C250" s="170">
        <v>0</v>
      </c>
      <c r="D250" s="170"/>
      <c r="E250" s="4"/>
      <c r="F250" s="170"/>
      <c r="G250" s="170"/>
      <c r="H250" s="170"/>
      <c r="I250" s="170"/>
    </row>
    <row r="251" spans="1:9" x14ac:dyDescent="0.25">
      <c r="A251" s="2" t="str">
        <f t="shared" si="9"/>
        <v>FA</v>
      </c>
      <c r="B251" s="3" t="str">
        <f t="shared" si="10"/>
        <v>00;</v>
      </c>
      <c r="C251" s="170">
        <v>0</v>
      </c>
      <c r="D251" s="170"/>
      <c r="E251" s="4"/>
      <c r="F251" s="170"/>
      <c r="G251" s="170"/>
      <c r="H251" s="170"/>
      <c r="I251" s="170"/>
    </row>
    <row r="252" spans="1:9" x14ac:dyDescent="0.25">
      <c r="A252" s="2" t="str">
        <f t="shared" si="9"/>
        <v>FB</v>
      </c>
      <c r="B252" s="3" t="str">
        <f t="shared" si="10"/>
        <v>00;</v>
      </c>
      <c r="C252" s="170">
        <v>0</v>
      </c>
      <c r="D252" s="170"/>
      <c r="E252" s="4"/>
      <c r="F252" s="170"/>
      <c r="G252" s="170"/>
      <c r="H252" s="170"/>
      <c r="I252" s="170"/>
    </row>
    <row r="253" spans="1:9" x14ac:dyDescent="0.25">
      <c r="A253" s="2" t="str">
        <f t="shared" si="9"/>
        <v>FC</v>
      </c>
      <c r="B253" s="3" t="str">
        <f t="shared" si="10"/>
        <v>00;</v>
      </c>
      <c r="C253" s="170">
        <v>0</v>
      </c>
      <c r="D253" s="170"/>
      <c r="E253" s="4"/>
      <c r="F253" s="170"/>
      <c r="G253" s="170"/>
      <c r="H253" s="170"/>
      <c r="I253" s="170"/>
    </row>
    <row r="254" spans="1:9" x14ac:dyDescent="0.25">
      <c r="A254" s="2" t="str">
        <f t="shared" si="9"/>
        <v>FD</v>
      </c>
      <c r="B254" s="3" t="str">
        <f t="shared" si="10"/>
        <v>00;</v>
      </c>
      <c r="C254" s="170">
        <v>0</v>
      </c>
      <c r="D254" s="170"/>
      <c r="E254" s="4"/>
      <c r="F254" s="170"/>
      <c r="G254" s="170"/>
      <c r="H254" s="170"/>
      <c r="I254" s="170"/>
    </row>
    <row r="255" spans="1:9" x14ac:dyDescent="0.25">
      <c r="A255" s="2" t="str">
        <f t="shared" si="9"/>
        <v>FE</v>
      </c>
      <c r="B255" s="3" t="str">
        <f t="shared" si="10"/>
        <v>00;</v>
      </c>
      <c r="C255" s="170">
        <v>0</v>
      </c>
      <c r="D255" s="170"/>
      <c r="E255" s="4"/>
      <c r="F255" s="170"/>
      <c r="G255" s="170"/>
      <c r="H255" s="170"/>
      <c r="I255" s="170"/>
    </row>
    <row r="256" spans="1:9" x14ac:dyDescent="0.25">
      <c r="A256" s="2" t="str">
        <f t="shared" si="9"/>
        <v>FF</v>
      </c>
      <c r="B256" s="3" t="str">
        <f t="shared" si="10"/>
        <v>00;</v>
      </c>
      <c r="C256" s="170">
        <v>0</v>
      </c>
      <c r="D256" s="170"/>
      <c r="E256" s="4"/>
      <c r="F256" s="170"/>
      <c r="G256" s="170"/>
      <c r="H256" s="170"/>
      <c r="I256" s="170"/>
    </row>
    <row r="257" spans="1:9" x14ac:dyDescent="0.25">
      <c r="A257" s="2" t="str">
        <f t="shared" si="9"/>
        <v>100</v>
      </c>
      <c r="B257" s="3" t="str">
        <f t="shared" si="10"/>
        <v>01;</v>
      </c>
      <c r="C257" s="170">
        <v>1</v>
      </c>
      <c r="D257" s="170" t="s">
        <v>1153</v>
      </c>
      <c r="E257" s="4"/>
      <c r="F257" s="170">
        <v>0</v>
      </c>
      <c r="G257" s="170"/>
      <c r="H257" s="170" t="s">
        <v>1154</v>
      </c>
      <c r="I257" s="21" t="s">
        <v>1155</v>
      </c>
    </row>
    <row r="258" spans="1:9" x14ac:dyDescent="0.25">
      <c r="A258" s="2" t="str">
        <f t="shared" si="9"/>
        <v>101</v>
      </c>
      <c r="B258" s="3" t="str">
        <f t="shared" si="10"/>
        <v>00;</v>
      </c>
      <c r="C258" s="170">
        <v>0</v>
      </c>
      <c r="D258" s="170"/>
      <c r="E258" s="4"/>
      <c r="F258" s="170">
        <v>1</v>
      </c>
      <c r="G258" s="170"/>
      <c r="H258" s="170"/>
      <c r="I258" s="26" t="s">
        <v>1156</v>
      </c>
    </row>
    <row r="259" spans="1:9" x14ac:dyDescent="0.25">
      <c r="A259" s="2" t="str">
        <f t="shared" si="9"/>
        <v>102</v>
      </c>
      <c r="B259" s="3" t="str">
        <f t="shared" si="10"/>
        <v>00;</v>
      </c>
      <c r="C259" s="170">
        <v>0</v>
      </c>
      <c r="D259" s="170"/>
      <c r="E259" s="4"/>
      <c r="F259" s="170">
        <v>2</v>
      </c>
      <c r="G259" s="170"/>
      <c r="H259" s="170"/>
      <c r="I259" s="21" t="s">
        <v>1157</v>
      </c>
    </row>
    <row r="260" spans="1:9" x14ac:dyDescent="0.25">
      <c r="A260" s="2" t="str">
        <f t="shared" si="9"/>
        <v>103</v>
      </c>
      <c r="B260" s="3" t="str">
        <f t="shared" si="10"/>
        <v>00;</v>
      </c>
      <c r="C260" s="170">
        <v>0</v>
      </c>
      <c r="D260" s="170"/>
      <c r="E260" s="4"/>
      <c r="F260" s="170">
        <v>3</v>
      </c>
      <c r="G260" s="170"/>
      <c r="H260" s="170"/>
      <c r="I260" s="170"/>
    </row>
    <row r="261" spans="1:9" x14ac:dyDescent="0.25">
      <c r="A261" s="2" t="str">
        <f t="shared" si="9"/>
        <v>104</v>
      </c>
      <c r="B261" s="3" t="str">
        <f t="shared" si="10"/>
        <v>00;</v>
      </c>
      <c r="C261" s="170">
        <v>0</v>
      </c>
      <c r="D261" s="170"/>
      <c r="E261" s="4"/>
      <c r="F261" s="170">
        <v>4</v>
      </c>
      <c r="G261" s="170"/>
      <c r="H261" s="170"/>
      <c r="I261" s="170"/>
    </row>
    <row r="262" spans="1:9" x14ac:dyDescent="0.25">
      <c r="A262" s="2" t="str">
        <f t="shared" si="9"/>
        <v>105</v>
      </c>
      <c r="B262" s="3" t="str">
        <f t="shared" si="10"/>
        <v>00;</v>
      </c>
      <c r="C262" s="170">
        <v>0</v>
      </c>
      <c r="D262" s="170"/>
      <c r="E262" s="4"/>
      <c r="F262" s="170">
        <v>5</v>
      </c>
      <c r="G262" s="170"/>
      <c r="H262" s="170"/>
      <c r="I262" s="170"/>
    </row>
    <row r="263" spans="1:9" x14ac:dyDescent="0.25">
      <c r="A263" s="2" t="str">
        <f t="shared" si="9"/>
        <v>106</v>
      </c>
      <c r="B263" s="3" t="str">
        <f t="shared" si="10"/>
        <v>00;</v>
      </c>
      <c r="C263" s="170">
        <v>0</v>
      </c>
      <c r="D263" s="170"/>
      <c r="E263" s="4"/>
      <c r="F263" s="170">
        <v>6</v>
      </c>
      <c r="G263" s="170"/>
      <c r="H263" s="170"/>
      <c r="I263" s="170"/>
    </row>
    <row r="264" spans="1:9" x14ac:dyDescent="0.25">
      <c r="A264" s="2" t="str">
        <f t="shared" ref="A264:A327" si="11">IF(ROW()-1&lt;16,CONCATENATE("0",DEC2HEX(ROW()-1)),DEC2HEX(ROW()-1))</f>
        <v>107</v>
      </c>
      <c r="B264" s="3" t="str">
        <f t="shared" si="10"/>
        <v>00;</v>
      </c>
      <c r="C264" s="170">
        <v>0</v>
      </c>
      <c r="D264" s="170"/>
      <c r="E264" s="4"/>
      <c r="F264" s="170">
        <v>7</v>
      </c>
      <c r="G264" s="170"/>
      <c r="H264" s="170"/>
      <c r="I264" s="170"/>
    </row>
    <row r="265" spans="1:9" x14ac:dyDescent="0.25">
      <c r="A265" s="2" t="str">
        <f t="shared" si="11"/>
        <v>108</v>
      </c>
      <c r="B265" s="3" t="str">
        <f t="shared" si="10"/>
        <v>00;</v>
      </c>
      <c r="C265" s="170">
        <v>0</v>
      </c>
      <c r="D265" s="170"/>
      <c r="E265" s="4"/>
      <c r="F265" s="170">
        <v>8</v>
      </c>
      <c r="G265" s="170"/>
      <c r="H265" s="170"/>
      <c r="I265" s="170"/>
    </row>
    <row r="266" spans="1:9" x14ac:dyDescent="0.25">
      <c r="A266" s="2" t="str">
        <f t="shared" si="11"/>
        <v>109</v>
      </c>
      <c r="B266" s="3" t="str">
        <f t="shared" si="10"/>
        <v>00;</v>
      </c>
      <c r="C266" s="170">
        <v>0</v>
      </c>
      <c r="D266" s="170"/>
      <c r="E266" s="4"/>
      <c r="F266" s="170">
        <v>9</v>
      </c>
      <c r="G266" s="170"/>
      <c r="H266" s="170"/>
      <c r="I266" s="170"/>
    </row>
    <row r="267" spans="1:9" x14ac:dyDescent="0.25">
      <c r="A267" s="2" t="str">
        <f t="shared" si="11"/>
        <v>10A</v>
      </c>
      <c r="B267" s="3" t="str">
        <f t="shared" si="10"/>
        <v>00;</v>
      </c>
      <c r="C267" s="170">
        <v>0</v>
      </c>
      <c r="D267" s="170"/>
      <c r="E267" s="4"/>
      <c r="F267" s="170">
        <v>10</v>
      </c>
      <c r="G267" s="170"/>
      <c r="H267" s="170"/>
      <c r="I267" s="170"/>
    </row>
    <row r="268" spans="1:9" x14ac:dyDescent="0.25">
      <c r="A268" s="2" t="str">
        <f t="shared" si="11"/>
        <v>10B</v>
      </c>
      <c r="B268" s="3" t="str">
        <f t="shared" si="10"/>
        <v>00;</v>
      </c>
      <c r="C268" s="170">
        <v>0</v>
      </c>
      <c r="D268" s="170"/>
      <c r="E268" s="4"/>
      <c r="F268" s="170">
        <v>11</v>
      </c>
      <c r="G268" s="170"/>
      <c r="H268" s="170"/>
      <c r="I268" s="170"/>
    </row>
    <row r="269" spans="1:9" x14ac:dyDescent="0.25">
      <c r="A269" s="2" t="str">
        <f t="shared" si="11"/>
        <v>10C</v>
      </c>
      <c r="B269" s="3" t="str">
        <f t="shared" ref="B269:B332" si="12">IF(C269&lt;16,CONCATENATE("0",DEC2HEX(C269),";"),CONCATENATE(DEC2HEX(C269),";"))</f>
        <v>00;</v>
      </c>
      <c r="C269" s="170">
        <v>0</v>
      </c>
      <c r="D269" s="170"/>
      <c r="E269" s="4"/>
      <c r="F269" s="170">
        <v>12</v>
      </c>
      <c r="G269" s="170"/>
      <c r="H269" s="170"/>
      <c r="I269" s="170"/>
    </row>
    <row r="270" spans="1:9" x14ac:dyDescent="0.25">
      <c r="A270" s="2" t="str">
        <f t="shared" si="11"/>
        <v>10D</v>
      </c>
      <c r="B270" s="3" t="str">
        <f t="shared" si="12"/>
        <v>00;</v>
      </c>
      <c r="C270" s="170">
        <v>0</v>
      </c>
      <c r="D270" s="170"/>
      <c r="E270" s="4"/>
      <c r="F270" s="170">
        <v>13</v>
      </c>
      <c r="G270" s="170"/>
      <c r="H270" s="170"/>
      <c r="I270" s="170"/>
    </row>
    <row r="271" spans="1:9" x14ac:dyDescent="0.25">
      <c r="A271" s="2" t="str">
        <f t="shared" si="11"/>
        <v>10E</v>
      </c>
      <c r="B271" s="3" t="str">
        <f t="shared" si="12"/>
        <v>00;</v>
      </c>
      <c r="C271" s="170">
        <v>0</v>
      </c>
      <c r="D271" s="170"/>
      <c r="E271" s="4"/>
      <c r="F271" s="170">
        <v>14</v>
      </c>
      <c r="G271" s="170"/>
      <c r="H271" s="170"/>
      <c r="I271" s="170"/>
    </row>
    <row r="272" spans="1:9" x14ac:dyDescent="0.25">
      <c r="A272" s="2" t="str">
        <f t="shared" si="11"/>
        <v>10F</v>
      </c>
      <c r="B272" s="3" t="str">
        <f t="shared" si="12"/>
        <v>00;</v>
      </c>
      <c r="C272" s="170">
        <v>0</v>
      </c>
      <c r="D272" s="170"/>
      <c r="E272" s="4"/>
      <c r="F272" s="170">
        <v>15</v>
      </c>
      <c r="G272" s="170"/>
      <c r="H272" s="170"/>
      <c r="I272" s="170"/>
    </row>
    <row r="273" spans="1:9" x14ac:dyDescent="0.25">
      <c r="A273" s="2" t="str">
        <f t="shared" si="11"/>
        <v>110</v>
      </c>
      <c r="B273" s="3" t="str">
        <f t="shared" si="12"/>
        <v>00;</v>
      </c>
      <c r="C273" s="170">
        <v>0</v>
      </c>
      <c r="D273" s="170"/>
      <c r="E273" s="4"/>
      <c r="F273" s="170">
        <v>16</v>
      </c>
      <c r="G273" s="170"/>
      <c r="H273" s="170"/>
      <c r="I273" s="170"/>
    </row>
    <row r="274" spans="1:9" x14ac:dyDescent="0.25">
      <c r="A274" s="2" t="str">
        <f t="shared" si="11"/>
        <v>111</v>
      </c>
      <c r="B274" s="3" t="str">
        <f t="shared" si="12"/>
        <v>00;</v>
      </c>
      <c r="C274" s="170">
        <v>0</v>
      </c>
      <c r="D274" s="170"/>
      <c r="E274" s="4"/>
      <c r="F274" s="170">
        <v>17</v>
      </c>
      <c r="G274" s="170"/>
      <c r="H274" s="170"/>
      <c r="I274" s="170"/>
    </row>
    <row r="275" spans="1:9" x14ac:dyDescent="0.25">
      <c r="A275" s="2" t="str">
        <f t="shared" si="11"/>
        <v>112</v>
      </c>
      <c r="B275" s="3" t="str">
        <f t="shared" si="12"/>
        <v>00;</v>
      </c>
      <c r="C275" s="170">
        <v>0</v>
      </c>
      <c r="D275" s="170"/>
      <c r="E275" s="4"/>
      <c r="F275" s="170">
        <v>18</v>
      </c>
      <c r="G275" s="170"/>
      <c r="H275" s="170"/>
      <c r="I275" s="170"/>
    </row>
    <row r="276" spans="1:9" x14ac:dyDescent="0.25">
      <c r="A276" s="2" t="str">
        <f t="shared" si="11"/>
        <v>113</v>
      </c>
      <c r="B276" s="3" t="str">
        <f t="shared" si="12"/>
        <v>00;</v>
      </c>
      <c r="C276" s="170">
        <v>0</v>
      </c>
      <c r="D276" s="170"/>
      <c r="E276" s="4"/>
      <c r="F276" s="170">
        <v>19</v>
      </c>
      <c r="G276" s="170"/>
      <c r="H276" s="170"/>
      <c r="I276" s="170"/>
    </row>
    <row r="277" spans="1:9" x14ac:dyDescent="0.25">
      <c r="A277" s="2" t="str">
        <f t="shared" si="11"/>
        <v>114</v>
      </c>
      <c r="B277" s="3" t="str">
        <f t="shared" si="12"/>
        <v>00;</v>
      </c>
      <c r="C277" s="170">
        <v>0</v>
      </c>
      <c r="D277" s="170"/>
      <c r="E277" s="4"/>
      <c r="F277" s="170">
        <v>20</v>
      </c>
      <c r="G277" s="170"/>
      <c r="H277" s="170"/>
      <c r="I277" s="170"/>
    </row>
    <row r="278" spans="1:9" x14ac:dyDescent="0.25">
      <c r="A278" s="2" t="str">
        <f t="shared" si="11"/>
        <v>115</v>
      </c>
      <c r="B278" s="3" t="str">
        <f t="shared" si="12"/>
        <v>00;</v>
      </c>
      <c r="C278" s="170">
        <v>0</v>
      </c>
      <c r="D278" s="170"/>
      <c r="E278" s="4"/>
      <c r="F278" s="170">
        <v>21</v>
      </c>
      <c r="G278" s="170"/>
      <c r="H278" s="170"/>
      <c r="I278" s="170"/>
    </row>
    <row r="279" spans="1:9" x14ac:dyDescent="0.25">
      <c r="A279" s="2" t="str">
        <f t="shared" si="11"/>
        <v>116</v>
      </c>
      <c r="B279" s="3" t="str">
        <f t="shared" si="12"/>
        <v>00;</v>
      </c>
      <c r="C279" s="170">
        <v>0</v>
      </c>
      <c r="D279" s="170"/>
      <c r="E279" s="4"/>
      <c r="F279" s="170">
        <v>22</v>
      </c>
      <c r="G279" s="170"/>
      <c r="H279" s="170"/>
      <c r="I279" s="170"/>
    </row>
    <row r="280" spans="1:9" x14ac:dyDescent="0.25">
      <c r="A280" s="2" t="str">
        <f t="shared" si="11"/>
        <v>117</v>
      </c>
      <c r="B280" s="3" t="str">
        <f t="shared" si="12"/>
        <v>00;</v>
      </c>
      <c r="C280" s="170">
        <v>0</v>
      </c>
      <c r="D280" s="170"/>
      <c r="E280" s="4"/>
      <c r="F280" s="170">
        <v>23</v>
      </c>
      <c r="G280" s="170"/>
      <c r="H280" s="170"/>
      <c r="I280" s="170"/>
    </row>
    <row r="281" spans="1:9" x14ac:dyDescent="0.25">
      <c r="A281" s="2" t="str">
        <f t="shared" si="11"/>
        <v>118</v>
      </c>
      <c r="B281" s="3" t="str">
        <f t="shared" si="12"/>
        <v>00;</v>
      </c>
      <c r="C281" s="170">
        <v>0</v>
      </c>
      <c r="D281" s="170"/>
      <c r="E281" s="4"/>
      <c r="F281" s="170">
        <v>24</v>
      </c>
      <c r="G281" s="170"/>
      <c r="H281" s="170"/>
      <c r="I281" s="170"/>
    </row>
    <row r="282" spans="1:9" x14ac:dyDescent="0.25">
      <c r="A282" s="2" t="str">
        <f t="shared" si="11"/>
        <v>119</v>
      </c>
      <c r="B282" s="3" t="str">
        <f t="shared" si="12"/>
        <v>00;</v>
      </c>
      <c r="C282" s="170">
        <v>0</v>
      </c>
      <c r="D282" s="170"/>
      <c r="E282" s="4"/>
      <c r="F282" s="170">
        <v>25</v>
      </c>
      <c r="G282" s="170"/>
      <c r="H282" s="170"/>
      <c r="I282" s="170"/>
    </row>
    <row r="283" spans="1:9" x14ac:dyDescent="0.25">
      <c r="A283" s="2" t="str">
        <f t="shared" si="11"/>
        <v>11A</v>
      </c>
      <c r="B283" s="3" t="str">
        <f t="shared" si="12"/>
        <v>00;</v>
      </c>
      <c r="C283" s="170">
        <v>0</v>
      </c>
      <c r="D283" s="170"/>
      <c r="E283" s="4"/>
      <c r="F283" s="170">
        <v>26</v>
      </c>
      <c r="G283" s="170"/>
      <c r="H283" s="170"/>
      <c r="I283" s="170"/>
    </row>
    <row r="284" spans="1:9" x14ac:dyDescent="0.25">
      <c r="A284" s="2" t="str">
        <f t="shared" si="11"/>
        <v>11B</v>
      </c>
      <c r="B284" s="3" t="str">
        <f t="shared" si="12"/>
        <v>00;</v>
      </c>
      <c r="C284" s="170">
        <v>0</v>
      </c>
      <c r="D284" s="170"/>
      <c r="E284" s="4"/>
      <c r="F284" s="170">
        <v>27</v>
      </c>
      <c r="G284" s="170"/>
      <c r="H284" s="170"/>
      <c r="I284" s="170"/>
    </row>
    <row r="285" spans="1:9" x14ac:dyDescent="0.25">
      <c r="A285" s="2" t="str">
        <f t="shared" si="11"/>
        <v>11C</v>
      </c>
      <c r="B285" s="3" t="str">
        <f t="shared" si="12"/>
        <v>00;</v>
      </c>
      <c r="C285" s="170">
        <v>0</v>
      </c>
      <c r="D285" s="170"/>
      <c r="E285" s="4"/>
      <c r="F285" s="170">
        <v>28</v>
      </c>
      <c r="G285" s="170"/>
      <c r="H285" s="170"/>
      <c r="I285" s="170"/>
    </row>
    <row r="286" spans="1:9" x14ac:dyDescent="0.25">
      <c r="A286" s="2" t="str">
        <f t="shared" si="11"/>
        <v>11D</v>
      </c>
      <c r="B286" s="3" t="str">
        <f t="shared" si="12"/>
        <v>00;</v>
      </c>
      <c r="C286" s="170">
        <v>0</v>
      </c>
      <c r="D286" s="170"/>
      <c r="E286" s="4"/>
      <c r="F286" s="170">
        <v>29</v>
      </c>
      <c r="G286" s="170"/>
      <c r="H286" s="170"/>
      <c r="I286" s="170"/>
    </row>
    <row r="287" spans="1:9" x14ac:dyDescent="0.25">
      <c r="A287" s="2" t="str">
        <f t="shared" si="11"/>
        <v>11E</v>
      </c>
      <c r="B287" s="3" t="str">
        <f t="shared" si="12"/>
        <v>00;</v>
      </c>
      <c r="C287" s="170">
        <v>0</v>
      </c>
      <c r="D287" s="170"/>
      <c r="E287" s="4"/>
      <c r="F287" s="170">
        <v>30</v>
      </c>
      <c r="G287" s="170"/>
      <c r="H287" s="170"/>
      <c r="I287" s="170"/>
    </row>
    <row r="288" spans="1:9" x14ac:dyDescent="0.25">
      <c r="A288" s="2" t="str">
        <f t="shared" si="11"/>
        <v>11F</v>
      </c>
      <c r="B288" s="3" t="str">
        <f t="shared" si="12"/>
        <v>00;</v>
      </c>
      <c r="C288" s="170">
        <v>0</v>
      </c>
      <c r="D288" s="170"/>
      <c r="E288" s="4"/>
      <c r="F288" s="170">
        <v>31</v>
      </c>
      <c r="G288" s="170"/>
      <c r="H288" s="170"/>
      <c r="I288" s="21" t="s">
        <v>1158</v>
      </c>
    </row>
    <row r="289" spans="1:9" x14ac:dyDescent="0.25">
      <c r="A289" s="2" t="str">
        <f t="shared" si="11"/>
        <v>120</v>
      </c>
      <c r="B289" s="3" t="str">
        <f t="shared" si="12"/>
        <v>00;</v>
      </c>
      <c r="C289" s="170">
        <v>0</v>
      </c>
      <c r="D289" s="170"/>
      <c r="E289" s="4"/>
      <c r="F289" s="170"/>
      <c r="G289" s="170"/>
      <c r="H289" s="170"/>
      <c r="I289" s="21"/>
    </row>
    <row r="290" spans="1:9" x14ac:dyDescent="0.25">
      <c r="A290" s="2" t="str">
        <f t="shared" si="11"/>
        <v>121</v>
      </c>
      <c r="B290" s="3" t="str">
        <f t="shared" si="12"/>
        <v>00;</v>
      </c>
      <c r="C290" s="170">
        <v>0</v>
      </c>
      <c r="D290" s="170"/>
      <c r="E290" s="4"/>
      <c r="F290" s="170"/>
      <c r="G290" s="170"/>
      <c r="H290" s="170"/>
      <c r="I290" s="26"/>
    </row>
    <row r="291" spans="1:9" x14ac:dyDescent="0.25">
      <c r="A291" s="2" t="str">
        <f t="shared" si="11"/>
        <v>122</v>
      </c>
      <c r="B291" s="3" t="str">
        <f t="shared" si="12"/>
        <v>00;</v>
      </c>
      <c r="C291" s="170">
        <v>0</v>
      </c>
      <c r="D291" s="170"/>
      <c r="E291" s="4"/>
      <c r="F291" s="170"/>
      <c r="G291" s="170"/>
      <c r="H291" s="170"/>
      <c r="I291" s="21"/>
    </row>
    <row r="292" spans="1:9" x14ac:dyDescent="0.25">
      <c r="A292" s="2" t="str">
        <f t="shared" si="11"/>
        <v>123</v>
      </c>
      <c r="B292" s="3" t="str">
        <f t="shared" si="12"/>
        <v>00;</v>
      </c>
      <c r="C292" s="170">
        <v>0</v>
      </c>
      <c r="D292" s="170"/>
      <c r="E292" s="4"/>
      <c r="F292" s="170"/>
      <c r="G292" s="170"/>
      <c r="H292" s="170"/>
      <c r="I292" s="170"/>
    </row>
    <row r="293" spans="1:9" x14ac:dyDescent="0.25">
      <c r="A293" s="2" t="str">
        <f t="shared" si="11"/>
        <v>124</v>
      </c>
      <c r="B293" s="3" t="str">
        <f t="shared" si="12"/>
        <v>00;</v>
      </c>
      <c r="C293" s="170">
        <v>0</v>
      </c>
      <c r="D293" s="170"/>
      <c r="E293" s="4"/>
      <c r="F293" s="170"/>
      <c r="G293" s="170"/>
      <c r="H293" s="170"/>
      <c r="I293" s="170"/>
    </row>
    <row r="294" spans="1:9" x14ac:dyDescent="0.25">
      <c r="A294" s="2" t="str">
        <f t="shared" si="11"/>
        <v>125</v>
      </c>
      <c r="B294" s="3" t="str">
        <f t="shared" si="12"/>
        <v>00;</v>
      </c>
      <c r="C294" s="170">
        <v>0</v>
      </c>
      <c r="D294" s="170"/>
      <c r="E294" s="4"/>
      <c r="F294" s="170"/>
      <c r="G294" s="170"/>
      <c r="H294" s="170"/>
      <c r="I294" s="170"/>
    </row>
    <row r="295" spans="1:9" x14ac:dyDescent="0.25">
      <c r="A295" s="2" t="str">
        <f t="shared" si="11"/>
        <v>126</v>
      </c>
      <c r="B295" s="3" t="str">
        <f t="shared" si="12"/>
        <v>00;</v>
      </c>
      <c r="C295" s="170">
        <v>0</v>
      </c>
      <c r="D295" s="170"/>
      <c r="E295" s="4"/>
      <c r="F295" s="170"/>
      <c r="G295" s="170"/>
      <c r="H295" s="170"/>
      <c r="I295" s="170"/>
    </row>
    <row r="296" spans="1:9" x14ac:dyDescent="0.25">
      <c r="A296" s="2" t="str">
        <f t="shared" si="11"/>
        <v>127</v>
      </c>
      <c r="B296" s="3" t="str">
        <f t="shared" si="12"/>
        <v>00;</v>
      </c>
      <c r="C296" s="170">
        <v>0</v>
      </c>
      <c r="D296" s="170"/>
      <c r="E296" s="4"/>
      <c r="F296" s="170"/>
      <c r="G296" s="170"/>
      <c r="H296" s="170"/>
      <c r="I296" s="170"/>
    </row>
    <row r="297" spans="1:9" x14ac:dyDescent="0.25">
      <c r="A297" s="2" t="str">
        <f t="shared" si="11"/>
        <v>128</v>
      </c>
      <c r="B297" s="3" t="str">
        <f t="shared" si="12"/>
        <v>00;</v>
      </c>
      <c r="C297" s="170">
        <v>0</v>
      </c>
      <c r="D297" s="170"/>
      <c r="E297" s="4"/>
      <c r="F297" s="170"/>
      <c r="G297" s="170"/>
      <c r="H297" s="170"/>
      <c r="I297" s="170"/>
    </row>
    <row r="298" spans="1:9" x14ac:dyDescent="0.25">
      <c r="A298" s="2" t="str">
        <f t="shared" si="11"/>
        <v>129</v>
      </c>
      <c r="B298" s="3" t="str">
        <f t="shared" si="12"/>
        <v>00;</v>
      </c>
      <c r="C298" s="170">
        <v>0</v>
      </c>
      <c r="D298" s="170"/>
      <c r="E298" s="4"/>
      <c r="F298" s="170"/>
      <c r="G298" s="170"/>
      <c r="H298" s="170"/>
      <c r="I298" s="170"/>
    </row>
    <row r="299" spans="1:9" x14ac:dyDescent="0.25">
      <c r="A299" s="2" t="str">
        <f t="shared" si="11"/>
        <v>12A</v>
      </c>
      <c r="B299" s="3" t="str">
        <f t="shared" si="12"/>
        <v>00;</v>
      </c>
      <c r="C299" s="170">
        <v>0</v>
      </c>
      <c r="D299" s="170"/>
      <c r="E299" s="4"/>
      <c r="F299" s="170"/>
      <c r="G299" s="170"/>
      <c r="H299" s="170"/>
      <c r="I299" s="170"/>
    </row>
    <row r="300" spans="1:9" x14ac:dyDescent="0.25">
      <c r="A300" s="2" t="str">
        <f t="shared" si="11"/>
        <v>12B</v>
      </c>
      <c r="B300" s="3" t="str">
        <f t="shared" si="12"/>
        <v>00;</v>
      </c>
      <c r="C300" s="170">
        <v>0</v>
      </c>
      <c r="D300" s="170"/>
      <c r="E300" s="4"/>
      <c r="F300" s="170"/>
      <c r="G300" s="170"/>
      <c r="H300" s="170"/>
      <c r="I300" s="170"/>
    </row>
    <row r="301" spans="1:9" x14ac:dyDescent="0.25">
      <c r="A301" s="2" t="str">
        <f t="shared" si="11"/>
        <v>12C</v>
      </c>
      <c r="B301" s="3" t="str">
        <f t="shared" si="12"/>
        <v>00;</v>
      </c>
      <c r="C301" s="170">
        <v>0</v>
      </c>
      <c r="D301" s="170"/>
      <c r="E301" s="4"/>
      <c r="F301" s="170"/>
      <c r="G301" s="170"/>
      <c r="H301" s="170"/>
      <c r="I301" s="170"/>
    </row>
    <row r="302" spans="1:9" x14ac:dyDescent="0.25">
      <c r="A302" s="2" t="str">
        <f t="shared" si="11"/>
        <v>12D</v>
      </c>
      <c r="B302" s="3" t="str">
        <f t="shared" si="12"/>
        <v>00;</v>
      </c>
      <c r="C302" s="170">
        <v>0</v>
      </c>
      <c r="D302" s="170"/>
      <c r="E302" s="4"/>
      <c r="F302" s="170"/>
      <c r="G302" s="170"/>
      <c r="H302" s="170"/>
      <c r="I302" s="170"/>
    </row>
    <row r="303" spans="1:9" x14ac:dyDescent="0.25">
      <c r="A303" s="2" t="str">
        <f t="shared" si="11"/>
        <v>12E</v>
      </c>
      <c r="B303" s="3" t="str">
        <f t="shared" si="12"/>
        <v>00;</v>
      </c>
      <c r="C303" s="170">
        <v>0</v>
      </c>
      <c r="D303" s="170"/>
      <c r="E303" s="4"/>
      <c r="F303" s="170"/>
      <c r="G303" s="170"/>
      <c r="H303" s="170"/>
      <c r="I303" s="170"/>
    </row>
    <row r="304" spans="1:9" x14ac:dyDescent="0.25">
      <c r="A304" s="2" t="str">
        <f t="shared" si="11"/>
        <v>12F</v>
      </c>
      <c r="B304" s="3" t="str">
        <f t="shared" si="12"/>
        <v>00;</v>
      </c>
      <c r="C304" s="170">
        <v>0</v>
      </c>
      <c r="D304" s="170"/>
      <c r="E304" s="4"/>
      <c r="F304" s="170"/>
      <c r="G304" s="170"/>
      <c r="H304" s="170"/>
      <c r="I304" s="170"/>
    </row>
    <row r="305" spans="1:9" x14ac:dyDescent="0.25">
      <c r="A305" s="2" t="str">
        <f t="shared" si="11"/>
        <v>130</v>
      </c>
      <c r="B305" s="3" t="str">
        <f t="shared" si="12"/>
        <v>00;</v>
      </c>
      <c r="C305" s="170">
        <v>0</v>
      </c>
      <c r="D305" s="170"/>
      <c r="E305" s="4"/>
      <c r="F305" s="170"/>
      <c r="G305" s="170"/>
      <c r="H305" s="170"/>
      <c r="I305" s="170"/>
    </row>
    <row r="306" spans="1:9" x14ac:dyDescent="0.25">
      <c r="A306" s="2" t="str">
        <f t="shared" si="11"/>
        <v>131</v>
      </c>
      <c r="B306" s="3" t="str">
        <f t="shared" si="12"/>
        <v>00;</v>
      </c>
      <c r="C306" s="170">
        <v>0</v>
      </c>
      <c r="D306" s="170"/>
      <c r="E306" s="4"/>
      <c r="F306" s="170"/>
      <c r="G306" s="170"/>
      <c r="H306" s="170"/>
      <c r="I306" s="170"/>
    </row>
    <row r="307" spans="1:9" x14ac:dyDescent="0.25">
      <c r="A307" s="2" t="str">
        <f t="shared" si="11"/>
        <v>132</v>
      </c>
      <c r="B307" s="3" t="str">
        <f t="shared" si="12"/>
        <v>00;</v>
      </c>
      <c r="C307" s="170">
        <v>0</v>
      </c>
      <c r="D307" s="170"/>
      <c r="E307" s="4"/>
      <c r="F307" s="170"/>
      <c r="G307" s="170"/>
      <c r="H307" s="170"/>
      <c r="I307" s="170"/>
    </row>
    <row r="308" spans="1:9" x14ac:dyDescent="0.25">
      <c r="A308" s="2" t="str">
        <f t="shared" si="11"/>
        <v>133</v>
      </c>
      <c r="B308" s="3" t="str">
        <f t="shared" si="12"/>
        <v>00;</v>
      </c>
      <c r="C308" s="170">
        <v>0</v>
      </c>
      <c r="D308" s="170"/>
      <c r="E308" s="4"/>
      <c r="F308" s="170"/>
      <c r="G308" s="170"/>
      <c r="H308" s="170"/>
      <c r="I308" s="170"/>
    </row>
    <row r="309" spans="1:9" x14ac:dyDescent="0.25">
      <c r="A309" s="2" t="str">
        <f t="shared" si="11"/>
        <v>134</v>
      </c>
      <c r="B309" s="3" t="str">
        <f t="shared" si="12"/>
        <v>00;</v>
      </c>
      <c r="C309" s="170">
        <v>0</v>
      </c>
      <c r="D309" s="170"/>
      <c r="E309" s="4"/>
      <c r="F309" s="170"/>
      <c r="G309" s="170"/>
      <c r="H309" s="170"/>
      <c r="I309" s="170"/>
    </row>
    <row r="310" spans="1:9" x14ac:dyDescent="0.25">
      <c r="A310" s="2" t="str">
        <f t="shared" si="11"/>
        <v>135</v>
      </c>
      <c r="B310" s="3" t="str">
        <f t="shared" si="12"/>
        <v>00;</v>
      </c>
      <c r="C310" s="170">
        <v>0</v>
      </c>
      <c r="D310" s="170"/>
      <c r="E310" s="4"/>
      <c r="F310" s="170"/>
      <c r="G310" s="170"/>
      <c r="H310" s="170"/>
      <c r="I310" s="170"/>
    </row>
    <row r="311" spans="1:9" x14ac:dyDescent="0.25">
      <c r="A311" s="2" t="str">
        <f t="shared" si="11"/>
        <v>136</v>
      </c>
      <c r="B311" s="3" t="str">
        <f t="shared" si="12"/>
        <v>00;</v>
      </c>
      <c r="C311" s="170">
        <v>0</v>
      </c>
      <c r="D311" s="170"/>
      <c r="E311" s="4"/>
      <c r="F311" s="170"/>
      <c r="G311" s="170"/>
      <c r="H311" s="170"/>
      <c r="I311" s="170"/>
    </row>
    <row r="312" spans="1:9" x14ac:dyDescent="0.25">
      <c r="A312" s="2" t="str">
        <f t="shared" si="11"/>
        <v>137</v>
      </c>
      <c r="B312" s="3" t="str">
        <f t="shared" si="12"/>
        <v>00;</v>
      </c>
      <c r="C312" s="170">
        <v>0</v>
      </c>
      <c r="D312" s="170"/>
      <c r="E312" s="4"/>
      <c r="F312" s="170"/>
      <c r="G312" s="170"/>
      <c r="H312" s="170"/>
      <c r="I312" s="170"/>
    </row>
    <row r="313" spans="1:9" x14ac:dyDescent="0.25">
      <c r="A313" s="2" t="str">
        <f t="shared" si="11"/>
        <v>138</v>
      </c>
      <c r="B313" s="3" t="str">
        <f t="shared" si="12"/>
        <v>00;</v>
      </c>
      <c r="C313" s="170">
        <v>0</v>
      </c>
      <c r="D313" s="170"/>
      <c r="E313" s="4"/>
      <c r="F313" s="170"/>
      <c r="G313" s="170"/>
      <c r="H313" s="170"/>
      <c r="I313" s="170"/>
    </row>
    <row r="314" spans="1:9" x14ac:dyDescent="0.25">
      <c r="A314" s="2" t="str">
        <f t="shared" si="11"/>
        <v>139</v>
      </c>
      <c r="B314" s="3" t="str">
        <f t="shared" si="12"/>
        <v>00;</v>
      </c>
      <c r="C314" s="170">
        <v>0</v>
      </c>
      <c r="D314" s="170"/>
      <c r="E314" s="4"/>
      <c r="F314" s="170"/>
      <c r="G314" s="170"/>
      <c r="H314" s="170"/>
      <c r="I314" s="170"/>
    </row>
    <row r="315" spans="1:9" x14ac:dyDescent="0.25">
      <c r="A315" s="2" t="str">
        <f t="shared" si="11"/>
        <v>13A</v>
      </c>
      <c r="B315" s="3" t="str">
        <f t="shared" si="12"/>
        <v>00;</v>
      </c>
      <c r="C315" s="170">
        <v>0</v>
      </c>
      <c r="D315" s="170"/>
      <c r="E315" s="4"/>
      <c r="F315" s="170"/>
      <c r="G315" s="170"/>
      <c r="H315" s="170"/>
      <c r="I315" s="170"/>
    </row>
    <row r="316" spans="1:9" x14ac:dyDescent="0.25">
      <c r="A316" s="2" t="str">
        <f t="shared" si="11"/>
        <v>13B</v>
      </c>
      <c r="B316" s="3" t="str">
        <f t="shared" si="12"/>
        <v>00;</v>
      </c>
      <c r="C316" s="170">
        <v>0</v>
      </c>
      <c r="D316" s="170"/>
      <c r="E316" s="4"/>
      <c r="F316" s="170"/>
      <c r="G316" s="170"/>
      <c r="H316" s="170"/>
      <c r="I316" s="170"/>
    </row>
    <row r="317" spans="1:9" x14ac:dyDescent="0.25">
      <c r="A317" s="2" t="str">
        <f t="shared" si="11"/>
        <v>13C</v>
      </c>
      <c r="B317" s="3" t="str">
        <f t="shared" si="12"/>
        <v>00;</v>
      </c>
      <c r="C317" s="170">
        <v>0</v>
      </c>
      <c r="D317" s="170"/>
      <c r="E317" s="4"/>
      <c r="F317" s="170"/>
      <c r="G317" s="170"/>
      <c r="H317" s="170"/>
      <c r="I317" s="170"/>
    </row>
    <row r="318" spans="1:9" x14ac:dyDescent="0.25">
      <c r="A318" s="2" t="str">
        <f t="shared" si="11"/>
        <v>13D</v>
      </c>
      <c r="B318" s="3" t="str">
        <f t="shared" si="12"/>
        <v>00;</v>
      </c>
      <c r="C318" s="170">
        <v>0</v>
      </c>
      <c r="D318" s="170"/>
      <c r="E318" s="4"/>
      <c r="F318" s="170"/>
      <c r="G318" s="170"/>
      <c r="H318" s="170"/>
      <c r="I318" s="170"/>
    </row>
    <row r="319" spans="1:9" x14ac:dyDescent="0.25">
      <c r="A319" s="2" t="str">
        <f t="shared" si="11"/>
        <v>13E</v>
      </c>
      <c r="B319" s="3" t="str">
        <f t="shared" si="12"/>
        <v>00;</v>
      </c>
      <c r="C319" s="170">
        <v>0</v>
      </c>
      <c r="D319" s="170"/>
      <c r="E319" s="4"/>
      <c r="F319" s="170">
        <v>30</v>
      </c>
      <c r="G319" s="170"/>
      <c r="H319" s="170"/>
      <c r="I319" s="170"/>
    </row>
    <row r="320" spans="1:9" x14ac:dyDescent="0.25">
      <c r="A320" s="2" t="str">
        <f t="shared" si="11"/>
        <v>13F</v>
      </c>
      <c r="B320" s="3" t="str">
        <f t="shared" si="12"/>
        <v>00;</v>
      </c>
      <c r="C320" s="170">
        <v>0</v>
      </c>
      <c r="D320" s="170"/>
      <c r="E320" s="4"/>
      <c r="F320" s="170">
        <v>31</v>
      </c>
      <c r="G320" s="170"/>
      <c r="H320" s="170"/>
      <c r="I320" s="21" t="s">
        <v>1158</v>
      </c>
    </row>
    <row r="321" spans="1:9" x14ac:dyDescent="0.25">
      <c r="A321" s="2" t="str">
        <f t="shared" si="11"/>
        <v>140</v>
      </c>
      <c r="B321" s="3" t="str">
        <f t="shared" si="12"/>
        <v>00;</v>
      </c>
      <c r="C321" s="170">
        <v>0</v>
      </c>
      <c r="D321" s="170" t="s">
        <v>1159</v>
      </c>
      <c r="E321" s="4"/>
      <c r="F321" s="170">
        <v>0</v>
      </c>
      <c r="G321" s="170"/>
      <c r="H321" s="170" t="s">
        <v>1154</v>
      </c>
      <c r="I321" s="21" t="s">
        <v>1155</v>
      </c>
    </row>
    <row r="322" spans="1:9" x14ac:dyDescent="0.25">
      <c r="A322" s="2" t="str">
        <f t="shared" si="11"/>
        <v>141</v>
      </c>
      <c r="B322" s="3" t="str">
        <f t="shared" si="12"/>
        <v>00;</v>
      </c>
      <c r="C322" s="170">
        <v>0</v>
      </c>
      <c r="D322" s="170"/>
      <c r="E322" s="4"/>
      <c r="F322" s="170">
        <v>1</v>
      </c>
      <c r="G322" s="170"/>
      <c r="H322" s="170"/>
      <c r="I322" s="26" t="s">
        <v>1156</v>
      </c>
    </row>
    <row r="323" spans="1:9" x14ac:dyDescent="0.25">
      <c r="A323" s="2" t="str">
        <f t="shared" si="11"/>
        <v>142</v>
      </c>
      <c r="B323" s="3" t="str">
        <f t="shared" si="12"/>
        <v>00;</v>
      </c>
      <c r="C323" s="170">
        <v>0</v>
      </c>
      <c r="D323" s="170"/>
      <c r="E323" s="4"/>
      <c r="F323" s="170">
        <v>2</v>
      </c>
      <c r="G323" s="170"/>
      <c r="H323" s="170"/>
      <c r="I323" s="21" t="s">
        <v>1157</v>
      </c>
    </row>
    <row r="324" spans="1:9" x14ac:dyDescent="0.25">
      <c r="A324" s="2" t="str">
        <f t="shared" si="11"/>
        <v>143</v>
      </c>
      <c r="B324" s="3" t="str">
        <f t="shared" si="12"/>
        <v>00;</v>
      </c>
      <c r="C324" s="170">
        <v>0</v>
      </c>
      <c r="D324" s="170"/>
      <c r="E324" s="4"/>
      <c r="F324" s="170">
        <v>3</v>
      </c>
      <c r="G324" s="170"/>
      <c r="H324" s="170"/>
      <c r="I324" s="170"/>
    </row>
    <row r="325" spans="1:9" x14ac:dyDescent="0.25">
      <c r="A325" s="2" t="str">
        <f t="shared" si="11"/>
        <v>144</v>
      </c>
      <c r="B325" s="3" t="str">
        <f t="shared" si="12"/>
        <v>00;</v>
      </c>
      <c r="C325" s="170">
        <v>0</v>
      </c>
      <c r="D325" s="170"/>
      <c r="E325" s="4"/>
      <c r="F325" s="170">
        <v>4</v>
      </c>
      <c r="G325" s="170"/>
      <c r="H325" s="170"/>
      <c r="I325" s="170"/>
    </row>
    <row r="326" spans="1:9" x14ac:dyDescent="0.25">
      <c r="A326" s="2" t="str">
        <f t="shared" si="11"/>
        <v>145</v>
      </c>
      <c r="B326" s="3" t="str">
        <f t="shared" si="12"/>
        <v>00;</v>
      </c>
      <c r="C326" s="170">
        <v>0</v>
      </c>
      <c r="D326" s="170"/>
      <c r="E326" s="4"/>
      <c r="F326" s="170">
        <v>5</v>
      </c>
      <c r="G326" s="170"/>
      <c r="H326" s="170"/>
      <c r="I326" s="170"/>
    </row>
    <row r="327" spans="1:9" x14ac:dyDescent="0.25">
      <c r="A327" s="2" t="str">
        <f t="shared" si="11"/>
        <v>146</v>
      </c>
      <c r="B327" s="3" t="str">
        <f t="shared" si="12"/>
        <v>00;</v>
      </c>
      <c r="C327" s="170">
        <v>0</v>
      </c>
      <c r="D327" s="170"/>
      <c r="E327" s="4"/>
      <c r="F327" s="170">
        <v>6</v>
      </c>
      <c r="G327" s="170"/>
      <c r="H327" s="170"/>
      <c r="I327" s="170"/>
    </row>
    <row r="328" spans="1:9" x14ac:dyDescent="0.25">
      <c r="A328" s="2" t="str">
        <f t="shared" ref="A328:A391" si="13">IF(ROW()-1&lt;16,CONCATENATE("0",DEC2HEX(ROW()-1)),DEC2HEX(ROW()-1))</f>
        <v>147</v>
      </c>
      <c r="B328" s="3" t="str">
        <f t="shared" si="12"/>
        <v>00;</v>
      </c>
      <c r="C328" s="170">
        <v>0</v>
      </c>
      <c r="D328" s="170"/>
      <c r="E328" s="4"/>
      <c r="F328" s="170">
        <v>7</v>
      </c>
      <c r="G328" s="170"/>
      <c r="H328" s="170"/>
      <c r="I328" s="170"/>
    </row>
    <row r="329" spans="1:9" x14ac:dyDescent="0.25">
      <c r="A329" s="2" t="str">
        <f t="shared" si="13"/>
        <v>148</v>
      </c>
      <c r="B329" s="3" t="str">
        <f t="shared" si="12"/>
        <v>00;</v>
      </c>
      <c r="C329" s="170">
        <v>0</v>
      </c>
      <c r="D329" s="170"/>
      <c r="E329" s="4"/>
      <c r="F329" s="170">
        <v>8</v>
      </c>
      <c r="G329" s="170"/>
      <c r="H329" s="170"/>
      <c r="I329" s="170"/>
    </row>
    <row r="330" spans="1:9" x14ac:dyDescent="0.25">
      <c r="A330" s="2" t="str">
        <f t="shared" si="13"/>
        <v>149</v>
      </c>
      <c r="B330" s="3" t="str">
        <f t="shared" si="12"/>
        <v>00;</v>
      </c>
      <c r="C330" s="170">
        <v>0</v>
      </c>
      <c r="D330" s="170"/>
      <c r="E330" s="4"/>
      <c r="F330" s="170">
        <v>9</v>
      </c>
      <c r="G330" s="170"/>
      <c r="H330" s="170"/>
      <c r="I330" s="170"/>
    </row>
    <row r="331" spans="1:9" x14ac:dyDescent="0.25">
      <c r="A331" s="2" t="str">
        <f t="shared" si="13"/>
        <v>14A</v>
      </c>
      <c r="B331" s="3" t="str">
        <f t="shared" si="12"/>
        <v>00;</v>
      </c>
      <c r="C331" s="170">
        <v>0</v>
      </c>
      <c r="D331" s="170"/>
      <c r="E331" s="4"/>
      <c r="F331" s="170">
        <v>10</v>
      </c>
      <c r="G331" s="170"/>
      <c r="H331" s="170"/>
      <c r="I331" s="170"/>
    </row>
    <row r="332" spans="1:9" x14ac:dyDescent="0.25">
      <c r="A332" s="2" t="str">
        <f t="shared" si="13"/>
        <v>14B</v>
      </c>
      <c r="B332" s="3" t="str">
        <f t="shared" si="12"/>
        <v>00;</v>
      </c>
      <c r="C332" s="170">
        <v>0</v>
      </c>
      <c r="D332" s="170"/>
      <c r="E332" s="4"/>
      <c r="F332" s="170">
        <v>11</v>
      </c>
      <c r="G332" s="170"/>
      <c r="H332" s="170"/>
      <c r="I332" s="170"/>
    </row>
    <row r="333" spans="1:9" x14ac:dyDescent="0.25">
      <c r="A333" s="2" t="str">
        <f t="shared" si="13"/>
        <v>14C</v>
      </c>
      <c r="B333" s="3" t="str">
        <f t="shared" ref="B333:B396" si="14">IF(C333&lt;16,CONCATENATE("0",DEC2HEX(C333),";"),CONCATENATE(DEC2HEX(C333),";"))</f>
        <v>00;</v>
      </c>
      <c r="C333" s="170">
        <v>0</v>
      </c>
      <c r="D333" s="170"/>
      <c r="E333" s="4"/>
      <c r="F333" s="170">
        <v>12</v>
      </c>
      <c r="G333" s="170"/>
      <c r="H333" s="170"/>
      <c r="I333" s="170"/>
    </row>
    <row r="334" spans="1:9" x14ac:dyDescent="0.25">
      <c r="A334" s="2" t="str">
        <f t="shared" si="13"/>
        <v>14D</v>
      </c>
      <c r="B334" s="3" t="str">
        <f t="shared" si="14"/>
        <v>00;</v>
      </c>
      <c r="C334" s="170">
        <v>0</v>
      </c>
      <c r="D334" s="170"/>
      <c r="E334" s="4"/>
      <c r="F334" s="170">
        <v>13</v>
      </c>
      <c r="G334" s="170"/>
      <c r="H334" s="170"/>
      <c r="I334" s="170"/>
    </row>
    <row r="335" spans="1:9" x14ac:dyDescent="0.25">
      <c r="A335" s="2" t="str">
        <f t="shared" si="13"/>
        <v>14E</v>
      </c>
      <c r="B335" s="3" t="str">
        <f t="shared" si="14"/>
        <v>00;</v>
      </c>
      <c r="C335" s="170">
        <v>0</v>
      </c>
      <c r="D335" s="170"/>
      <c r="E335" s="4"/>
      <c r="F335" s="170">
        <v>14</v>
      </c>
      <c r="G335" s="170"/>
      <c r="H335" s="170"/>
      <c r="I335" s="170"/>
    </row>
    <row r="336" spans="1:9" x14ac:dyDescent="0.25">
      <c r="A336" s="2" t="str">
        <f t="shared" si="13"/>
        <v>14F</v>
      </c>
      <c r="B336" s="3" t="str">
        <f t="shared" si="14"/>
        <v>00;</v>
      </c>
      <c r="C336" s="170">
        <v>0</v>
      </c>
      <c r="D336" s="170"/>
      <c r="E336" s="4"/>
      <c r="F336" s="170">
        <v>15</v>
      </c>
      <c r="G336" s="170"/>
      <c r="H336" s="170"/>
      <c r="I336" s="170"/>
    </row>
    <row r="337" spans="1:9" x14ac:dyDescent="0.25">
      <c r="A337" s="2" t="str">
        <f t="shared" si="13"/>
        <v>150</v>
      </c>
      <c r="B337" s="3" t="str">
        <f t="shared" si="14"/>
        <v>00;</v>
      </c>
      <c r="C337" s="170">
        <v>0</v>
      </c>
      <c r="D337" s="170"/>
      <c r="E337" s="4"/>
      <c r="F337" s="170">
        <v>16</v>
      </c>
      <c r="G337" s="170"/>
      <c r="H337" s="170"/>
      <c r="I337" s="170"/>
    </row>
    <row r="338" spans="1:9" x14ac:dyDescent="0.25">
      <c r="A338" s="2" t="str">
        <f t="shared" si="13"/>
        <v>151</v>
      </c>
      <c r="B338" s="3" t="str">
        <f t="shared" si="14"/>
        <v>00;</v>
      </c>
      <c r="C338" s="170">
        <v>0</v>
      </c>
      <c r="D338" s="170"/>
      <c r="E338" s="4"/>
      <c r="F338" s="170">
        <v>17</v>
      </c>
      <c r="G338" s="170"/>
      <c r="H338" s="170"/>
      <c r="I338" s="170"/>
    </row>
    <row r="339" spans="1:9" x14ac:dyDescent="0.25">
      <c r="A339" s="2" t="str">
        <f t="shared" si="13"/>
        <v>152</v>
      </c>
      <c r="B339" s="3" t="str">
        <f t="shared" si="14"/>
        <v>00;</v>
      </c>
      <c r="C339" s="170">
        <v>0</v>
      </c>
      <c r="D339" s="170"/>
      <c r="E339" s="4"/>
      <c r="F339" s="170">
        <v>18</v>
      </c>
      <c r="G339" s="170"/>
      <c r="H339" s="170"/>
      <c r="I339" s="170"/>
    </row>
    <row r="340" spans="1:9" x14ac:dyDescent="0.25">
      <c r="A340" s="2" t="str">
        <f t="shared" si="13"/>
        <v>153</v>
      </c>
      <c r="B340" s="3" t="str">
        <f t="shared" si="14"/>
        <v>00;</v>
      </c>
      <c r="C340" s="170">
        <v>0</v>
      </c>
      <c r="D340" s="170"/>
      <c r="E340" s="4"/>
      <c r="F340" s="170">
        <v>19</v>
      </c>
      <c r="G340" s="170"/>
      <c r="H340" s="170"/>
      <c r="I340" s="170"/>
    </row>
    <row r="341" spans="1:9" x14ac:dyDescent="0.25">
      <c r="A341" s="2" t="str">
        <f t="shared" si="13"/>
        <v>154</v>
      </c>
      <c r="B341" s="3" t="str">
        <f t="shared" si="14"/>
        <v>00;</v>
      </c>
      <c r="C341" s="170">
        <v>0</v>
      </c>
      <c r="D341" s="170"/>
      <c r="E341" s="4"/>
      <c r="F341" s="170">
        <v>20</v>
      </c>
      <c r="G341" s="170"/>
      <c r="H341" s="170"/>
      <c r="I341" s="170"/>
    </row>
    <row r="342" spans="1:9" x14ac:dyDescent="0.25">
      <c r="A342" s="2" t="str">
        <f t="shared" si="13"/>
        <v>155</v>
      </c>
      <c r="B342" s="3" t="str">
        <f t="shared" si="14"/>
        <v>00;</v>
      </c>
      <c r="C342" s="170">
        <v>0</v>
      </c>
      <c r="D342" s="170"/>
      <c r="E342" s="4"/>
      <c r="F342" s="170">
        <v>21</v>
      </c>
      <c r="G342" s="170"/>
      <c r="H342" s="170"/>
      <c r="I342" s="170"/>
    </row>
    <row r="343" spans="1:9" x14ac:dyDescent="0.25">
      <c r="A343" s="2" t="str">
        <f t="shared" si="13"/>
        <v>156</v>
      </c>
      <c r="B343" s="3" t="str">
        <f t="shared" si="14"/>
        <v>00;</v>
      </c>
      <c r="C343" s="170">
        <v>0</v>
      </c>
      <c r="D343" s="170"/>
      <c r="E343" s="4"/>
      <c r="F343" s="170">
        <v>22</v>
      </c>
      <c r="G343" s="170"/>
      <c r="H343" s="170"/>
      <c r="I343" s="170"/>
    </row>
    <row r="344" spans="1:9" x14ac:dyDescent="0.25">
      <c r="A344" s="2" t="str">
        <f t="shared" si="13"/>
        <v>157</v>
      </c>
      <c r="B344" s="3" t="str">
        <f t="shared" si="14"/>
        <v>00;</v>
      </c>
      <c r="C344" s="170">
        <v>0</v>
      </c>
      <c r="D344" s="170"/>
      <c r="E344" s="4"/>
      <c r="F344" s="170">
        <v>23</v>
      </c>
      <c r="G344" s="170"/>
      <c r="H344" s="170"/>
      <c r="I344" s="170"/>
    </row>
    <row r="345" spans="1:9" x14ac:dyDescent="0.25">
      <c r="A345" s="2" t="str">
        <f t="shared" si="13"/>
        <v>158</v>
      </c>
      <c r="B345" s="3" t="str">
        <f t="shared" si="14"/>
        <v>00;</v>
      </c>
      <c r="C345" s="170">
        <v>0</v>
      </c>
      <c r="D345" s="170"/>
      <c r="E345" s="4"/>
      <c r="F345" s="170">
        <v>24</v>
      </c>
      <c r="G345" s="170"/>
      <c r="H345" s="170"/>
      <c r="I345" s="170"/>
    </row>
    <row r="346" spans="1:9" x14ac:dyDescent="0.25">
      <c r="A346" s="2" t="str">
        <f t="shared" si="13"/>
        <v>159</v>
      </c>
      <c r="B346" s="3" t="str">
        <f t="shared" si="14"/>
        <v>00;</v>
      </c>
      <c r="C346" s="170">
        <v>0</v>
      </c>
      <c r="D346" s="170"/>
      <c r="E346" s="4"/>
      <c r="F346" s="170">
        <v>25</v>
      </c>
      <c r="G346" s="170"/>
      <c r="H346" s="170"/>
      <c r="I346" s="170"/>
    </row>
    <row r="347" spans="1:9" x14ac:dyDescent="0.25">
      <c r="A347" s="2" t="str">
        <f t="shared" si="13"/>
        <v>15A</v>
      </c>
      <c r="B347" s="3" t="str">
        <f t="shared" si="14"/>
        <v>00;</v>
      </c>
      <c r="C347" s="170">
        <v>0</v>
      </c>
      <c r="D347" s="170"/>
      <c r="E347" s="4"/>
      <c r="F347" s="170">
        <v>26</v>
      </c>
      <c r="G347" s="170"/>
      <c r="H347" s="170"/>
      <c r="I347" s="170"/>
    </row>
    <row r="348" spans="1:9" x14ac:dyDescent="0.25">
      <c r="A348" s="2" t="str">
        <f t="shared" si="13"/>
        <v>15B</v>
      </c>
      <c r="B348" s="3" t="str">
        <f t="shared" si="14"/>
        <v>00;</v>
      </c>
      <c r="C348" s="170">
        <v>0</v>
      </c>
      <c r="D348" s="170"/>
      <c r="E348" s="4"/>
      <c r="F348" s="170">
        <v>27</v>
      </c>
      <c r="G348" s="170"/>
      <c r="H348" s="170"/>
      <c r="I348" s="170"/>
    </row>
    <row r="349" spans="1:9" x14ac:dyDescent="0.25">
      <c r="A349" s="2" t="str">
        <f t="shared" si="13"/>
        <v>15C</v>
      </c>
      <c r="B349" s="3" t="str">
        <f t="shared" si="14"/>
        <v>00;</v>
      </c>
      <c r="C349" s="170">
        <v>0</v>
      </c>
      <c r="D349" s="170"/>
      <c r="E349" s="4"/>
      <c r="F349" s="170">
        <v>28</v>
      </c>
      <c r="G349" s="170"/>
      <c r="H349" s="170"/>
      <c r="I349" s="170"/>
    </row>
    <row r="350" spans="1:9" x14ac:dyDescent="0.25">
      <c r="A350" s="2" t="str">
        <f t="shared" si="13"/>
        <v>15D</v>
      </c>
      <c r="B350" s="3" t="str">
        <f t="shared" si="14"/>
        <v>00;</v>
      </c>
      <c r="C350" s="170">
        <v>0</v>
      </c>
      <c r="D350" s="170"/>
      <c r="E350" s="4"/>
      <c r="F350" s="170">
        <v>29</v>
      </c>
      <c r="G350" s="170"/>
      <c r="H350" s="170"/>
      <c r="I350" s="170"/>
    </row>
    <row r="351" spans="1:9" x14ac:dyDescent="0.25">
      <c r="A351" s="2" t="str">
        <f t="shared" si="13"/>
        <v>15E</v>
      </c>
      <c r="B351" s="3" t="str">
        <f t="shared" si="14"/>
        <v>00;</v>
      </c>
      <c r="C351" s="170">
        <v>0</v>
      </c>
      <c r="D351" s="170"/>
      <c r="E351" s="4"/>
      <c r="F351" s="170">
        <v>30</v>
      </c>
      <c r="G351" s="170"/>
      <c r="H351" s="170"/>
      <c r="I351" s="170"/>
    </row>
    <row r="352" spans="1:9" x14ac:dyDescent="0.25">
      <c r="A352" s="2" t="str">
        <f t="shared" si="13"/>
        <v>15F</v>
      </c>
      <c r="B352" s="3" t="str">
        <f t="shared" si="14"/>
        <v>00;</v>
      </c>
      <c r="C352" s="170">
        <v>0</v>
      </c>
      <c r="D352" s="170"/>
      <c r="E352" s="4"/>
      <c r="F352" s="170">
        <v>31</v>
      </c>
      <c r="G352" s="170"/>
      <c r="H352" s="170"/>
      <c r="I352" s="21" t="s">
        <v>1158</v>
      </c>
    </row>
    <row r="353" spans="1:9" x14ac:dyDescent="0.25">
      <c r="A353" s="2" t="str">
        <f t="shared" si="13"/>
        <v>160</v>
      </c>
      <c r="B353" s="3" t="str">
        <f t="shared" si="14"/>
        <v>00;</v>
      </c>
      <c r="C353" s="170">
        <v>0</v>
      </c>
      <c r="D353" s="170" t="s">
        <v>1160</v>
      </c>
      <c r="E353" s="4"/>
      <c r="F353" s="170">
        <v>0</v>
      </c>
      <c r="G353" s="170"/>
      <c r="H353" s="170" t="s">
        <v>1154</v>
      </c>
      <c r="I353" s="21" t="s">
        <v>1155</v>
      </c>
    </row>
    <row r="354" spans="1:9" x14ac:dyDescent="0.25">
      <c r="A354" s="2" t="str">
        <f t="shared" si="13"/>
        <v>161</v>
      </c>
      <c r="B354" s="3" t="str">
        <f t="shared" si="14"/>
        <v>00;</v>
      </c>
      <c r="C354" s="170">
        <v>0</v>
      </c>
      <c r="D354" s="170"/>
      <c r="E354" s="4"/>
      <c r="F354" s="170">
        <v>1</v>
      </c>
      <c r="G354" s="170"/>
      <c r="H354" s="170"/>
      <c r="I354" s="26" t="s">
        <v>1156</v>
      </c>
    </row>
    <row r="355" spans="1:9" x14ac:dyDescent="0.25">
      <c r="A355" s="2" t="str">
        <f t="shared" si="13"/>
        <v>162</v>
      </c>
      <c r="B355" s="3" t="str">
        <f t="shared" si="14"/>
        <v>00;</v>
      </c>
      <c r="C355" s="170">
        <v>0</v>
      </c>
      <c r="D355" s="170"/>
      <c r="E355" s="4"/>
      <c r="F355" s="170">
        <v>2</v>
      </c>
      <c r="G355" s="170"/>
      <c r="H355" s="170"/>
      <c r="I355" s="21" t="s">
        <v>1157</v>
      </c>
    </row>
    <row r="356" spans="1:9" x14ac:dyDescent="0.25">
      <c r="A356" s="2" t="str">
        <f t="shared" si="13"/>
        <v>163</v>
      </c>
      <c r="B356" s="3" t="str">
        <f t="shared" si="14"/>
        <v>00;</v>
      </c>
      <c r="C356" s="170">
        <v>0</v>
      </c>
      <c r="D356" s="170"/>
      <c r="E356" s="4"/>
      <c r="F356" s="170">
        <v>3</v>
      </c>
      <c r="G356" s="170"/>
      <c r="H356" s="170"/>
      <c r="I356" s="170"/>
    </row>
    <row r="357" spans="1:9" x14ac:dyDescent="0.25">
      <c r="A357" s="2" t="str">
        <f t="shared" si="13"/>
        <v>164</v>
      </c>
      <c r="B357" s="3" t="str">
        <f t="shared" si="14"/>
        <v>00;</v>
      </c>
      <c r="C357" s="170">
        <v>0</v>
      </c>
      <c r="D357" s="170"/>
      <c r="E357" s="4"/>
      <c r="F357" s="170">
        <v>4</v>
      </c>
      <c r="G357" s="170"/>
      <c r="H357" s="170"/>
      <c r="I357" s="170"/>
    </row>
    <row r="358" spans="1:9" x14ac:dyDescent="0.25">
      <c r="A358" s="2" t="str">
        <f t="shared" si="13"/>
        <v>165</v>
      </c>
      <c r="B358" s="3" t="str">
        <f t="shared" si="14"/>
        <v>00;</v>
      </c>
      <c r="C358" s="170">
        <v>0</v>
      </c>
      <c r="D358" s="170"/>
      <c r="E358" s="4"/>
      <c r="F358" s="170">
        <v>5</v>
      </c>
      <c r="G358" s="170"/>
      <c r="H358" s="170"/>
      <c r="I358" s="170"/>
    </row>
    <row r="359" spans="1:9" x14ac:dyDescent="0.25">
      <c r="A359" s="2" t="str">
        <f t="shared" si="13"/>
        <v>166</v>
      </c>
      <c r="B359" s="3" t="str">
        <f t="shared" si="14"/>
        <v>00;</v>
      </c>
      <c r="C359" s="170">
        <v>0</v>
      </c>
      <c r="D359" s="170"/>
      <c r="E359" s="4"/>
      <c r="F359" s="170">
        <v>6</v>
      </c>
      <c r="G359" s="170"/>
      <c r="H359" s="170"/>
      <c r="I359" s="170"/>
    </row>
    <row r="360" spans="1:9" x14ac:dyDescent="0.25">
      <c r="A360" s="2" t="str">
        <f t="shared" si="13"/>
        <v>167</v>
      </c>
      <c r="B360" s="3" t="str">
        <f t="shared" si="14"/>
        <v>00;</v>
      </c>
      <c r="C360" s="170">
        <v>0</v>
      </c>
      <c r="D360" s="170"/>
      <c r="E360" s="4"/>
      <c r="F360" s="170">
        <v>7</v>
      </c>
      <c r="G360" s="170"/>
      <c r="H360" s="170"/>
      <c r="I360" s="170"/>
    </row>
    <row r="361" spans="1:9" x14ac:dyDescent="0.25">
      <c r="A361" s="2" t="str">
        <f t="shared" si="13"/>
        <v>168</v>
      </c>
      <c r="B361" s="3" t="str">
        <f t="shared" si="14"/>
        <v>00;</v>
      </c>
      <c r="C361" s="170">
        <v>0</v>
      </c>
      <c r="D361" s="170"/>
      <c r="E361" s="4"/>
      <c r="F361" s="170">
        <v>8</v>
      </c>
      <c r="G361" s="170"/>
      <c r="H361" s="170"/>
      <c r="I361" s="170"/>
    </row>
    <row r="362" spans="1:9" x14ac:dyDescent="0.25">
      <c r="A362" s="2" t="str">
        <f t="shared" si="13"/>
        <v>169</v>
      </c>
      <c r="B362" s="3" t="str">
        <f t="shared" si="14"/>
        <v>00;</v>
      </c>
      <c r="C362" s="170">
        <v>0</v>
      </c>
      <c r="D362" s="170"/>
      <c r="E362" s="4"/>
      <c r="F362" s="170">
        <v>9</v>
      </c>
      <c r="G362" s="170"/>
      <c r="H362" s="170"/>
      <c r="I362" s="170"/>
    </row>
    <row r="363" spans="1:9" x14ac:dyDescent="0.25">
      <c r="A363" s="2" t="str">
        <f t="shared" si="13"/>
        <v>16A</v>
      </c>
      <c r="B363" s="3" t="str">
        <f t="shared" si="14"/>
        <v>00;</v>
      </c>
      <c r="C363" s="170">
        <v>0</v>
      </c>
      <c r="D363" s="170"/>
      <c r="E363" s="4"/>
      <c r="F363" s="170">
        <v>10</v>
      </c>
      <c r="G363" s="170"/>
      <c r="H363" s="170"/>
      <c r="I363" s="170"/>
    </row>
    <row r="364" spans="1:9" x14ac:dyDescent="0.25">
      <c r="A364" s="2" t="str">
        <f t="shared" si="13"/>
        <v>16B</v>
      </c>
      <c r="B364" s="3" t="str">
        <f t="shared" si="14"/>
        <v>00;</v>
      </c>
      <c r="C364" s="170">
        <v>0</v>
      </c>
      <c r="D364" s="170"/>
      <c r="E364" s="4"/>
      <c r="F364" s="170">
        <v>11</v>
      </c>
      <c r="G364" s="170"/>
      <c r="H364" s="170"/>
      <c r="I364" s="170"/>
    </row>
    <row r="365" spans="1:9" x14ac:dyDescent="0.25">
      <c r="A365" s="2" t="str">
        <f t="shared" si="13"/>
        <v>16C</v>
      </c>
      <c r="B365" s="3" t="str">
        <f t="shared" si="14"/>
        <v>00;</v>
      </c>
      <c r="C365" s="170">
        <v>0</v>
      </c>
      <c r="D365" s="170"/>
      <c r="E365" s="4"/>
      <c r="F365" s="170">
        <v>12</v>
      </c>
      <c r="G365" s="170"/>
      <c r="H365" s="170"/>
      <c r="I365" s="170"/>
    </row>
    <row r="366" spans="1:9" x14ac:dyDescent="0.25">
      <c r="A366" s="2" t="str">
        <f t="shared" si="13"/>
        <v>16D</v>
      </c>
      <c r="B366" s="3" t="str">
        <f t="shared" si="14"/>
        <v>00;</v>
      </c>
      <c r="C366" s="170">
        <v>0</v>
      </c>
      <c r="D366" s="170"/>
      <c r="E366" s="4"/>
      <c r="F366" s="170">
        <v>13</v>
      </c>
      <c r="G366" s="170"/>
      <c r="H366" s="170"/>
      <c r="I366" s="170"/>
    </row>
    <row r="367" spans="1:9" x14ac:dyDescent="0.25">
      <c r="A367" s="2" t="str">
        <f t="shared" si="13"/>
        <v>16E</v>
      </c>
      <c r="B367" s="3" t="str">
        <f t="shared" si="14"/>
        <v>00;</v>
      </c>
      <c r="C367" s="170">
        <v>0</v>
      </c>
      <c r="D367" s="170"/>
      <c r="E367" s="4"/>
      <c r="F367" s="170">
        <v>14</v>
      </c>
      <c r="G367" s="170"/>
      <c r="H367" s="170"/>
      <c r="I367" s="170"/>
    </row>
    <row r="368" spans="1:9" x14ac:dyDescent="0.25">
      <c r="A368" s="2" t="str">
        <f t="shared" si="13"/>
        <v>16F</v>
      </c>
      <c r="B368" s="3" t="str">
        <f t="shared" si="14"/>
        <v>00;</v>
      </c>
      <c r="C368" s="170">
        <v>0</v>
      </c>
      <c r="D368" s="170"/>
      <c r="E368" s="4"/>
      <c r="F368" s="170">
        <v>15</v>
      </c>
      <c r="G368" s="170"/>
      <c r="H368" s="170"/>
      <c r="I368" s="170"/>
    </row>
    <row r="369" spans="1:9" x14ac:dyDescent="0.25">
      <c r="A369" s="2" t="str">
        <f t="shared" si="13"/>
        <v>170</v>
      </c>
      <c r="B369" s="3" t="str">
        <f t="shared" si="14"/>
        <v>00;</v>
      </c>
      <c r="C369" s="170">
        <v>0</v>
      </c>
      <c r="D369" s="170"/>
      <c r="E369" s="4"/>
      <c r="F369" s="170">
        <v>16</v>
      </c>
      <c r="G369" s="170"/>
      <c r="H369" s="170"/>
      <c r="I369" s="170"/>
    </row>
    <row r="370" spans="1:9" x14ac:dyDescent="0.25">
      <c r="A370" s="2" t="str">
        <f t="shared" si="13"/>
        <v>171</v>
      </c>
      <c r="B370" s="3" t="str">
        <f t="shared" si="14"/>
        <v>00;</v>
      </c>
      <c r="C370" s="170">
        <v>0</v>
      </c>
      <c r="D370" s="170"/>
      <c r="E370" s="4"/>
      <c r="F370" s="170">
        <v>17</v>
      </c>
      <c r="G370" s="170"/>
      <c r="H370" s="170"/>
      <c r="I370" s="170"/>
    </row>
    <row r="371" spans="1:9" x14ac:dyDescent="0.25">
      <c r="A371" s="2" t="str">
        <f t="shared" si="13"/>
        <v>172</v>
      </c>
      <c r="B371" s="3" t="str">
        <f t="shared" si="14"/>
        <v>00;</v>
      </c>
      <c r="C371" s="170">
        <v>0</v>
      </c>
      <c r="D371" s="170"/>
      <c r="E371" s="4"/>
      <c r="F371" s="170">
        <v>18</v>
      </c>
      <c r="G371" s="170"/>
      <c r="H371" s="170"/>
      <c r="I371" s="170"/>
    </row>
    <row r="372" spans="1:9" x14ac:dyDescent="0.25">
      <c r="A372" s="2" t="str">
        <f t="shared" si="13"/>
        <v>173</v>
      </c>
      <c r="B372" s="3" t="str">
        <f t="shared" si="14"/>
        <v>00;</v>
      </c>
      <c r="C372" s="170">
        <v>0</v>
      </c>
      <c r="D372" s="170"/>
      <c r="E372" s="4"/>
      <c r="F372" s="170">
        <v>19</v>
      </c>
      <c r="G372" s="170"/>
      <c r="H372" s="170"/>
      <c r="I372" s="170"/>
    </row>
    <row r="373" spans="1:9" x14ac:dyDescent="0.25">
      <c r="A373" s="2" t="str">
        <f t="shared" si="13"/>
        <v>174</v>
      </c>
      <c r="B373" s="3" t="str">
        <f t="shared" si="14"/>
        <v>00;</v>
      </c>
      <c r="C373" s="170">
        <v>0</v>
      </c>
      <c r="D373" s="170"/>
      <c r="E373" s="4"/>
      <c r="F373" s="170">
        <v>20</v>
      </c>
      <c r="G373" s="170"/>
      <c r="H373" s="170"/>
      <c r="I373" s="170"/>
    </row>
    <row r="374" spans="1:9" x14ac:dyDescent="0.25">
      <c r="A374" s="2" t="str">
        <f t="shared" si="13"/>
        <v>175</v>
      </c>
      <c r="B374" s="3" t="str">
        <f t="shared" si="14"/>
        <v>00;</v>
      </c>
      <c r="C374" s="170">
        <v>0</v>
      </c>
      <c r="D374" s="170"/>
      <c r="E374" s="4"/>
      <c r="F374" s="170">
        <v>21</v>
      </c>
      <c r="G374" s="170"/>
      <c r="H374" s="170"/>
      <c r="I374" s="170"/>
    </row>
    <row r="375" spans="1:9" x14ac:dyDescent="0.25">
      <c r="A375" s="2" t="str">
        <f t="shared" si="13"/>
        <v>176</v>
      </c>
      <c r="B375" s="3" t="str">
        <f t="shared" si="14"/>
        <v>00;</v>
      </c>
      <c r="C375" s="170">
        <v>0</v>
      </c>
      <c r="D375" s="170"/>
      <c r="E375" s="4"/>
      <c r="F375" s="170">
        <v>22</v>
      </c>
      <c r="G375" s="170"/>
      <c r="H375" s="170"/>
      <c r="I375" s="170"/>
    </row>
    <row r="376" spans="1:9" x14ac:dyDescent="0.25">
      <c r="A376" s="2" t="str">
        <f t="shared" si="13"/>
        <v>177</v>
      </c>
      <c r="B376" s="3" t="str">
        <f t="shared" si="14"/>
        <v>00;</v>
      </c>
      <c r="C376" s="170">
        <v>0</v>
      </c>
      <c r="D376" s="170"/>
      <c r="E376" s="4"/>
      <c r="F376" s="170">
        <v>23</v>
      </c>
      <c r="G376" s="170"/>
      <c r="H376" s="170"/>
      <c r="I376" s="170"/>
    </row>
    <row r="377" spans="1:9" x14ac:dyDescent="0.25">
      <c r="A377" s="2" t="str">
        <f t="shared" si="13"/>
        <v>178</v>
      </c>
      <c r="B377" s="3" t="str">
        <f t="shared" si="14"/>
        <v>00;</v>
      </c>
      <c r="C377" s="170">
        <v>0</v>
      </c>
      <c r="D377" s="170"/>
      <c r="E377" s="4"/>
      <c r="F377" s="170">
        <v>24</v>
      </c>
      <c r="G377" s="170"/>
      <c r="H377" s="170"/>
      <c r="I377" s="170"/>
    </row>
    <row r="378" spans="1:9" x14ac:dyDescent="0.25">
      <c r="A378" s="2" t="str">
        <f t="shared" si="13"/>
        <v>179</v>
      </c>
      <c r="B378" s="3" t="str">
        <f t="shared" si="14"/>
        <v>00;</v>
      </c>
      <c r="C378" s="170">
        <v>0</v>
      </c>
      <c r="D378" s="170"/>
      <c r="E378" s="4"/>
      <c r="F378" s="170">
        <v>25</v>
      </c>
      <c r="G378" s="170"/>
      <c r="H378" s="170"/>
      <c r="I378" s="170"/>
    </row>
    <row r="379" spans="1:9" x14ac:dyDescent="0.25">
      <c r="A379" s="2" t="str">
        <f t="shared" si="13"/>
        <v>17A</v>
      </c>
      <c r="B379" s="3" t="str">
        <f t="shared" si="14"/>
        <v>00;</v>
      </c>
      <c r="C379" s="170">
        <v>0</v>
      </c>
      <c r="D379" s="170"/>
      <c r="E379" s="4"/>
      <c r="F379" s="170">
        <v>26</v>
      </c>
      <c r="G379" s="170"/>
      <c r="H379" s="170"/>
      <c r="I379" s="170"/>
    </row>
    <row r="380" spans="1:9" x14ac:dyDescent="0.25">
      <c r="A380" s="2" t="str">
        <f t="shared" si="13"/>
        <v>17B</v>
      </c>
      <c r="B380" s="3" t="str">
        <f t="shared" si="14"/>
        <v>00;</v>
      </c>
      <c r="C380" s="170">
        <v>0</v>
      </c>
      <c r="D380" s="170"/>
      <c r="E380" s="4"/>
      <c r="F380" s="170">
        <v>27</v>
      </c>
      <c r="G380" s="170"/>
      <c r="H380" s="170"/>
      <c r="I380" s="170"/>
    </row>
    <row r="381" spans="1:9" x14ac:dyDescent="0.25">
      <c r="A381" s="2" t="str">
        <f t="shared" si="13"/>
        <v>17C</v>
      </c>
      <c r="B381" s="3" t="str">
        <f t="shared" si="14"/>
        <v>00;</v>
      </c>
      <c r="C381" s="170">
        <v>0</v>
      </c>
      <c r="D381" s="170"/>
      <c r="E381" s="4"/>
      <c r="F381" s="170">
        <v>28</v>
      </c>
      <c r="G381" s="170"/>
      <c r="H381" s="170"/>
      <c r="I381" s="170"/>
    </row>
    <row r="382" spans="1:9" x14ac:dyDescent="0.25">
      <c r="A382" s="2" t="str">
        <f t="shared" si="13"/>
        <v>17D</v>
      </c>
      <c r="B382" s="3" t="str">
        <f t="shared" si="14"/>
        <v>00;</v>
      </c>
      <c r="C382" s="170">
        <v>0</v>
      </c>
      <c r="D382" s="170"/>
      <c r="E382" s="4"/>
      <c r="F382" s="170">
        <v>29</v>
      </c>
      <c r="G382" s="170"/>
      <c r="H382" s="170"/>
      <c r="I382" s="170"/>
    </row>
    <row r="383" spans="1:9" x14ac:dyDescent="0.25">
      <c r="A383" s="2" t="str">
        <f t="shared" si="13"/>
        <v>17E</v>
      </c>
      <c r="B383" s="3" t="str">
        <f t="shared" si="14"/>
        <v>00;</v>
      </c>
      <c r="C383" s="170">
        <v>0</v>
      </c>
      <c r="D383" s="170"/>
      <c r="E383" s="4"/>
      <c r="F383" s="170">
        <v>30</v>
      </c>
      <c r="G383" s="170"/>
      <c r="H383" s="170"/>
      <c r="I383" s="170"/>
    </row>
    <row r="384" spans="1:9" x14ac:dyDescent="0.25">
      <c r="A384" s="2" t="str">
        <f t="shared" si="13"/>
        <v>17F</v>
      </c>
      <c r="B384" s="3" t="str">
        <f t="shared" si="14"/>
        <v>00;</v>
      </c>
      <c r="C384" s="170">
        <v>0</v>
      </c>
      <c r="D384" s="170"/>
      <c r="E384" s="4"/>
      <c r="F384" s="170">
        <v>31</v>
      </c>
      <c r="G384" s="170"/>
      <c r="H384" s="170"/>
      <c r="I384" s="21" t="s">
        <v>1158</v>
      </c>
    </row>
    <row r="385" spans="1:9" x14ac:dyDescent="0.25">
      <c r="A385" s="2" t="str">
        <f t="shared" si="13"/>
        <v>180</v>
      </c>
      <c r="B385" s="3" t="str">
        <f t="shared" si="14"/>
        <v>00;</v>
      </c>
      <c r="C385" s="170">
        <v>0</v>
      </c>
      <c r="D385" s="170" t="s">
        <v>1161</v>
      </c>
      <c r="E385" s="4"/>
      <c r="F385" s="170">
        <v>0</v>
      </c>
      <c r="G385" s="170"/>
      <c r="H385" s="170" t="s">
        <v>1154</v>
      </c>
      <c r="I385" s="21" t="s">
        <v>1155</v>
      </c>
    </row>
    <row r="386" spans="1:9" x14ac:dyDescent="0.25">
      <c r="A386" s="2" t="str">
        <f t="shared" si="13"/>
        <v>181</v>
      </c>
      <c r="B386" s="3" t="str">
        <f t="shared" si="14"/>
        <v>00;</v>
      </c>
      <c r="C386" s="170">
        <v>0</v>
      </c>
      <c r="D386" s="170"/>
      <c r="E386" s="4"/>
      <c r="F386" s="170">
        <v>1</v>
      </c>
      <c r="G386" s="170"/>
      <c r="H386" s="170"/>
      <c r="I386" s="26" t="s">
        <v>1156</v>
      </c>
    </row>
    <row r="387" spans="1:9" x14ac:dyDescent="0.25">
      <c r="A387" s="2" t="str">
        <f t="shared" si="13"/>
        <v>182</v>
      </c>
      <c r="B387" s="3" t="str">
        <f t="shared" si="14"/>
        <v>00;</v>
      </c>
      <c r="C387" s="170">
        <v>0</v>
      </c>
      <c r="D387" s="170"/>
      <c r="E387" s="4"/>
      <c r="F387" s="170">
        <v>2</v>
      </c>
      <c r="G387" s="170"/>
      <c r="H387" s="170"/>
      <c r="I387" s="21" t="s">
        <v>1157</v>
      </c>
    </row>
    <row r="388" spans="1:9" x14ac:dyDescent="0.25">
      <c r="A388" s="2" t="str">
        <f t="shared" si="13"/>
        <v>183</v>
      </c>
      <c r="B388" s="3" t="str">
        <f t="shared" si="14"/>
        <v>00;</v>
      </c>
      <c r="C388" s="170">
        <v>0</v>
      </c>
      <c r="D388" s="170"/>
      <c r="E388" s="4"/>
      <c r="F388" s="170">
        <v>3</v>
      </c>
      <c r="G388" s="170"/>
      <c r="H388" s="170"/>
      <c r="I388" s="170"/>
    </row>
    <row r="389" spans="1:9" x14ac:dyDescent="0.25">
      <c r="A389" s="2" t="str">
        <f t="shared" si="13"/>
        <v>184</v>
      </c>
      <c r="B389" s="3" t="str">
        <f t="shared" si="14"/>
        <v>00;</v>
      </c>
      <c r="C389" s="170">
        <v>0</v>
      </c>
      <c r="D389" s="170"/>
      <c r="E389" s="4"/>
      <c r="F389" s="170">
        <v>4</v>
      </c>
      <c r="G389" s="170"/>
      <c r="H389" s="170"/>
      <c r="I389" s="170"/>
    </row>
    <row r="390" spans="1:9" x14ac:dyDescent="0.25">
      <c r="A390" s="2" t="str">
        <f t="shared" si="13"/>
        <v>185</v>
      </c>
      <c r="B390" s="3" t="str">
        <f t="shared" si="14"/>
        <v>00;</v>
      </c>
      <c r="C390" s="170">
        <v>0</v>
      </c>
      <c r="D390" s="170"/>
      <c r="E390" s="4"/>
      <c r="F390" s="170">
        <v>5</v>
      </c>
      <c r="G390" s="170"/>
      <c r="H390" s="170"/>
      <c r="I390" s="170"/>
    </row>
    <row r="391" spans="1:9" x14ac:dyDescent="0.25">
      <c r="A391" s="2" t="str">
        <f t="shared" si="13"/>
        <v>186</v>
      </c>
      <c r="B391" s="3" t="str">
        <f t="shared" si="14"/>
        <v>00;</v>
      </c>
      <c r="C391" s="170">
        <v>0</v>
      </c>
      <c r="D391" s="170"/>
      <c r="E391" s="4"/>
      <c r="F391" s="170">
        <v>6</v>
      </c>
      <c r="G391" s="170"/>
      <c r="H391" s="170"/>
      <c r="I391" s="170"/>
    </row>
    <row r="392" spans="1:9" x14ac:dyDescent="0.25">
      <c r="A392" s="2" t="str">
        <f t="shared" ref="A392:A455" si="15">IF(ROW()-1&lt;16,CONCATENATE("0",DEC2HEX(ROW()-1)),DEC2HEX(ROW()-1))</f>
        <v>187</v>
      </c>
      <c r="B392" s="3" t="str">
        <f t="shared" si="14"/>
        <v>00;</v>
      </c>
      <c r="C392" s="170">
        <v>0</v>
      </c>
      <c r="D392" s="170"/>
      <c r="E392" s="4"/>
      <c r="F392" s="170">
        <v>7</v>
      </c>
      <c r="G392" s="170"/>
      <c r="H392" s="170"/>
      <c r="I392" s="170"/>
    </row>
    <row r="393" spans="1:9" x14ac:dyDescent="0.25">
      <c r="A393" s="2" t="str">
        <f t="shared" si="15"/>
        <v>188</v>
      </c>
      <c r="B393" s="3" t="str">
        <f t="shared" si="14"/>
        <v>00;</v>
      </c>
      <c r="C393" s="170">
        <v>0</v>
      </c>
      <c r="D393" s="170"/>
      <c r="E393" s="4"/>
      <c r="F393" s="170">
        <v>8</v>
      </c>
      <c r="G393" s="170"/>
      <c r="H393" s="170"/>
      <c r="I393" s="170"/>
    </row>
    <row r="394" spans="1:9" x14ac:dyDescent="0.25">
      <c r="A394" s="2" t="str">
        <f t="shared" si="15"/>
        <v>189</v>
      </c>
      <c r="B394" s="3" t="str">
        <f t="shared" si="14"/>
        <v>00;</v>
      </c>
      <c r="C394" s="170">
        <v>0</v>
      </c>
      <c r="D394" s="170"/>
      <c r="E394" s="4"/>
      <c r="F394" s="170">
        <v>9</v>
      </c>
      <c r="G394" s="170"/>
      <c r="H394" s="170"/>
      <c r="I394" s="170"/>
    </row>
    <row r="395" spans="1:9" x14ac:dyDescent="0.25">
      <c r="A395" s="2" t="str">
        <f t="shared" si="15"/>
        <v>18A</v>
      </c>
      <c r="B395" s="3" t="str">
        <f t="shared" si="14"/>
        <v>00;</v>
      </c>
      <c r="C395" s="170">
        <v>0</v>
      </c>
      <c r="D395" s="170"/>
      <c r="E395" s="4"/>
      <c r="F395" s="170">
        <v>10</v>
      </c>
      <c r="G395" s="170"/>
      <c r="H395" s="170"/>
      <c r="I395" s="170"/>
    </row>
    <row r="396" spans="1:9" x14ac:dyDescent="0.25">
      <c r="A396" s="2" t="str">
        <f t="shared" si="15"/>
        <v>18B</v>
      </c>
      <c r="B396" s="3" t="str">
        <f t="shared" si="14"/>
        <v>00;</v>
      </c>
      <c r="C396" s="170">
        <v>0</v>
      </c>
      <c r="D396" s="170"/>
      <c r="E396" s="4"/>
      <c r="F396" s="170">
        <v>11</v>
      </c>
      <c r="G396" s="170"/>
      <c r="H396" s="170"/>
      <c r="I396" s="170"/>
    </row>
    <row r="397" spans="1:9" x14ac:dyDescent="0.25">
      <c r="A397" s="2" t="str">
        <f t="shared" si="15"/>
        <v>18C</v>
      </c>
      <c r="B397" s="3" t="str">
        <f t="shared" ref="B397:B460" si="16">IF(C397&lt;16,CONCATENATE("0",DEC2HEX(C397),";"),CONCATENATE(DEC2HEX(C397),";"))</f>
        <v>00;</v>
      </c>
      <c r="C397" s="170">
        <v>0</v>
      </c>
      <c r="D397" s="170"/>
      <c r="E397" s="4"/>
      <c r="F397" s="170">
        <v>12</v>
      </c>
      <c r="G397" s="170"/>
      <c r="H397" s="170"/>
      <c r="I397" s="170"/>
    </row>
    <row r="398" spans="1:9" x14ac:dyDescent="0.25">
      <c r="A398" s="2" t="str">
        <f t="shared" si="15"/>
        <v>18D</v>
      </c>
      <c r="B398" s="3" t="str">
        <f t="shared" si="16"/>
        <v>00;</v>
      </c>
      <c r="C398" s="170">
        <v>0</v>
      </c>
      <c r="D398" s="170"/>
      <c r="E398" s="4"/>
      <c r="F398" s="170">
        <v>13</v>
      </c>
      <c r="G398" s="170"/>
      <c r="H398" s="170"/>
      <c r="I398" s="170"/>
    </row>
    <row r="399" spans="1:9" x14ac:dyDescent="0.25">
      <c r="A399" s="2" t="str">
        <f t="shared" si="15"/>
        <v>18E</v>
      </c>
      <c r="B399" s="3" t="str">
        <f t="shared" si="16"/>
        <v>00;</v>
      </c>
      <c r="C399" s="170">
        <v>0</v>
      </c>
      <c r="D399" s="170"/>
      <c r="E399" s="4"/>
      <c r="F399" s="170">
        <v>14</v>
      </c>
      <c r="G399" s="170"/>
      <c r="H399" s="170"/>
      <c r="I399" s="170"/>
    </row>
    <row r="400" spans="1:9" x14ac:dyDescent="0.25">
      <c r="A400" s="2" t="str">
        <f t="shared" si="15"/>
        <v>18F</v>
      </c>
      <c r="B400" s="3" t="str">
        <f t="shared" si="16"/>
        <v>00;</v>
      </c>
      <c r="C400" s="170">
        <v>0</v>
      </c>
      <c r="D400" s="170"/>
      <c r="E400" s="4"/>
      <c r="F400" s="170">
        <v>15</v>
      </c>
      <c r="G400" s="170"/>
      <c r="H400" s="170"/>
      <c r="I400" s="170"/>
    </row>
    <row r="401" spans="1:9" x14ac:dyDescent="0.25">
      <c r="A401" s="2" t="str">
        <f t="shared" si="15"/>
        <v>190</v>
      </c>
      <c r="B401" s="3" t="str">
        <f t="shared" si="16"/>
        <v>00;</v>
      </c>
      <c r="C401" s="170">
        <v>0</v>
      </c>
      <c r="D401" s="170"/>
      <c r="E401" s="4"/>
      <c r="F401" s="170">
        <v>16</v>
      </c>
      <c r="G401" s="170"/>
      <c r="H401" s="170"/>
      <c r="I401" s="170"/>
    </row>
    <row r="402" spans="1:9" x14ac:dyDescent="0.25">
      <c r="A402" s="2" t="str">
        <f t="shared" si="15"/>
        <v>191</v>
      </c>
      <c r="B402" s="3" t="str">
        <f t="shared" si="16"/>
        <v>00;</v>
      </c>
      <c r="C402" s="170">
        <v>0</v>
      </c>
      <c r="D402" s="170"/>
      <c r="E402" s="4"/>
      <c r="F402" s="170">
        <v>17</v>
      </c>
      <c r="G402" s="170"/>
      <c r="H402" s="170"/>
      <c r="I402" s="170"/>
    </row>
    <row r="403" spans="1:9" x14ac:dyDescent="0.25">
      <c r="A403" s="2" t="str">
        <f t="shared" si="15"/>
        <v>192</v>
      </c>
      <c r="B403" s="3" t="str">
        <f t="shared" si="16"/>
        <v>00;</v>
      </c>
      <c r="C403" s="170">
        <v>0</v>
      </c>
      <c r="D403" s="170"/>
      <c r="E403" s="4"/>
      <c r="F403" s="170">
        <v>18</v>
      </c>
      <c r="G403" s="170"/>
      <c r="H403" s="170"/>
      <c r="I403" s="170"/>
    </row>
    <row r="404" spans="1:9" x14ac:dyDescent="0.25">
      <c r="A404" s="2" t="str">
        <f t="shared" si="15"/>
        <v>193</v>
      </c>
      <c r="B404" s="3" t="str">
        <f t="shared" si="16"/>
        <v>00;</v>
      </c>
      <c r="C404" s="170">
        <v>0</v>
      </c>
      <c r="D404" s="170"/>
      <c r="E404" s="4"/>
      <c r="F404" s="170">
        <v>19</v>
      </c>
      <c r="G404" s="170"/>
      <c r="H404" s="170"/>
      <c r="I404" s="170"/>
    </row>
    <row r="405" spans="1:9" x14ac:dyDescent="0.25">
      <c r="A405" s="2" t="str">
        <f t="shared" si="15"/>
        <v>194</v>
      </c>
      <c r="B405" s="3" t="str">
        <f t="shared" si="16"/>
        <v>00;</v>
      </c>
      <c r="C405" s="170">
        <v>0</v>
      </c>
      <c r="D405" s="170"/>
      <c r="E405" s="4"/>
      <c r="F405" s="170">
        <v>20</v>
      </c>
      <c r="G405" s="170"/>
      <c r="H405" s="170"/>
      <c r="I405" s="170"/>
    </row>
    <row r="406" spans="1:9" x14ac:dyDescent="0.25">
      <c r="A406" s="2" t="str">
        <f t="shared" si="15"/>
        <v>195</v>
      </c>
      <c r="B406" s="3" t="str">
        <f t="shared" si="16"/>
        <v>00;</v>
      </c>
      <c r="C406" s="170">
        <v>0</v>
      </c>
      <c r="D406" s="170"/>
      <c r="E406" s="4"/>
      <c r="F406" s="170">
        <v>21</v>
      </c>
      <c r="G406" s="170"/>
      <c r="H406" s="170"/>
      <c r="I406" s="170"/>
    </row>
    <row r="407" spans="1:9" x14ac:dyDescent="0.25">
      <c r="A407" s="2" t="str">
        <f t="shared" si="15"/>
        <v>196</v>
      </c>
      <c r="B407" s="3" t="str">
        <f t="shared" si="16"/>
        <v>00;</v>
      </c>
      <c r="C407" s="170">
        <v>0</v>
      </c>
      <c r="D407" s="170"/>
      <c r="E407" s="4"/>
      <c r="F407" s="170">
        <v>22</v>
      </c>
      <c r="G407" s="170"/>
      <c r="H407" s="170"/>
      <c r="I407" s="170"/>
    </row>
    <row r="408" spans="1:9" x14ac:dyDescent="0.25">
      <c r="A408" s="2" t="str">
        <f t="shared" si="15"/>
        <v>197</v>
      </c>
      <c r="B408" s="3" t="str">
        <f t="shared" si="16"/>
        <v>00;</v>
      </c>
      <c r="C408" s="170">
        <v>0</v>
      </c>
      <c r="D408" s="170"/>
      <c r="E408" s="4"/>
      <c r="F408" s="170">
        <v>23</v>
      </c>
      <c r="G408" s="170"/>
      <c r="H408" s="170"/>
      <c r="I408" s="170"/>
    </row>
    <row r="409" spans="1:9" x14ac:dyDescent="0.25">
      <c r="A409" s="2" t="str">
        <f t="shared" si="15"/>
        <v>198</v>
      </c>
      <c r="B409" s="3" t="str">
        <f t="shared" si="16"/>
        <v>00;</v>
      </c>
      <c r="C409" s="170">
        <v>0</v>
      </c>
      <c r="D409" s="170"/>
      <c r="E409" s="4"/>
      <c r="F409" s="170">
        <v>24</v>
      </c>
      <c r="G409" s="170"/>
      <c r="H409" s="170"/>
      <c r="I409" s="170"/>
    </row>
    <row r="410" spans="1:9" x14ac:dyDescent="0.25">
      <c r="A410" s="2" t="str">
        <f t="shared" si="15"/>
        <v>199</v>
      </c>
      <c r="B410" s="3" t="str">
        <f t="shared" si="16"/>
        <v>00;</v>
      </c>
      <c r="C410" s="170">
        <v>0</v>
      </c>
      <c r="D410" s="170"/>
      <c r="E410" s="4"/>
      <c r="F410" s="170">
        <v>25</v>
      </c>
      <c r="G410" s="170"/>
      <c r="H410" s="170"/>
      <c r="I410" s="170"/>
    </row>
    <row r="411" spans="1:9" x14ac:dyDescent="0.25">
      <c r="A411" s="2" t="str">
        <f t="shared" si="15"/>
        <v>19A</v>
      </c>
      <c r="B411" s="3" t="str">
        <f t="shared" si="16"/>
        <v>00;</v>
      </c>
      <c r="C411" s="170">
        <v>0</v>
      </c>
      <c r="D411" s="170"/>
      <c r="E411" s="4"/>
      <c r="F411" s="170">
        <v>26</v>
      </c>
      <c r="G411" s="170"/>
      <c r="H411" s="170"/>
      <c r="I411" s="170"/>
    </row>
    <row r="412" spans="1:9" x14ac:dyDescent="0.25">
      <c r="A412" s="2" t="str">
        <f t="shared" si="15"/>
        <v>19B</v>
      </c>
      <c r="B412" s="3" t="str">
        <f t="shared" si="16"/>
        <v>00;</v>
      </c>
      <c r="C412" s="170">
        <v>0</v>
      </c>
      <c r="D412" s="170"/>
      <c r="E412" s="4"/>
      <c r="F412" s="170">
        <v>27</v>
      </c>
      <c r="G412" s="170"/>
      <c r="H412" s="170"/>
      <c r="I412" s="170"/>
    </row>
    <row r="413" spans="1:9" x14ac:dyDescent="0.25">
      <c r="A413" s="2" t="str">
        <f t="shared" si="15"/>
        <v>19C</v>
      </c>
      <c r="B413" s="3" t="str">
        <f t="shared" si="16"/>
        <v>00;</v>
      </c>
      <c r="C413" s="170">
        <v>0</v>
      </c>
      <c r="D413" s="170"/>
      <c r="E413" s="4"/>
      <c r="F413" s="170">
        <v>28</v>
      </c>
      <c r="G413" s="170"/>
      <c r="H413" s="170"/>
      <c r="I413" s="170"/>
    </row>
    <row r="414" spans="1:9" x14ac:dyDescent="0.25">
      <c r="A414" s="2" t="str">
        <f t="shared" si="15"/>
        <v>19D</v>
      </c>
      <c r="B414" s="3" t="str">
        <f t="shared" si="16"/>
        <v>00;</v>
      </c>
      <c r="C414" s="170">
        <v>0</v>
      </c>
      <c r="D414" s="170"/>
      <c r="E414" s="4"/>
      <c r="F414" s="170">
        <v>29</v>
      </c>
      <c r="G414" s="170"/>
      <c r="H414" s="170"/>
      <c r="I414" s="170"/>
    </row>
    <row r="415" spans="1:9" x14ac:dyDescent="0.25">
      <c r="A415" s="2" t="str">
        <f t="shared" si="15"/>
        <v>19E</v>
      </c>
      <c r="B415" s="3" t="str">
        <f t="shared" si="16"/>
        <v>00;</v>
      </c>
      <c r="C415" s="170">
        <v>0</v>
      </c>
      <c r="D415" s="170"/>
      <c r="E415" s="4"/>
      <c r="F415" s="170">
        <v>30</v>
      </c>
      <c r="G415" s="170"/>
      <c r="H415" s="170"/>
      <c r="I415" s="170"/>
    </row>
    <row r="416" spans="1:9" x14ac:dyDescent="0.25">
      <c r="A416" s="2" t="str">
        <f t="shared" si="15"/>
        <v>19F</v>
      </c>
      <c r="B416" s="3" t="str">
        <f t="shared" si="16"/>
        <v>00;</v>
      </c>
      <c r="C416" s="170">
        <v>0</v>
      </c>
      <c r="D416" s="170"/>
      <c r="E416" s="4"/>
      <c r="F416" s="170">
        <v>31</v>
      </c>
      <c r="G416" s="170"/>
      <c r="H416" s="170"/>
      <c r="I416" s="21" t="s">
        <v>1158</v>
      </c>
    </row>
    <row r="417" spans="1:9" x14ac:dyDescent="0.25">
      <c r="A417" s="2" t="str">
        <f t="shared" si="15"/>
        <v>1A0</v>
      </c>
      <c r="B417" s="3" t="str">
        <f t="shared" si="16"/>
        <v>00;</v>
      </c>
      <c r="C417" s="170">
        <v>0</v>
      </c>
      <c r="D417" s="170" t="s">
        <v>1162</v>
      </c>
      <c r="E417" s="4"/>
      <c r="F417" s="170">
        <v>0</v>
      </c>
      <c r="G417" s="170"/>
      <c r="H417" s="170" t="s">
        <v>1154</v>
      </c>
      <c r="I417" s="21" t="s">
        <v>1155</v>
      </c>
    </row>
    <row r="418" spans="1:9" x14ac:dyDescent="0.25">
      <c r="A418" s="2" t="str">
        <f t="shared" si="15"/>
        <v>1A1</v>
      </c>
      <c r="B418" s="3" t="str">
        <f t="shared" si="16"/>
        <v>00;</v>
      </c>
      <c r="C418" s="170">
        <v>0</v>
      </c>
      <c r="D418" s="170"/>
      <c r="E418" s="4"/>
      <c r="F418" s="170">
        <v>1</v>
      </c>
      <c r="G418" s="170"/>
      <c r="H418" s="170"/>
      <c r="I418" s="26" t="s">
        <v>1156</v>
      </c>
    </row>
    <row r="419" spans="1:9" x14ac:dyDescent="0.25">
      <c r="A419" s="2" t="str">
        <f t="shared" si="15"/>
        <v>1A2</v>
      </c>
      <c r="B419" s="3" t="str">
        <f t="shared" si="16"/>
        <v>00;</v>
      </c>
      <c r="C419" s="170">
        <v>0</v>
      </c>
      <c r="D419" s="170"/>
      <c r="E419" s="4"/>
      <c r="F419" s="170">
        <v>2</v>
      </c>
      <c r="G419" s="170"/>
      <c r="H419" s="170"/>
      <c r="I419" s="21" t="s">
        <v>1157</v>
      </c>
    </row>
    <row r="420" spans="1:9" x14ac:dyDescent="0.25">
      <c r="A420" s="2" t="str">
        <f t="shared" si="15"/>
        <v>1A3</v>
      </c>
      <c r="B420" s="3" t="str">
        <f t="shared" si="16"/>
        <v>00;</v>
      </c>
      <c r="C420" s="170">
        <v>0</v>
      </c>
      <c r="D420" s="170"/>
      <c r="E420" s="4"/>
      <c r="F420" s="170">
        <v>3</v>
      </c>
      <c r="G420" s="170"/>
      <c r="H420" s="170"/>
      <c r="I420" s="170"/>
    </row>
    <row r="421" spans="1:9" x14ac:dyDescent="0.25">
      <c r="A421" s="2" t="str">
        <f t="shared" si="15"/>
        <v>1A4</v>
      </c>
      <c r="B421" s="3" t="str">
        <f t="shared" si="16"/>
        <v>00;</v>
      </c>
      <c r="C421" s="170">
        <v>0</v>
      </c>
      <c r="D421" s="170"/>
      <c r="E421" s="4"/>
      <c r="F421" s="170">
        <v>4</v>
      </c>
      <c r="G421" s="170"/>
      <c r="H421" s="170"/>
      <c r="I421" s="170"/>
    </row>
    <row r="422" spans="1:9" x14ac:dyDescent="0.25">
      <c r="A422" s="2" t="str">
        <f t="shared" si="15"/>
        <v>1A5</v>
      </c>
      <c r="B422" s="3" t="str">
        <f t="shared" si="16"/>
        <v>00;</v>
      </c>
      <c r="C422" s="170">
        <v>0</v>
      </c>
      <c r="D422" s="170"/>
      <c r="E422" s="4"/>
      <c r="F422" s="170">
        <v>5</v>
      </c>
      <c r="G422" s="170"/>
      <c r="H422" s="170"/>
      <c r="I422" s="170"/>
    </row>
    <row r="423" spans="1:9" x14ac:dyDescent="0.25">
      <c r="A423" s="2" t="str">
        <f t="shared" si="15"/>
        <v>1A6</v>
      </c>
      <c r="B423" s="3" t="str">
        <f t="shared" si="16"/>
        <v>00;</v>
      </c>
      <c r="C423" s="170">
        <v>0</v>
      </c>
      <c r="D423" s="170"/>
      <c r="E423" s="4"/>
      <c r="F423" s="170">
        <v>6</v>
      </c>
      <c r="G423" s="170"/>
      <c r="H423" s="170"/>
      <c r="I423" s="170"/>
    </row>
    <row r="424" spans="1:9" x14ac:dyDescent="0.25">
      <c r="A424" s="2" t="str">
        <f t="shared" si="15"/>
        <v>1A7</v>
      </c>
      <c r="B424" s="3" t="str">
        <f t="shared" si="16"/>
        <v>00;</v>
      </c>
      <c r="C424" s="170">
        <v>0</v>
      </c>
      <c r="D424" s="170"/>
      <c r="E424" s="4"/>
      <c r="F424" s="170">
        <v>7</v>
      </c>
      <c r="G424" s="170"/>
      <c r="H424" s="170"/>
      <c r="I424" s="170"/>
    </row>
    <row r="425" spans="1:9" x14ac:dyDescent="0.25">
      <c r="A425" s="2" t="str">
        <f t="shared" si="15"/>
        <v>1A8</v>
      </c>
      <c r="B425" s="3" t="str">
        <f t="shared" si="16"/>
        <v>00;</v>
      </c>
      <c r="C425" s="170">
        <v>0</v>
      </c>
      <c r="D425" s="170"/>
      <c r="E425" s="4"/>
      <c r="F425" s="170">
        <v>8</v>
      </c>
      <c r="G425" s="170"/>
      <c r="H425" s="170"/>
      <c r="I425" s="170"/>
    </row>
    <row r="426" spans="1:9" x14ac:dyDescent="0.25">
      <c r="A426" s="2" t="str">
        <f t="shared" si="15"/>
        <v>1A9</v>
      </c>
      <c r="B426" s="3" t="str">
        <f t="shared" si="16"/>
        <v>00;</v>
      </c>
      <c r="C426" s="170">
        <v>0</v>
      </c>
      <c r="D426" s="170"/>
      <c r="E426" s="4"/>
      <c r="F426" s="170">
        <v>9</v>
      </c>
      <c r="G426" s="170"/>
      <c r="H426" s="170"/>
      <c r="I426" s="170"/>
    </row>
    <row r="427" spans="1:9" x14ac:dyDescent="0.25">
      <c r="A427" s="2" t="str">
        <f t="shared" si="15"/>
        <v>1AA</v>
      </c>
      <c r="B427" s="3" t="str">
        <f t="shared" si="16"/>
        <v>00;</v>
      </c>
      <c r="C427" s="170">
        <v>0</v>
      </c>
      <c r="D427" s="170"/>
      <c r="E427" s="4"/>
      <c r="F427" s="170">
        <v>10</v>
      </c>
      <c r="G427" s="170"/>
      <c r="H427" s="170"/>
      <c r="I427" s="170"/>
    </row>
    <row r="428" spans="1:9" x14ac:dyDescent="0.25">
      <c r="A428" s="2" t="str">
        <f t="shared" si="15"/>
        <v>1AB</v>
      </c>
      <c r="B428" s="3" t="str">
        <f t="shared" si="16"/>
        <v>00;</v>
      </c>
      <c r="C428" s="170">
        <v>0</v>
      </c>
      <c r="D428" s="170"/>
      <c r="E428" s="4"/>
      <c r="F428" s="170">
        <v>11</v>
      </c>
      <c r="G428" s="170"/>
      <c r="H428" s="170"/>
      <c r="I428" s="170"/>
    </row>
    <row r="429" spans="1:9" x14ac:dyDescent="0.25">
      <c r="A429" s="2" t="str">
        <f t="shared" si="15"/>
        <v>1AC</v>
      </c>
      <c r="B429" s="3" t="str">
        <f t="shared" si="16"/>
        <v>00;</v>
      </c>
      <c r="C429" s="170">
        <v>0</v>
      </c>
      <c r="D429" s="170"/>
      <c r="E429" s="4"/>
      <c r="F429" s="170">
        <v>12</v>
      </c>
      <c r="G429" s="170"/>
      <c r="H429" s="170"/>
      <c r="I429" s="170"/>
    </row>
    <row r="430" spans="1:9" x14ac:dyDescent="0.25">
      <c r="A430" s="2" t="str">
        <f t="shared" si="15"/>
        <v>1AD</v>
      </c>
      <c r="B430" s="3" t="str">
        <f t="shared" si="16"/>
        <v>00;</v>
      </c>
      <c r="C430" s="170">
        <v>0</v>
      </c>
      <c r="D430" s="170"/>
      <c r="E430" s="4"/>
      <c r="F430" s="170">
        <v>13</v>
      </c>
      <c r="G430" s="170"/>
      <c r="H430" s="170"/>
      <c r="I430" s="170"/>
    </row>
    <row r="431" spans="1:9" x14ac:dyDescent="0.25">
      <c r="A431" s="2" t="str">
        <f t="shared" si="15"/>
        <v>1AE</v>
      </c>
      <c r="B431" s="3" t="str">
        <f t="shared" si="16"/>
        <v>00;</v>
      </c>
      <c r="C431" s="170">
        <v>0</v>
      </c>
      <c r="D431" s="170"/>
      <c r="E431" s="4"/>
      <c r="F431" s="170">
        <v>14</v>
      </c>
      <c r="G431" s="170"/>
      <c r="H431" s="170"/>
      <c r="I431" s="170"/>
    </row>
    <row r="432" spans="1:9" x14ac:dyDescent="0.25">
      <c r="A432" s="2" t="str">
        <f t="shared" si="15"/>
        <v>1AF</v>
      </c>
      <c r="B432" s="3" t="str">
        <f t="shared" si="16"/>
        <v>00;</v>
      </c>
      <c r="C432" s="170">
        <v>0</v>
      </c>
      <c r="D432" s="170"/>
      <c r="E432" s="4"/>
      <c r="F432" s="170">
        <v>15</v>
      </c>
      <c r="G432" s="170"/>
      <c r="H432" s="170"/>
      <c r="I432" s="170"/>
    </row>
    <row r="433" spans="1:9" x14ac:dyDescent="0.25">
      <c r="A433" s="2" t="str">
        <f t="shared" si="15"/>
        <v>1B0</v>
      </c>
      <c r="B433" s="3" t="str">
        <f t="shared" si="16"/>
        <v>00;</v>
      </c>
      <c r="C433" s="170">
        <v>0</v>
      </c>
      <c r="D433" s="170"/>
      <c r="E433" s="4"/>
      <c r="F433" s="170">
        <v>16</v>
      </c>
      <c r="G433" s="170"/>
      <c r="H433" s="170"/>
      <c r="I433" s="170"/>
    </row>
    <row r="434" spans="1:9" x14ac:dyDescent="0.25">
      <c r="A434" s="2" t="str">
        <f t="shared" si="15"/>
        <v>1B1</v>
      </c>
      <c r="B434" s="3" t="str">
        <f t="shared" si="16"/>
        <v>00;</v>
      </c>
      <c r="C434" s="170">
        <v>0</v>
      </c>
      <c r="D434" s="170"/>
      <c r="E434" s="4"/>
      <c r="F434" s="170">
        <v>17</v>
      </c>
      <c r="G434" s="170"/>
      <c r="H434" s="170"/>
      <c r="I434" s="170"/>
    </row>
    <row r="435" spans="1:9" x14ac:dyDescent="0.25">
      <c r="A435" s="2" t="str">
        <f t="shared" si="15"/>
        <v>1B2</v>
      </c>
      <c r="B435" s="3" t="str">
        <f t="shared" si="16"/>
        <v>00;</v>
      </c>
      <c r="C435" s="170">
        <v>0</v>
      </c>
      <c r="D435" s="170"/>
      <c r="E435" s="4"/>
      <c r="F435" s="170">
        <v>18</v>
      </c>
      <c r="G435" s="170"/>
      <c r="H435" s="170"/>
      <c r="I435" s="170"/>
    </row>
    <row r="436" spans="1:9" x14ac:dyDescent="0.25">
      <c r="A436" s="2" t="str">
        <f t="shared" si="15"/>
        <v>1B3</v>
      </c>
      <c r="B436" s="3" t="str">
        <f t="shared" si="16"/>
        <v>00;</v>
      </c>
      <c r="C436" s="170">
        <v>0</v>
      </c>
      <c r="D436" s="170"/>
      <c r="E436" s="4"/>
      <c r="F436" s="170">
        <v>19</v>
      </c>
      <c r="G436" s="170"/>
      <c r="H436" s="170"/>
      <c r="I436" s="170"/>
    </row>
    <row r="437" spans="1:9" x14ac:dyDescent="0.25">
      <c r="A437" s="2" t="str">
        <f t="shared" si="15"/>
        <v>1B4</v>
      </c>
      <c r="B437" s="3" t="str">
        <f t="shared" si="16"/>
        <v>00;</v>
      </c>
      <c r="C437" s="170">
        <v>0</v>
      </c>
      <c r="D437" s="170"/>
      <c r="E437" s="4"/>
      <c r="F437" s="170">
        <v>20</v>
      </c>
      <c r="G437" s="170"/>
      <c r="H437" s="170"/>
      <c r="I437" s="170"/>
    </row>
    <row r="438" spans="1:9" x14ac:dyDescent="0.25">
      <c r="A438" s="2" t="str">
        <f t="shared" si="15"/>
        <v>1B5</v>
      </c>
      <c r="B438" s="3" t="str">
        <f t="shared" si="16"/>
        <v>00;</v>
      </c>
      <c r="C438" s="170">
        <v>0</v>
      </c>
      <c r="D438" s="170"/>
      <c r="E438" s="4"/>
      <c r="F438" s="170">
        <v>21</v>
      </c>
      <c r="G438" s="170"/>
      <c r="H438" s="170"/>
      <c r="I438" s="170"/>
    </row>
    <row r="439" spans="1:9" x14ac:dyDescent="0.25">
      <c r="A439" s="2" t="str">
        <f t="shared" si="15"/>
        <v>1B6</v>
      </c>
      <c r="B439" s="3" t="str">
        <f t="shared" si="16"/>
        <v>00;</v>
      </c>
      <c r="C439" s="170">
        <v>0</v>
      </c>
      <c r="D439" s="170"/>
      <c r="E439" s="4"/>
      <c r="F439" s="170">
        <v>22</v>
      </c>
      <c r="G439" s="170"/>
      <c r="H439" s="170"/>
      <c r="I439" s="170"/>
    </row>
    <row r="440" spans="1:9" x14ac:dyDescent="0.25">
      <c r="A440" s="2" t="str">
        <f t="shared" si="15"/>
        <v>1B7</v>
      </c>
      <c r="B440" s="3" t="str">
        <f t="shared" si="16"/>
        <v>00;</v>
      </c>
      <c r="C440" s="170">
        <v>0</v>
      </c>
      <c r="D440" s="170"/>
      <c r="E440" s="4"/>
      <c r="F440" s="170">
        <v>23</v>
      </c>
      <c r="G440" s="170"/>
      <c r="H440" s="170"/>
      <c r="I440" s="170"/>
    </row>
    <row r="441" spans="1:9" x14ac:dyDescent="0.25">
      <c r="A441" s="2" t="str">
        <f t="shared" si="15"/>
        <v>1B8</v>
      </c>
      <c r="B441" s="3" t="str">
        <f t="shared" si="16"/>
        <v>00;</v>
      </c>
      <c r="C441" s="170">
        <v>0</v>
      </c>
      <c r="D441" s="170"/>
      <c r="E441" s="4"/>
      <c r="F441" s="170">
        <v>24</v>
      </c>
      <c r="G441" s="170"/>
      <c r="H441" s="170"/>
      <c r="I441" s="170"/>
    </row>
    <row r="442" spans="1:9" x14ac:dyDescent="0.25">
      <c r="A442" s="2" t="str">
        <f t="shared" si="15"/>
        <v>1B9</v>
      </c>
      <c r="B442" s="3" t="str">
        <f t="shared" si="16"/>
        <v>00;</v>
      </c>
      <c r="C442" s="170">
        <v>0</v>
      </c>
      <c r="D442" s="170"/>
      <c r="E442" s="4"/>
      <c r="F442" s="170">
        <v>25</v>
      </c>
      <c r="G442" s="170"/>
      <c r="H442" s="170"/>
      <c r="I442" s="170"/>
    </row>
    <row r="443" spans="1:9" x14ac:dyDescent="0.25">
      <c r="A443" s="2" t="str">
        <f t="shared" si="15"/>
        <v>1BA</v>
      </c>
      <c r="B443" s="3" t="str">
        <f t="shared" si="16"/>
        <v>00;</v>
      </c>
      <c r="C443" s="170">
        <v>0</v>
      </c>
      <c r="D443" s="170"/>
      <c r="E443" s="4"/>
      <c r="F443" s="170">
        <v>26</v>
      </c>
      <c r="G443" s="170"/>
      <c r="H443" s="170"/>
      <c r="I443" s="170"/>
    </row>
    <row r="444" spans="1:9" x14ac:dyDescent="0.25">
      <c r="A444" s="2" t="str">
        <f t="shared" si="15"/>
        <v>1BB</v>
      </c>
      <c r="B444" s="3" t="str">
        <f t="shared" si="16"/>
        <v>00;</v>
      </c>
      <c r="C444" s="170">
        <v>0</v>
      </c>
      <c r="D444" s="170"/>
      <c r="E444" s="4"/>
      <c r="F444" s="170">
        <v>27</v>
      </c>
      <c r="G444" s="170"/>
      <c r="H444" s="170"/>
      <c r="I444" s="170"/>
    </row>
    <row r="445" spans="1:9" x14ac:dyDescent="0.25">
      <c r="A445" s="2" t="str">
        <f t="shared" si="15"/>
        <v>1BC</v>
      </c>
      <c r="B445" s="3" t="str">
        <f t="shared" si="16"/>
        <v>00;</v>
      </c>
      <c r="C445" s="170">
        <v>0</v>
      </c>
      <c r="D445" s="170"/>
      <c r="E445" s="4"/>
      <c r="F445" s="170">
        <v>28</v>
      </c>
      <c r="G445" s="170"/>
      <c r="H445" s="170"/>
      <c r="I445" s="170"/>
    </row>
    <row r="446" spans="1:9" x14ac:dyDescent="0.25">
      <c r="A446" s="2" t="str">
        <f t="shared" si="15"/>
        <v>1BD</v>
      </c>
      <c r="B446" s="3" t="str">
        <f t="shared" si="16"/>
        <v>00;</v>
      </c>
      <c r="C446" s="170">
        <v>0</v>
      </c>
      <c r="D446" s="170"/>
      <c r="E446" s="4"/>
      <c r="F446" s="170">
        <v>29</v>
      </c>
      <c r="G446" s="170"/>
      <c r="H446" s="170"/>
      <c r="I446" s="170"/>
    </row>
    <row r="447" spans="1:9" x14ac:dyDescent="0.25">
      <c r="A447" s="2" t="str">
        <f t="shared" si="15"/>
        <v>1BE</v>
      </c>
      <c r="B447" s="3" t="str">
        <f t="shared" si="16"/>
        <v>00;</v>
      </c>
      <c r="C447" s="170">
        <v>0</v>
      </c>
      <c r="D447" s="170"/>
      <c r="E447" s="4"/>
      <c r="F447" s="170">
        <v>30</v>
      </c>
      <c r="G447" s="170"/>
      <c r="H447" s="170"/>
      <c r="I447" s="170"/>
    </row>
    <row r="448" spans="1:9" x14ac:dyDescent="0.25">
      <c r="A448" s="2" t="str">
        <f t="shared" si="15"/>
        <v>1BF</v>
      </c>
      <c r="B448" s="3" t="str">
        <f t="shared" si="16"/>
        <v>00;</v>
      </c>
      <c r="C448" s="170">
        <v>0</v>
      </c>
      <c r="D448" s="170"/>
      <c r="E448" s="4"/>
      <c r="F448" s="170">
        <v>31</v>
      </c>
      <c r="G448" s="170"/>
      <c r="H448" s="170"/>
      <c r="I448" s="21" t="s">
        <v>1158</v>
      </c>
    </row>
    <row r="449" spans="1:9" x14ac:dyDescent="0.25">
      <c r="A449" s="2" t="str">
        <f t="shared" si="15"/>
        <v>1C0</v>
      </c>
      <c r="B449" s="3" t="str">
        <f t="shared" si="16"/>
        <v>00;</v>
      </c>
      <c r="C449" s="170">
        <v>0</v>
      </c>
      <c r="D449" s="170" t="s">
        <v>1163</v>
      </c>
      <c r="E449" s="4"/>
      <c r="F449" s="170">
        <v>0</v>
      </c>
      <c r="G449" s="170"/>
      <c r="H449" s="170" t="s">
        <v>1154</v>
      </c>
      <c r="I449" s="21" t="s">
        <v>1155</v>
      </c>
    </row>
    <row r="450" spans="1:9" x14ac:dyDescent="0.25">
      <c r="A450" s="2" t="str">
        <f t="shared" si="15"/>
        <v>1C1</v>
      </c>
      <c r="B450" s="3" t="str">
        <f t="shared" si="16"/>
        <v>00;</v>
      </c>
      <c r="C450" s="170">
        <v>0</v>
      </c>
      <c r="D450" s="170"/>
      <c r="E450" s="4"/>
      <c r="F450" s="170">
        <v>1</v>
      </c>
      <c r="G450" s="170"/>
      <c r="H450" s="170"/>
      <c r="I450" s="26" t="s">
        <v>1156</v>
      </c>
    </row>
    <row r="451" spans="1:9" x14ac:dyDescent="0.25">
      <c r="A451" s="2" t="str">
        <f t="shared" si="15"/>
        <v>1C2</v>
      </c>
      <c r="B451" s="3" t="str">
        <f t="shared" si="16"/>
        <v>00;</v>
      </c>
      <c r="C451" s="170">
        <v>0</v>
      </c>
      <c r="D451" s="170"/>
      <c r="E451" s="4"/>
      <c r="F451" s="170">
        <v>2</v>
      </c>
      <c r="G451" s="170"/>
      <c r="H451" s="170"/>
      <c r="I451" s="21" t="s">
        <v>1157</v>
      </c>
    </row>
    <row r="452" spans="1:9" x14ac:dyDescent="0.25">
      <c r="A452" s="2" t="str">
        <f t="shared" si="15"/>
        <v>1C3</v>
      </c>
      <c r="B452" s="3" t="str">
        <f t="shared" si="16"/>
        <v>00;</v>
      </c>
      <c r="C452" s="170">
        <v>0</v>
      </c>
      <c r="D452" s="170"/>
      <c r="E452" s="4"/>
      <c r="F452" s="170">
        <v>3</v>
      </c>
      <c r="G452" s="170"/>
      <c r="H452" s="170"/>
      <c r="I452" s="170"/>
    </row>
    <row r="453" spans="1:9" x14ac:dyDescent="0.25">
      <c r="A453" s="2" t="str">
        <f t="shared" si="15"/>
        <v>1C4</v>
      </c>
      <c r="B453" s="3" t="str">
        <f t="shared" si="16"/>
        <v>00;</v>
      </c>
      <c r="C453" s="170">
        <v>0</v>
      </c>
      <c r="D453" s="170"/>
      <c r="E453" s="4"/>
      <c r="F453" s="170">
        <v>4</v>
      </c>
      <c r="G453" s="170"/>
      <c r="H453" s="170"/>
      <c r="I453" s="170"/>
    </row>
    <row r="454" spans="1:9" x14ac:dyDescent="0.25">
      <c r="A454" s="2" t="str">
        <f t="shared" si="15"/>
        <v>1C5</v>
      </c>
      <c r="B454" s="3" t="str">
        <f t="shared" si="16"/>
        <v>00;</v>
      </c>
      <c r="C454" s="170">
        <v>0</v>
      </c>
      <c r="D454" s="170"/>
      <c r="E454" s="4"/>
      <c r="F454" s="170">
        <v>5</v>
      </c>
      <c r="G454" s="170"/>
      <c r="H454" s="170"/>
      <c r="I454" s="170"/>
    </row>
    <row r="455" spans="1:9" x14ac:dyDescent="0.25">
      <c r="A455" s="2" t="str">
        <f t="shared" si="15"/>
        <v>1C6</v>
      </c>
      <c r="B455" s="3" t="str">
        <f t="shared" si="16"/>
        <v>00;</v>
      </c>
      <c r="C455" s="170">
        <v>0</v>
      </c>
      <c r="D455" s="170"/>
      <c r="E455" s="4"/>
      <c r="F455" s="170">
        <v>6</v>
      </c>
      <c r="G455" s="170"/>
      <c r="H455" s="170"/>
      <c r="I455" s="170"/>
    </row>
    <row r="456" spans="1:9" x14ac:dyDescent="0.25">
      <c r="A456" s="2" t="str">
        <f t="shared" ref="A456:A520" si="17">IF(ROW()-1&lt;16,CONCATENATE("0",DEC2HEX(ROW()-1)),DEC2HEX(ROW()-1))</f>
        <v>1C7</v>
      </c>
      <c r="B456" s="3" t="str">
        <f t="shared" si="16"/>
        <v>00;</v>
      </c>
      <c r="C456" s="170">
        <v>0</v>
      </c>
      <c r="D456" s="170"/>
      <c r="E456" s="4"/>
      <c r="F456" s="170">
        <v>7</v>
      </c>
      <c r="G456" s="170"/>
      <c r="H456" s="170"/>
      <c r="I456" s="170"/>
    </row>
    <row r="457" spans="1:9" x14ac:dyDescent="0.25">
      <c r="A457" s="2" t="str">
        <f t="shared" si="17"/>
        <v>1C8</v>
      </c>
      <c r="B457" s="3" t="str">
        <f t="shared" si="16"/>
        <v>00;</v>
      </c>
      <c r="C457" s="170">
        <v>0</v>
      </c>
      <c r="D457" s="170"/>
      <c r="E457" s="4"/>
      <c r="F457" s="170">
        <v>8</v>
      </c>
      <c r="G457" s="170"/>
      <c r="H457" s="170"/>
      <c r="I457" s="170"/>
    </row>
    <row r="458" spans="1:9" x14ac:dyDescent="0.25">
      <c r="A458" s="2" t="str">
        <f t="shared" si="17"/>
        <v>1C9</v>
      </c>
      <c r="B458" s="3" t="str">
        <f t="shared" si="16"/>
        <v>00;</v>
      </c>
      <c r="C458" s="170">
        <v>0</v>
      </c>
      <c r="D458" s="170"/>
      <c r="E458" s="4"/>
      <c r="F458" s="170">
        <v>9</v>
      </c>
      <c r="G458" s="170"/>
      <c r="H458" s="170"/>
      <c r="I458" s="170"/>
    </row>
    <row r="459" spans="1:9" x14ac:dyDescent="0.25">
      <c r="A459" s="2" t="str">
        <f t="shared" si="17"/>
        <v>1CA</v>
      </c>
      <c r="B459" s="3" t="str">
        <f t="shared" si="16"/>
        <v>00;</v>
      </c>
      <c r="C459" s="170">
        <v>0</v>
      </c>
      <c r="D459" s="170"/>
      <c r="E459" s="4"/>
      <c r="F459" s="170">
        <v>10</v>
      </c>
      <c r="G459" s="170"/>
      <c r="H459" s="170"/>
      <c r="I459" s="170"/>
    </row>
    <row r="460" spans="1:9" x14ac:dyDescent="0.25">
      <c r="A460" s="2" t="str">
        <f t="shared" si="17"/>
        <v>1CB</v>
      </c>
      <c r="B460" s="3" t="str">
        <f t="shared" si="16"/>
        <v>00;</v>
      </c>
      <c r="C460" s="170">
        <v>0</v>
      </c>
      <c r="D460" s="170"/>
      <c r="E460" s="4"/>
      <c r="F460" s="170">
        <v>11</v>
      </c>
      <c r="G460" s="170"/>
      <c r="H460" s="170"/>
      <c r="I460" s="170"/>
    </row>
    <row r="461" spans="1:9" x14ac:dyDescent="0.25">
      <c r="A461" s="2" t="str">
        <f t="shared" si="17"/>
        <v>1CC</v>
      </c>
      <c r="B461" s="3" t="str">
        <f t="shared" ref="B461:B524" si="18">IF(C461&lt;16,CONCATENATE("0",DEC2HEX(C461),";"),CONCATENATE(DEC2HEX(C461),";"))</f>
        <v>00;</v>
      </c>
      <c r="C461" s="170">
        <v>0</v>
      </c>
      <c r="D461" s="170"/>
      <c r="E461" s="4"/>
      <c r="F461" s="170">
        <v>12</v>
      </c>
      <c r="G461" s="170"/>
      <c r="H461" s="170"/>
      <c r="I461" s="170"/>
    </row>
    <row r="462" spans="1:9" x14ac:dyDescent="0.25">
      <c r="A462" s="2" t="str">
        <f t="shared" si="17"/>
        <v>1CD</v>
      </c>
      <c r="B462" s="3" t="str">
        <f t="shared" si="18"/>
        <v>00;</v>
      </c>
      <c r="C462" s="170">
        <v>0</v>
      </c>
      <c r="D462" s="170"/>
      <c r="E462" s="4"/>
      <c r="F462" s="170">
        <v>13</v>
      </c>
      <c r="G462" s="170"/>
      <c r="H462" s="170"/>
      <c r="I462" s="170"/>
    </row>
    <row r="463" spans="1:9" x14ac:dyDescent="0.25">
      <c r="A463" s="2" t="str">
        <f t="shared" si="17"/>
        <v>1CE</v>
      </c>
      <c r="B463" s="3" t="str">
        <f t="shared" si="18"/>
        <v>00;</v>
      </c>
      <c r="C463" s="170">
        <v>0</v>
      </c>
      <c r="D463" s="170"/>
      <c r="E463" s="4"/>
      <c r="F463" s="170">
        <v>14</v>
      </c>
      <c r="G463" s="170"/>
      <c r="H463" s="170"/>
      <c r="I463" s="170"/>
    </row>
    <row r="464" spans="1:9" x14ac:dyDescent="0.25">
      <c r="A464" s="2" t="str">
        <f t="shared" si="17"/>
        <v>1CF</v>
      </c>
      <c r="B464" s="3" t="str">
        <f t="shared" si="18"/>
        <v>00;</v>
      </c>
      <c r="C464" s="170">
        <v>0</v>
      </c>
      <c r="D464" s="170"/>
      <c r="E464" s="4"/>
      <c r="F464" s="170">
        <v>15</v>
      </c>
      <c r="G464" s="170"/>
      <c r="H464" s="170"/>
      <c r="I464" s="170"/>
    </row>
    <row r="465" spans="1:9" x14ac:dyDescent="0.25">
      <c r="A465" s="2" t="str">
        <f t="shared" si="17"/>
        <v>1D0</v>
      </c>
      <c r="B465" s="3" t="str">
        <f t="shared" si="18"/>
        <v>00;</v>
      </c>
      <c r="C465" s="170">
        <v>0</v>
      </c>
      <c r="D465" s="170"/>
      <c r="E465" s="4"/>
      <c r="F465" s="170">
        <v>16</v>
      </c>
      <c r="G465" s="170"/>
      <c r="H465" s="170"/>
      <c r="I465" s="170"/>
    </row>
    <row r="466" spans="1:9" x14ac:dyDescent="0.25">
      <c r="A466" s="2" t="str">
        <f t="shared" si="17"/>
        <v>1D1</v>
      </c>
      <c r="B466" s="3" t="str">
        <f t="shared" si="18"/>
        <v>00;</v>
      </c>
      <c r="C466" s="170">
        <v>0</v>
      </c>
      <c r="D466" s="170"/>
      <c r="E466" s="4"/>
      <c r="F466" s="170">
        <v>17</v>
      </c>
      <c r="G466" s="170"/>
      <c r="H466" s="170"/>
      <c r="I466" s="170"/>
    </row>
    <row r="467" spans="1:9" x14ac:dyDescent="0.25">
      <c r="A467" s="2" t="str">
        <f t="shared" si="17"/>
        <v>1D2</v>
      </c>
      <c r="B467" s="3" t="str">
        <f t="shared" si="18"/>
        <v>00;</v>
      </c>
      <c r="C467" s="170">
        <v>0</v>
      </c>
      <c r="D467" s="170"/>
      <c r="E467" s="4"/>
      <c r="F467" s="170">
        <v>18</v>
      </c>
      <c r="G467" s="170"/>
      <c r="H467" s="170"/>
      <c r="I467" s="170"/>
    </row>
    <row r="468" spans="1:9" x14ac:dyDescent="0.25">
      <c r="A468" s="2" t="str">
        <f t="shared" si="17"/>
        <v>1D3</v>
      </c>
      <c r="B468" s="3" t="str">
        <f t="shared" si="18"/>
        <v>00;</v>
      </c>
      <c r="C468" s="170">
        <v>0</v>
      </c>
      <c r="D468" s="170"/>
      <c r="E468" s="4"/>
      <c r="F468" s="170">
        <v>19</v>
      </c>
      <c r="G468" s="170"/>
      <c r="H468" s="170"/>
      <c r="I468" s="170"/>
    </row>
    <row r="469" spans="1:9" x14ac:dyDescent="0.25">
      <c r="A469" s="2" t="str">
        <f t="shared" si="17"/>
        <v>1D4</v>
      </c>
      <c r="B469" s="3" t="str">
        <f t="shared" si="18"/>
        <v>00;</v>
      </c>
      <c r="C469" s="170">
        <v>0</v>
      </c>
      <c r="D469" s="170"/>
      <c r="E469" s="4"/>
      <c r="F469" s="170">
        <v>20</v>
      </c>
      <c r="G469" s="170"/>
      <c r="H469" s="170"/>
      <c r="I469" s="170"/>
    </row>
    <row r="470" spans="1:9" x14ac:dyDescent="0.25">
      <c r="A470" s="2" t="str">
        <f t="shared" si="17"/>
        <v>1D5</v>
      </c>
      <c r="B470" s="3" t="str">
        <f t="shared" si="18"/>
        <v>00;</v>
      </c>
      <c r="C470" s="170">
        <v>0</v>
      </c>
      <c r="D470" s="170"/>
      <c r="E470" s="4"/>
      <c r="F470" s="170">
        <v>21</v>
      </c>
      <c r="G470" s="170"/>
      <c r="H470" s="170"/>
      <c r="I470" s="170"/>
    </row>
    <row r="471" spans="1:9" x14ac:dyDescent="0.25">
      <c r="A471" s="2" t="str">
        <f t="shared" si="17"/>
        <v>1D6</v>
      </c>
      <c r="B471" s="3" t="str">
        <f t="shared" si="18"/>
        <v>00;</v>
      </c>
      <c r="C471" s="170">
        <v>0</v>
      </c>
      <c r="D471" s="170"/>
      <c r="E471" s="4"/>
      <c r="F471" s="170">
        <v>22</v>
      </c>
      <c r="G471" s="170"/>
      <c r="H471" s="170"/>
      <c r="I471" s="170"/>
    </row>
    <row r="472" spans="1:9" x14ac:dyDescent="0.25">
      <c r="A472" s="2" t="str">
        <f t="shared" si="17"/>
        <v>1D7</v>
      </c>
      <c r="B472" s="3" t="str">
        <f t="shared" si="18"/>
        <v>00;</v>
      </c>
      <c r="C472" s="170">
        <v>0</v>
      </c>
      <c r="D472" s="170"/>
      <c r="E472" s="4"/>
      <c r="F472" s="170">
        <v>23</v>
      </c>
      <c r="G472" s="170"/>
      <c r="H472" s="170"/>
      <c r="I472" s="170"/>
    </row>
    <row r="473" spans="1:9" x14ac:dyDescent="0.25">
      <c r="A473" s="2" t="str">
        <f t="shared" si="17"/>
        <v>1D8</v>
      </c>
      <c r="B473" s="3" t="str">
        <f t="shared" si="18"/>
        <v>00;</v>
      </c>
      <c r="C473" s="170">
        <v>0</v>
      </c>
      <c r="D473" s="170"/>
      <c r="E473" s="4"/>
      <c r="F473" s="170">
        <v>24</v>
      </c>
      <c r="G473" s="170"/>
      <c r="H473" s="170"/>
      <c r="I473" s="170"/>
    </row>
    <row r="474" spans="1:9" x14ac:dyDescent="0.25">
      <c r="A474" s="2" t="str">
        <f t="shared" si="17"/>
        <v>1D9</v>
      </c>
      <c r="B474" s="3" t="str">
        <f t="shared" si="18"/>
        <v>00;</v>
      </c>
      <c r="C474" s="170">
        <v>0</v>
      </c>
      <c r="D474" s="170"/>
      <c r="E474" s="4"/>
      <c r="F474" s="170">
        <v>25</v>
      </c>
      <c r="G474" s="170"/>
      <c r="H474" s="170"/>
      <c r="I474" s="170"/>
    </row>
    <row r="475" spans="1:9" x14ac:dyDescent="0.25">
      <c r="A475" s="2" t="str">
        <f t="shared" si="17"/>
        <v>1DA</v>
      </c>
      <c r="B475" s="3" t="str">
        <f t="shared" si="18"/>
        <v>00;</v>
      </c>
      <c r="C475" s="170">
        <v>0</v>
      </c>
      <c r="D475" s="170"/>
      <c r="E475" s="4"/>
      <c r="F475" s="170">
        <v>26</v>
      </c>
      <c r="G475" s="170"/>
      <c r="H475" s="170"/>
      <c r="I475" s="170"/>
    </row>
    <row r="476" spans="1:9" x14ac:dyDescent="0.25">
      <c r="A476" s="2" t="str">
        <f t="shared" si="17"/>
        <v>1DB</v>
      </c>
      <c r="B476" s="3" t="str">
        <f t="shared" si="18"/>
        <v>00;</v>
      </c>
      <c r="C476" s="170">
        <v>0</v>
      </c>
      <c r="D476" s="170"/>
      <c r="E476" s="4"/>
      <c r="F476" s="170">
        <v>27</v>
      </c>
      <c r="G476" s="170"/>
      <c r="H476" s="170"/>
      <c r="I476" s="170"/>
    </row>
    <row r="477" spans="1:9" x14ac:dyDescent="0.25">
      <c r="A477" s="2" t="str">
        <f t="shared" si="17"/>
        <v>1DC</v>
      </c>
      <c r="B477" s="3" t="str">
        <f t="shared" si="18"/>
        <v>00;</v>
      </c>
      <c r="C477" s="170">
        <v>0</v>
      </c>
      <c r="D477" s="170"/>
      <c r="E477" s="4"/>
      <c r="F477" s="170">
        <v>28</v>
      </c>
      <c r="G477" s="170"/>
      <c r="H477" s="170"/>
      <c r="I477" s="170"/>
    </row>
    <row r="478" spans="1:9" x14ac:dyDescent="0.25">
      <c r="A478" s="2" t="str">
        <f t="shared" si="17"/>
        <v>1DD</v>
      </c>
      <c r="B478" s="3" t="str">
        <f t="shared" si="18"/>
        <v>00;</v>
      </c>
      <c r="C478" s="170">
        <v>0</v>
      </c>
      <c r="D478" s="170"/>
      <c r="E478" s="4"/>
      <c r="F478" s="170">
        <v>29</v>
      </c>
      <c r="G478" s="170"/>
      <c r="H478" s="170"/>
      <c r="I478" s="170"/>
    </row>
    <row r="479" spans="1:9" x14ac:dyDescent="0.25">
      <c r="A479" s="2" t="str">
        <f t="shared" si="17"/>
        <v>1DE</v>
      </c>
      <c r="B479" s="3" t="str">
        <f t="shared" si="18"/>
        <v>00;</v>
      </c>
      <c r="C479" s="170">
        <v>0</v>
      </c>
      <c r="D479" s="170"/>
      <c r="E479" s="4"/>
      <c r="F479" s="170">
        <v>30</v>
      </c>
      <c r="G479" s="170"/>
      <c r="H479" s="170"/>
      <c r="I479" s="170"/>
    </row>
    <row r="480" spans="1:9" x14ac:dyDescent="0.25">
      <c r="A480" s="2" t="str">
        <f t="shared" si="17"/>
        <v>1DF</v>
      </c>
      <c r="B480" s="3" t="str">
        <f t="shared" si="18"/>
        <v>00;</v>
      </c>
      <c r="C480" s="170">
        <v>0</v>
      </c>
      <c r="D480" s="170"/>
      <c r="E480" s="4"/>
      <c r="F480" s="170">
        <v>31</v>
      </c>
      <c r="G480" s="170"/>
      <c r="H480" s="170"/>
      <c r="I480" s="21" t="s">
        <v>1158</v>
      </c>
    </row>
    <row r="481" spans="1:9" x14ac:dyDescent="0.25">
      <c r="A481" s="2" t="str">
        <f t="shared" si="17"/>
        <v>1E0</v>
      </c>
      <c r="B481" s="3" t="str">
        <f t="shared" si="18"/>
        <v>00;</v>
      </c>
      <c r="C481" s="170">
        <v>0</v>
      </c>
      <c r="D481" s="170" t="s">
        <v>1164</v>
      </c>
      <c r="E481" s="4"/>
      <c r="F481" s="170">
        <v>0</v>
      </c>
      <c r="G481" s="170"/>
      <c r="H481" s="170" t="s">
        <v>1154</v>
      </c>
      <c r="I481" s="21" t="s">
        <v>1155</v>
      </c>
    </row>
    <row r="482" spans="1:9" x14ac:dyDescent="0.25">
      <c r="A482" s="2" t="str">
        <f t="shared" si="17"/>
        <v>1E1</v>
      </c>
      <c r="B482" s="3" t="str">
        <f t="shared" si="18"/>
        <v>00;</v>
      </c>
      <c r="C482" s="170">
        <v>0</v>
      </c>
      <c r="D482" s="170"/>
      <c r="E482" s="4"/>
      <c r="F482" s="170">
        <v>1</v>
      </c>
      <c r="G482" s="170"/>
      <c r="H482" s="170"/>
      <c r="I482" s="26" t="s">
        <v>1156</v>
      </c>
    </row>
    <row r="483" spans="1:9" x14ac:dyDescent="0.25">
      <c r="A483" s="2" t="str">
        <f t="shared" si="17"/>
        <v>1E2</v>
      </c>
      <c r="B483" s="3" t="str">
        <f t="shared" si="18"/>
        <v>00;</v>
      </c>
      <c r="C483" s="170">
        <v>0</v>
      </c>
      <c r="D483" s="170"/>
      <c r="E483" s="4"/>
      <c r="F483" s="170">
        <v>2</v>
      </c>
      <c r="G483" s="170"/>
      <c r="H483" s="170"/>
      <c r="I483" s="21" t="s">
        <v>1157</v>
      </c>
    </row>
    <row r="484" spans="1:9" x14ac:dyDescent="0.25">
      <c r="A484" s="2" t="str">
        <f t="shared" si="17"/>
        <v>1E3</v>
      </c>
      <c r="B484" s="3" t="str">
        <f t="shared" si="18"/>
        <v>00;</v>
      </c>
      <c r="C484" s="170">
        <v>0</v>
      </c>
      <c r="D484" s="170"/>
      <c r="E484" s="4"/>
      <c r="F484" s="170">
        <v>3</v>
      </c>
      <c r="G484" s="170"/>
      <c r="H484" s="170"/>
      <c r="I484" s="170"/>
    </row>
    <row r="485" spans="1:9" x14ac:dyDescent="0.25">
      <c r="A485" s="2" t="str">
        <f t="shared" si="17"/>
        <v>1E4</v>
      </c>
      <c r="B485" s="3" t="str">
        <f t="shared" si="18"/>
        <v>00;</v>
      </c>
      <c r="C485" s="170">
        <v>0</v>
      </c>
      <c r="D485" s="170"/>
      <c r="E485" s="4"/>
      <c r="F485" s="170">
        <v>4</v>
      </c>
      <c r="G485" s="170"/>
      <c r="H485" s="170"/>
      <c r="I485" s="170"/>
    </row>
    <row r="486" spans="1:9" x14ac:dyDescent="0.25">
      <c r="A486" s="2" t="str">
        <f t="shared" si="17"/>
        <v>1E5</v>
      </c>
      <c r="B486" s="3" t="str">
        <f t="shared" si="18"/>
        <v>00;</v>
      </c>
      <c r="C486" s="170">
        <v>0</v>
      </c>
      <c r="D486" s="170"/>
      <c r="E486" s="4"/>
      <c r="F486" s="170">
        <v>5</v>
      </c>
      <c r="G486" s="170"/>
      <c r="H486" s="170"/>
      <c r="I486" s="170"/>
    </row>
    <row r="487" spans="1:9" x14ac:dyDescent="0.25">
      <c r="A487" s="2" t="str">
        <f t="shared" si="17"/>
        <v>1E6</v>
      </c>
      <c r="B487" s="3" t="str">
        <f t="shared" si="18"/>
        <v>00;</v>
      </c>
      <c r="C487" s="170">
        <v>0</v>
      </c>
      <c r="D487" s="170"/>
      <c r="E487" s="4"/>
      <c r="F487" s="170">
        <v>6</v>
      </c>
      <c r="G487" s="170"/>
      <c r="H487" s="170"/>
      <c r="I487" s="170"/>
    </row>
    <row r="488" spans="1:9" x14ac:dyDescent="0.25">
      <c r="A488" s="2" t="str">
        <f t="shared" si="17"/>
        <v>1E7</v>
      </c>
      <c r="B488" s="3" t="str">
        <f t="shared" si="18"/>
        <v>00;</v>
      </c>
      <c r="C488" s="170">
        <v>0</v>
      </c>
      <c r="D488" s="170"/>
      <c r="E488" s="4"/>
      <c r="F488" s="170">
        <v>7</v>
      </c>
      <c r="G488" s="170"/>
      <c r="H488" s="170"/>
      <c r="I488" s="170"/>
    </row>
    <row r="489" spans="1:9" x14ac:dyDescent="0.25">
      <c r="A489" s="2" t="str">
        <f t="shared" si="17"/>
        <v>1E8</v>
      </c>
      <c r="B489" s="3" t="str">
        <f t="shared" si="18"/>
        <v>00;</v>
      </c>
      <c r="C489" s="170">
        <v>0</v>
      </c>
      <c r="D489" s="170"/>
      <c r="E489" s="4"/>
      <c r="F489" s="170">
        <v>8</v>
      </c>
      <c r="G489" s="170"/>
      <c r="H489" s="170"/>
      <c r="I489" s="170"/>
    </row>
    <row r="490" spans="1:9" x14ac:dyDescent="0.25">
      <c r="A490" s="2" t="str">
        <f t="shared" si="17"/>
        <v>1E9</v>
      </c>
      <c r="B490" s="3" t="str">
        <f t="shared" si="18"/>
        <v>00;</v>
      </c>
      <c r="C490" s="170">
        <v>0</v>
      </c>
      <c r="D490" s="170"/>
      <c r="E490" s="4"/>
      <c r="F490" s="170">
        <v>9</v>
      </c>
      <c r="G490" s="170"/>
      <c r="H490" s="170"/>
      <c r="I490" s="170"/>
    </row>
    <row r="491" spans="1:9" x14ac:dyDescent="0.25">
      <c r="A491" s="2" t="str">
        <f t="shared" si="17"/>
        <v>1EA</v>
      </c>
      <c r="B491" s="3" t="str">
        <f t="shared" si="18"/>
        <v>00;</v>
      </c>
      <c r="C491" s="170">
        <v>0</v>
      </c>
      <c r="D491" s="170"/>
      <c r="E491" s="4"/>
      <c r="F491" s="170">
        <v>10</v>
      </c>
      <c r="G491" s="170"/>
      <c r="H491" s="170"/>
      <c r="I491" s="170"/>
    </row>
    <row r="492" spans="1:9" x14ac:dyDescent="0.25">
      <c r="A492" s="2" t="str">
        <f t="shared" si="17"/>
        <v>1EB</v>
      </c>
      <c r="B492" s="3" t="str">
        <f t="shared" si="18"/>
        <v>00;</v>
      </c>
      <c r="C492" s="170">
        <v>0</v>
      </c>
      <c r="D492" s="170"/>
      <c r="E492" s="4"/>
      <c r="F492" s="170">
        <v>11</v>
      </c>
      <c r="G492" s="170"/>
      <c r="H492" s="170"/>
      <c r="I492" s="170"/>
    </row>
    <row r="493" spans="1:9" x14ac:dyDescent="0.25">
      <c r="A493" s="2" t="str">
        <f t="shared" si="17"/>
        <v>1EC</v>
      </c>
      <c r="B493" s="3" t="str">
        <f t="shared" si="18"/>
        <v>00;</v>
      </c>
      <c r="C493" s="170">
        <v>0</v>
      </c>
      <c r="D493" s="170"/>
      <c r="E493" s="4"/>
      <c r="F493" s="170">
        <v>12</v>
      </c>
      <c r="G493" s="170"/>
      <c r="H493" s="170"/>
      <c r="I493" s="170"/>
    </row>
    <row r="494" spans="1:9" x14ac:dyDescent="0.25">
      <c r="A494" s="2" t="str">
        <f t="shared" si="17"/>
        <v>1ED</v>
      </c>
      <c r="B494" s="3" t="str">
        <f t="shared" si="18"/>
        <v>00;</v>
      </c>
      <c r="C494" s="170">
        <v>0</v>
      </c>
      <c r="D494" s="170"/>
      <c r="E494" s="4"/>
      <c r="F494" s="170">
        <v>13</v>
      </c>
      <c r="G494" s="170"/>
      <c r="H494" s="170"/>
      <c r="I494" s="170"/>
    </row>
    <row r="495" spans="1:9" x14ac:dyDescent="0.25">
      <c r="A495" s="2" t="str">
        <f t="shared" si="17"/>
        <v>1EE</v>
      </c>
      <c r="B495" s="3" t="str">
        <f t="shared" si="18"/>
        <v>00;</v>
      </c>
      <c r="C495" s="170">
        <v>0</v>
      </c>
      <c r="D495" s="170"/>
      <c r="E495" s="4"/>
      <c r="F495" s="170">
        <v>14</v>
      </c>
      <c r="G495" s="170"/>
      <c r="H495" s="170"/>
      <c r="I495" s="170"/>
    </row>
    <row r="496" spans="1:9" x14ac:dyDescent="0.25">
      <c r="A496" s="2" t="str">
        <f t="shared" si="17"/>
        <v>1EF</v>
      </c>
      <c r="B496" s="3" t="str">
        <f t="shared" si="18"/>
        <v>00;</v>
      </c>
      <c r="C496" s="170">
        <v>0</v>
      </c>
      <c r="D496" s="170"/>
      <c r="E496" s="4"/>
      <c r="F496" s="170">
        <v>15</v>
      </c>
      <c r="G496" s="170"/>
      <c r="H496" s="170"/>
      <c r="I496" s="170"/>
    </row>
    <row r="497" spans="1:9" x14ac:dyDescent="0.25">
      <c r="A497" s="2" t="str">
        <f t="shared" si="17"/>
        <v>1F0</v>
      </c>
      <c r="B497" s="3" t="str">
        <f t="shared" si="18"/>
        <v>00;</v>
      </c>
      <c r="C497" s="170">
        <v>0</v>
      </c>
      <c r="D497" s="170"/>
      <c r="E497" s="4"/>
      <c r="F497" s="170">
        <v>16</v>
      </c>
      <c r="G497" s="170"/>
      <c r="H497" s="170"/>
      <c r="I497" s="170"/>
    </row>
    <row r="498" spans="1:9" x14ac:dyDescent="0.25">
      <c r="A498" s="2" t="str">
        <f t="shared" si="17"/>
        <v>1F1</v>
      </c>
      <c r="B498" s="3" t="str">
        <f t="shared" si="18"/>
        <v>00;</v>
      </c>
      <c r="C498" s="170">
        <v>0</v>
      </c>
      <c r="D498" s="170"/>
      <c r="E498" s="4"/>
      <c r="F498" s="170">
        <v>17</v>
      </c>
      <c r="G498" s="170"/>
      <c r="H498" s="170"/>
      <c r="I498" s="170"/>
    </row>
    <row r="499" spans="1:9" x14ac:dyDescent="0.25">
      <c r="A499" s="2" t="str">
        <f t="shared" si="17"/>
        <v>1F2</v>
      </c>
      <c r="B499" s="3" t="str">
        <f t="shared" si="18"/>
        <v>00;</v>
      </c>
      <c r="C499" s="170">
        <v>0</v>
      </c>
      <c r="D499" s="170"/>
      <c r="E499" s="4"/>
      <c r="F499" s="170">
        <v>18</v>
      </c>
      <c r="G499" s="170"/>
      <c r="H499" s="170"/>
      <c r="I499" s="170"/>
    </row>
    <row r="500" spans="1:9" x14ac:dyDescent="0.25">
      <c r="A500" s="2" t="str">
        <f t="shared" si="17"/>
        <v>1F3</v>
      </c>
      <c r="B500" s="3" t="str">
        <f t="shared" si="18"/>
        <v>00;</v>
      </c>
      <c r="C500" s="170">
        <v>0</v>
      </c>
      <c r="D500" s="170"/>
      <c r="E500" s="4"/>
      <c r="F500" s="170">
        <v>19</v>
      </c>
      <c r="G500" s="170"/>
      <c r="H500" s="170"/>
      <c r="I500" s="170"/>
    </row>
    <row r="501" spans="1:9" x14ac:dyDescent="0.25">
      <c r="A501" s="2" t="str">
        <f t="shared" si="17"/>
        <v>1F4</v>
      </c>
      <c r="B501" s="3" t="str">
        <f t="shared" si="18"/>
        <v>00;</v>
      </c>
      <c r="C501" s="170">
        <v>0</v>
      </c>
      <c r="D501" s="170"/>
      <c r="E501" s="4"/>
      <c r="F501" s="170">
        <v>20</v>
      </c>
      <c r="G501" s="170"/>
      <c r="H501" s="170"/>
      <c r="I501" s="170"/>
    </row>
    <row r="502" spans="1:9" x14ac:dyDescent="0.25">
      <c r="A502" s="2" t="str">
        <f t="shared" si="17"/>
        <v>1F5</v>
      </c>
      <c r="B502" s="3" t="str">
        <f t="shared" si="18"/>
        <v>00;</v>
      </c>
      <c r="C502" s="170">
        <v>0</v>
      </c>
      <c r="D502" s="170"/>
      <c r="E502" s="4"/>
      <c r="F502" s="170">
        <v>21</v>
      </c>
      <c r="G502" s="170"/>
      <c r="H502" s="170"/>
      <c r="I502" s="170"/>
    </row>
    <row r="503" spans="1:9" x14ac:dyDescent="0.25">
      <c r="A503" s="2" t="str">
        <f t="shared" si="17"/>
        <v>1F6</v>
      </c>
      <c r="B503" s="3" t="str">
        <f t="shared" si="18"/>
        <v>00;</v>
      </c>
      <c r="C503" s="170">
        <v>0</v>
      </c>
      <c r="D503" s="170"/>
      <c r="E503" s="4"/>
      <c r="F503" s="170">
        <v>22</v>
      </c>
      <c r="G503" s="170"/>
      <c r="H503" s="170"/>
      <c r="I503" s="170"/>
    </row>
    <row r="504" spans="1:9" x14ac:dyDescent="0.25">
      <c r="A504" s="2" t="str">
        <f t="shared" si="17"/>
        <v>1F7</v>
      </c>
      <c r="B504" s="3" t="str">
        <f t="shared" si="18"/>
        <v>00;</v>
      </c>
      <c r="C504" s="170">
        <v>0</v>
      </c>
      <c r="D504" s="170"/>
      <c r="E504" s="4"/>
      <c r="F504" s="170">
        <v>23</v>
      </c>
      <c r="G504" s="170"/>
      <c r="H504" s="170"/>
      <c r="I504" s="170"/>
    </row>
    <row r="505" spans="1:9" x14ac:dyDescent="0.25">
      <c r="A505" s="2" t="str">
        <f t="shared" si="17"/>
        <v>1F8</v>
      </c>
      <c r="B505" s="3" t="str">
        <f t="shared" si="18"/>
        <v>00;</v>
      </c>
      <c r="C505" s="170">
        <v>0</v>
      </c>
      <c r="D505" s="170"/>
      <c r="E505" s="4"/>
      <c r="F505" s="170">
        <v>24</v>
      </c>
      <c r="G505" s="170"/>
      <c r="H505" s="170"/>
      <c r="I505" s="170"/>
    </row>
    <row r="506" spans="1:9" x14ac:dyDescent="0.25">
      <c r="A506" s="2" t="str">
        <f t="shared" si="17"/>
        <v>1F9</v>
      </c>
      <c r="B506" s="3" t="str">
        <f t="shared" si="18"/>
        <v>00;</v>
      </c>
      <c r="C506" s="170">
        <v>0</v>
      </c>
      <c r="D506" s="170"/>
      <c r="E506" s="4"/>
      <c r="F506" s="170">
        <v>25</v>
      </c>
      <c r="G506" s="170"/>
      <c r="H506" s="170"/>
      <c r="I506" s="170"/>
    </row>
    <row r="507" spans="1:9" x14ac:dyDescent="0.25">
      <c r="A507" s="2" t="str">
        <f t="shared" si="17"/>
        <v>1FA</v>
      </c>
      <c r="B507" s="3" t="str">
        <f t="shared" si="18"/>
        <v>00;</v>
      </c>
      <c r="C507" s="170">
        <v>0</v>
      </c>
      <c r="D507" s="170"/>
      <c r="E507" s="4"/>
      <c r="F507" s="170">
        <v>26</v>
      </c>
      <c r="G507" s="170"/>
      <c r="H507" s="170"/>
      <c r="I507" s="170"/>
    </row>
    <row r="508" spans="1:9" x14ac:dyDescent="0.25">
      <c r="A508" s="2" t="str">
        <f t="shared" si="17"/>
        <v>1FB</v>
      </c>
      <c r="B508" s="3" t="str">
        <f t="shared" si="18"/>
        <v>00;</v>
      </c>
      <c r="C508" s="170">
        <v>0</v>
      </c>
      <c r="D508" s="170"/>
      <c r="E508" s="4"/>
      <c r="F508" s="170">
        <v>27</v>
      </c>
      <c r="G508" s="170"/>
      <c r="H508" s="170"/>
      <c r="I508" s="170"/>
    </row>
    <row r="509" spans="1:9" x14ac:dyDescent="0.25">
      <c r="A509" s="2" t="str">
        <f t="shared" si="17"/>
        <v>1FC</v>
      </c>
      <c r="B509" s="3" t="str">
        <f t="shared" si="18"/>
        <v>00;</v>
      </c>
      <c r="C509" s="170">
        <v>0</v>
      </c>
      <c r="D509" s="170"/>
      <c r="E509" s="4"/>
      <c r="F509" s="170">
        <v>28</v>
      </c>
      <c r="G509" s="170"/>
      <c r="H509" s="170"/>
      <c r="I509" s="170"/>
    </row>
    <row r="510" spans="1:9" x14ac:dyDescent="0.25">
      <c r="A510" s="2" t="str">
        <f t="shared" si="17"/>
        <v>1FD</v>
      </c>
      <c r="B510" s="3" t="str">
        <f t="shared" si="18"/>
        <v>00;</v>
      </c>
      <c r="C510" s="170">
        <v>0</v>
      </c>
      <c r="D510" s="170"/>
      <c r="E510" s="4"/>
      <c r="F510" s="170">
        <v>29</v>
      </c>
      <c r="G510" s="170"/>
      <c r="H510" s="170"/>
      <c r="I510" s="170"/>
    </row>
    <row r="511" spans="1:9" x14ac:dyDescent="0.25">
      <c r="A511" s="2" t="str">
        <f t="shared" si="17"/>
        <v>1FE</v>
      </c>
      <c r="B511" s="3" t="str">
        <f t="shared" si="18"/>
        <v>00;</v>
      </c>
      <c r="C511" s="170">
        <v>0</v>
      </c>
      <c r="D511" s="170"/>
      <c r="E511" s="4"/>
      <c r="F511" s="170">
        <v>30</v>
      </c>
      <c r="G511" s="170"/>
      <c r="H511" s="170"/>
      <c r="I511" s="170"/>
    </row>
    <row r="512" spans="1:9" x14ac:dyDescent="0.25">
      <c r="A512" s="2" t="str">
        <f t="shared" si="17"/>
        <v>1FF</v>
      </c>
      <c r="B512" s="3" t="str">
        <f t="shared" si="18"/>
        <v>00;</v>
      </c>
      <c r="C512" s="170">
        <v>0</v>
      </c>
      <c r="D512" s="170"/>
      <c r="E512" s="4"/>
      <c r="F512" s="170">
        <v>31</v>
      </c>
      <c r="G512" s="170"/>
      <c r="H512" s="170"/>
      <c r="I512" s="21" t="s">
        <v>1158</v>
      </c>
    </row>
    <row r="513" spans="1:9" x14ac:dyDescent="0.25">
      <c r="A513" s="2" t="str">
        <f t="shared" si="17"/>
        <v>200</v>
      </c>
      <c r="B513" s="3" t="str">
        <f t="shared" si="18"/>
        <v>00;</v>
      </c>
      <c r="C513" s="170">
        <v>0</v>
      </c>
      <c r="D513" s="170"/>
      <c r="E513" s="4"/>
      <c r="F513" s="170"/>
      <c r="G513" s="170"/>
      <c r="H513" s="170"/>
      <c r="I513" s="21"/>
    </row>
    <row r="514" spans="1:9" x14ac:dyDescent="0.25">
      <c r="A514" s="2" t="str">
        <f t="shared" si="17"/>
        <v>201</v>
      </c>
      <c r="B514" s="3" t="str">
        <f t="shared" si="18"/>
        <v>00;</v>
      </c>
      <c r="C514" s="170">
        <v>0</v>
      </c>
      <c r="D514" s="170"/>
      <c r="E514" s="4"/>
      <c r="F514" s="170"/>
      <c r="G514" s="170"/>
      <c r="H514" s="170"/>
      <c r="I514" s="21"/>
    </row>
    <row r="515" spans="1:9" x14ac:dyDescent="0.25">
      <c r="A515" s="2" t="str">
        <f t="shared" si="17"/>
        <v>202</v>
      </c>
      <c r="B515" s="3" t="str">
        <f t="shared" si="18"/>
        <v>00;</v>
      </c>
      <c r="C515" s="170">
        <v>0</v>
      </c>
      <c r="D515" s="170"/>
      <c r="E515" s="4"/>
      <c r="F515" s="170"/>
      <c r="G515" s="170"/>
      <c r="H515" s="170"/>
      <c r="I515" s="21"/>
    </row>
    <row r="516" spans="1:9" x14ac:dyDescent="0.25">
      <c r="A516" s="2" t="str">
        <f t="shared" si="17"/>
        <v>203</v>
      </c>
      <c r="B516" s="3" t="str">
        <f t="shared" si="18"/>
        <v>00;</v>
      </c>
      <c r="C516" s="170">
        <v>0</v>
      </c>
      <c r="D516" s="170"/>
      <c r="E516" s="4"/>
      <c r="F516" s="170"/>
      <c r="G516" s="170"/>
      <c r="H516" s="170"/>
      <c r="I516" s="21"/>
    </row>
    <row r="517" spans="1:9" x14ac:dyDescent="0.25">
      <c r="A517" s="2" t="str">
        <f t="shared" si="17"/>
        <v>204</v>
      </c>
      <c r="B517" s="3" t="str">
        <f t="shared" si="18"/>
        <v>00;</v>
      </c>
      <c r="C517" s="170">
        <v>0</v>
      </c>
      <c r="D517" s="170"/>
      <c r="E517" s="4"/>
      <c r="F517" s="170"/>
      <c r="G517" s="170"/>
      <c r="H517" s="170"/>
      <c r="I517" s="21"/>
    </row>
    <row r="518" spans="1:9" x14ac:dyDescent="0.25">
      <c r="A518" s="2" t="str">
        <f t="shared" si="17"/>
        <v>205</v>
      </c>
      <c r="B518" s="3" t="str">
        <f t="shared" si="18"/>
        <v>00;</v>
      </c>
      <c r="C518" s="170">
        <v>0</v>
      </c>
      <c r="D518" s="170"/>
      <c r="E518" s="4"/>
      <c r="F518" s="170"/>
      <c r="G518" s="170"/>
      <c r="H518" s="170"/>
      <c r="I518" s="21"/>
    </row>
    <row r="519" spans="1:9" x14ac:dyDescent="0.25">
      <c r="A519" s="2" t="str">
        <f t="shared" si="17"/>
        <v>206</v>
      </c>
      <c r="B519" s="3" t="str">
        <f t="shared" si="18"/>
        <v>00;</v>
      </c>
      <c r="C519" s="170">
        <v>0</v>
      </c>
      <c r="D519" s="170"/>
      <c r="E519" s="4"/>
      <c r="F519" s="170"/>
      <c r="G519" s="170"/>
      <c r="H519" s="170"/>
      <c r="I519" s="21"/>
    </row>
    <row r="520" spans="1:9" x14ac:dyDescent="0.25">
      <c r="A520" s="2" t="str">
        <f t="shared" si="17"/>
        <v>207</v>
      </c>
      <c r="B520" s="3" t="str">
        <f t="shared" si="18"/>
        <v>00;</v>
      </c>
      <c r="C520" s="170">
        <v>0</v>
      </c>
      <c r="D520" s="170"/>
      <c r="E520" s="4"/>
      <c r="F520" s="170"/>
      <c r="G520" s="170"/>
      <c r="H520" s="170"/>
      <c r="I520" s="21"/>
    </row>
    <row r="521" spans="1:9" x14ac:dyDescent="0.25">
      <c r="A521" s="2" t="str">
        <f t="shared" ref="A521:A584" si="19">IF(ROW()-1&lt;16,CONCATENATE("0",DEC2HEX(ROW()-1)),DEC2HEX(ROW()-1))</f>
        <v>208</v>
      </c>
      <c r="B521" s="3" t="str">
        <f t="shared" si="18"/>
        <v>00;</v>
      </c>
      <c r="C521" s="170">
        <v>0</v>
      </c>
      <c r="D521" s="170"/>
      <c r="E521" s="4"/>
      <c r="F521" s="170"/>
      <c r="G521" s="170"/>
      <c r="H521" s="170"/>
      <c r="I521" s="21"/>
    </row>
    <row r="522" spans="1:9" x14ac:dyDescent="0.25">
      <c r="A522" s="2" t="str">
        <f t="shared" si="19"/>
        <v>209</v>
      </c>
      <c r="B522" s="3" t="str">
        <f t="shared" si="18"/>
        <v>00;</v>
      </c>
      <c r="C522" s="170">
        <v>0</v>
      </c>
      <c r="D522" s="170"/>
      <c r="E522" s="4"/>
      <c r="F522" s="170"/>
      <c r="G522" s="170"/>
      <c r="H522" s="170"/>
      <c r="I522" s="21"/>
    </row>
    <row r="523" spans="1:9" x14ac:dyDescent="0.25">
      <c r="A523" s="2" t="str">
        <f t="shared" si="19"/>
        <v>20A</v>
      </c>
      <c r="B523" s="3" t="str">
        <f t="shared" si="18"/>
        <v>00;</v>
      </c>
      <c r="C523" s="170">
        <v>0</v>
      </c>
      <c r="D523" s="170"/>
      <c r="E523" s="4"/>
      <c r="F523" s="170"/>
      <c r="G523" s="170"/>
      <c r="H523" s="170"/>
      <c r="I523" s="21"/>
    </row>
    <row r="524" spans="1:9" x14ac:dyDescent="0.25">
      <c r="A524" s="2" t="str">
        <f t="shared" si="19"/>
        <v>20B</v>
      </c>
      <c r="B524" s="3" t="str">
        <f t="shared" si="18"/>
        <v>00;</v>
      </c>
      <c r="C524" s="170">
        <v>0</v>
      </c>
      <c r="D524" s="170"/>
      <c r="E524" s="4"/>
      <c r="F524" s="170"/>
      <c r="G524" s="170"/>
      <c r="H524" s="170"/>
      <c r="I524" s="21"/>
    </row>
    <row r="525" spans="1:9" x14ac:dyDescent="0.25">
      <c r="A525" s="2" t="str">
        <f t="shared" si="19"/>
        <v>20C</v>
      </c>
      <c r="B525" s="3" t="str">
        <f t="shared" ref="B525:B588" si="20">IF(C525&lt;16,CONCATENATE("0",DEC2HEX(C525),";"),CONCATENATE(DEC2HEX(C525),";"))</f>
        <v>00;</v>
      </c>
      <c r="C525" s="170">
        <v>0</v>
      </c>
      <c r="D525" s="170"/>
      <c r="E525" s="4"/>
      <c r="F525" s="170"/>
      <c r="G525" s="170"/>
      <c r="H525" s="170"/>
      <c r="I525" s="21"/>
    </row>
    <row r="526" spans="1:9" x14ac:dyDescent="0.25">
      <c r="A526" s="2" t="str">
        <f t="shared" si="19"/>
        <v>20D</v>
      </c>
      <c r="B526" s="3" t="str">
        <f t="shared" si="20"/>
        <v>00;</v>
      </c>
      <c r="C526" s="170">
        <v>0</v>
      </c>
      <c r="D526" s="170"/>
      <c r="E526" s="4"/>
      <c r="F526" s="170"/>
      <c r="G526" s="170"/>
      <c r="H526" s="170"/>
      <c r="I526" s="21"/>
    </row>
    <row r="527" spans="1:9" x14ac:dyDescent="0.25">
      <c r="A527" s="2" t="str">
        <f t="shared" si="19"/>
        <v>20E</v>
      </c>
      <c r="B527" s="3" t="str">
        <f t="shared" si="20"/>
        <v>00;</v>
      </c>
      <c r="C527" s="170">
        <v>0</v>
      </c>
      <c r="D527" s="170"/>
      <c r="E527" s="4"/>
      <c r="F527" s="170"/>
      <c r="G527" s="170"/>
      <c r="H527" s="170"/>
      <c r="I527" s="21"/>
    </row>
    <row r="528" spans="1:9" x14ac:dyDescent="0.25">
      <c r="A528" s="2" t="str">
        <f t="shared" si="19"/>
        <v>20F</v>
      </c>
      <c r="B528" s="3" t="str">
        <f t="shared" si="20"/>
        <v>00;</v>
      </c>
      <c r="C528" s="170">
        <v>0</v>
      </c>
      <c r="D528" s="170"/>
      <c r="E528" s="4"/>
      <c r="F528" s="170"/>
      <c r="G528" s="170"/>
      <c r="H528" s="170"/>
      <c r="I528" s="21"/>
    </row>
    <row r="529" spans="1:9" x14ac:dyDescent="0.25">
      <c r="A529" s="2" t="str">
        <f t="shared" si="19"/>
        <v>210</v>
      </c>
      <c r="B529" s="3" t="str">
        <f t="shared" si="20"/>
        <v>00;</v>
      </c>
      <c r="C529" s="170">
        <v>0</v>
      </c>
      <c r="D529" s="170"/>
      <c r="E529" s="4"/>
      <c r="F529" s="170"/>
      <c r="G529" s="170"/>
      <c r="H529" s="170"/>
      <c r="I529" s="21"/>
    </row>
    <row r="530" spans="1:9" x14ac:dyDescent="0.25">
      <c r="A530" s="2" t="str">
        <f t="shared" si="19"/>
        <v>211</v>
      </c>
      <c r="B530" s="3" t="str">
        <f t="shared" si="20"/>
        <v>00;</v>
      </c>
      <c r="C530" s="170">
        <v>0</v>
      </c>
      <c r="D530" s="170"/>
      <c r="E530" s="4"/>
      <c r="F530" s="170"/>
      <c r="G530" s="170"/>
      <c r="H530" s="170"/>
      <c r="I530" s="21"/>
    </row>
    <row r="531" spans="1:9" x14ac:dyDescent="0.25">
      <c r="A531" s="2" t="str">
        <f t="shared" si="19"/>
        <v>212</v>
      </c>
      <c r="B531" s="3" t="str">
        <f t="shared" si="20"/>
        <v>00;</v>
      </c>
      <c r="C531" s="170">
        <v>0</v>
      </c>
      <c r="D531" s="170"/>
      <c r="E531" s="4"/>
      <c r="F531" s="170"/>
      <c r="G531" s="170"/>
      <c r="H531" s="170"/>
      <c r="I531" s="21"/>
    </row>
    <row r="532" spans="1:9" x14ac:dyDescent="0.25">
      <c r="A532" s="2" t="str">
        <f t="shared" si="19"/>
        <v>213</v>
      </c>
      <c r="B532" s="3" t="str">
        <f t="shared" si="20"/>
        <v>00;</v>
      </c>
      <c r="C532" s="170">
        <v>0</v>
      </c>
      <c r="D532" s="170"/>
      <c r="E532" s="4"/>
      <c r="F532" s="170"/>
      <c r="G532" s="170"/>
      <c r="H532" s="170"/>
      <c r="I532" s="21"/>
    </row>
    <row r="533" spans="1:9" x14ac:dyDescent="0.25">
      <c r="A533" s="2" t="str">
        <f t="shared" si="19"/>
        <v>214</v>
      </c>
      <c r="B533" s="3" t="str">
        <f t="shared" si="20"/>
        <v>00;</v>
      </c>
      <c r="C533" s="170">
        <v>0</v>
      </c>
      <c r="D533" s="170"/>
      <c r="E533" s="4"/>
      <c r="F533" s="170"/>
      <c r="G533" s="170"/>
      <c r="H533" s="170"/>
      <c r="I533" s="21"/>
    </row>
    <row r="534" spans="1:9" x14ac:dyDescent="0.25">
      <c r="A534" s="2" t="str">
        <f t="shared" si="19"/>
        <v>215</v>
      </c>
      <c r="B534" s="3" t="str">
        <f t="shared" si="20"/>
        <v>00;</v>
      </c>
      <c r="C534" s="170">
        <v>0</v>
      </c>
      <c r="D534" s="170"/>
      <c r="E534" s="4"/>
      <c r="F534" s="170"/>
      <c r="G534" s="170"/>
      <c r="H534" s="170"/>
      <c r="I534" s="21"/>
    </row>
    <row r="535" spans="1:9" x14ac:dyDescent="0.25">
      <c r="A535" s="2" t="str">
        <f t="shared" si="19"/>
        <v>216</v>
      </c>
      <c r="B535" s="3" t="str">
        <f t="shared" si="20"/>
        <v>00;</v>
      </c>
      <c r="C535" s="170">
        <v>0</v>
      </c>
      <c r="D535" s="170"/>
      <c r="E535" s="4"/>
      <c r="F535" s="170"/>
      <c r="G535" s="170"/>
      <c r="H535" s="170"/>
      <c r="I535" s="21"/>
    </row>
    <row r="536" spans="1:9" x14ac:dyDescent="0.25">
      <c r="A536" s="2" t="str">
        <f t="shared" si="19"/>
        <v>217</v>
      </c>
      <c r="B536" s="3" t="str">
        <f t="shared" si="20"/>
        <v>00;</v>
      </c>
      <c r="C536" s="170">
        <v>0</v>
      </c>
      <c r="D536" s="170"/>
      <c r="E536" s="4"/>
      <c r="F536" s="170"/>
      <c r="G536" s="170"/>
      <c r="H536" s="170"/>
      <c r="I536" s="21"/>
    </row>
    <row r="537" spans="1:9" x14ac:dyDescent="0.25">
      <c r="A537" s="2" t="str">
        <f t="shared" si="19"/>
        <v>218</v>
      </c>
      <c r="B537" s="3" t="str">
        <f t="shared" si="20"/>
        <v>00;</v>
      </c>
      <c r="C537" s="170">
        <v>0</v>
      </c>
      <c r="D537" s="170"/>
      <c r="E537" s="4"/>
      <c r="F537" s="170"/>
      <c r="G537" s="170"/>
      <c r="H537" s="170"/>
      <c r="I537" s="21"/>
    </row>
    <row r="538" spans="1:9" x14ac:dyDescent="0.25">
      <c r="A538" s="2" t="str">
        <f t="shared" si="19"/>
        <v>219</v>
      </c>
      <c r="B538" s="3" t="str">
        <f t="shared" si="20"/>
        <v>00;</v>
      </c>
      <c r="C538" s="170">
        <v>0</v>
      </c>
      <c r="D538" s="170"/>
      <c r="E538" s="4"/>
      <c r="F538" s="170"/>
      <c r="G538" s="170"/>
      <c r="H538" s="170"/>
      <c r="I538" s="21"/>
    </row>
    <row r="539" spans="1:9" x14ac:dyDescent="0.25">
      <c r="A539" s="2" t="str">
        <f t="shared" si="19"/>
        <v>21A</v>
      </c>
      <c r="B539" s="3" t="str">
        <f t="shared" si="20"/>
        <v>00;</v>
      </c>
      <c r="C539" s="170">
        <v>0</v>
      </c>
      <c r="D539" s="170"/>
      <c r="E539" s="4"/>
      <c r="F539" s="170"/>
      <c r="G539" s="170"/>
      <c r="H539" s="170"/>
      <c r="I539" s="21"/>
    </row>
    <row r="540" spans="1:9" x14ac:dyDescent="0.25">
      <c r="A540" s="2" t="str">
        <f t="shared" si="19"/>
        <v>21B</v>
      </c>
      <c r="B540" s="3" t="str">
        <f t="shared" si="20"/>
        <v>00;</v>
      </c>
      <c r="C540" s="170">
        <v>0</v>
      </c>
      <c r="D540" s="170"/>
      <c r="E540" s="4"/>
      <c r="F540" s="170"/>
      <c r="G540" s="170"/>
      <c r="H540" s="170"/>
      <c r="I540" s="21"/>
    </row>
    <row r="541" spans="1:9" x14ac:dyDescent="0.25">
      <c r="A541" s="2" t="str">
        <f t="shared" si="19"/>
        <v>21C</v>
      </c>
      <c r="B541" s="3" t="str">
        <f t="shared" si="20"/>
        <v>00;</v>
      </c>
      <c r="C541" s="170">
        <v>0</v>
      </c>
      <c r="D541" s="170"/>
      <c r="E541" s="4"/>
      <c r="F541" s="170"/>
      <c r="G541" s="170"/>
      <c r="H541" s="170"/>
      <c r="I541" s="21"/>
    </row>
    <row r="542" spans="1:9" x14ac:dyDescent="0.25">
      <c r="A542" s="2" t="str">
        <f t="shared" si="19"/>
        <v>21D</v>
      </c>
      <c r="B542" s="3" t="str">
        <f t="shared" si="20"/>
        <v>00;</v>
      </c>
      <c r="C542" s="170">
        <v>0</v>
      </c>
      <c r="D542" s="170"/>
      <c r="E542" s="4"/>
      <c r="F542" s="170"/>
      <c r="G542" s="170"/>
      <c r="H542" s="170"/>
      <c r="I542" s="21"/>
    </row>
    <row r="543" spans="1:9" x14ac:dyDescent="0.25">
      <c r="A543" s="2" t="str">
        <f t="shared" si="19"/>
        <v>21E</v>
      </c>
      <c r="B543" s="3" t="str">
        <f t="shared" si="20"/>
        <v>00;</v>
      </c>
      <c r="C543" s="170">
        <v>0</v>
      </c>
      <c r="D543" s="170"/>
      <c r="E543" s="4"/>
      <c r="F543" s="170"/>
      <c r="G543" s="170"/>
      <c r="H543" s="170"/>
      <c r="I543" s="21"/>
    </row>
    <row r="544" spans="1:9" x14ac:dyDescent="0.25">
      <c r="A544" s="2" t="str">
        <f t="shared" si="19"/>
        <v>21F</v>
      </c>
      <c r="B544" s="3" t="str">
        <f t="shared" si="20"/>
        <v>00;</v>
      </c>
      <c r="C544" s="170">
        <v>0</v>
      </c>
      <c r="D544" s="170"/>
      <c r="E544" s="4"/>
      <c r="F544" s="170"/>
      <c r="G544" s="170"/>
      <c r="H544" s="170"/>
      <c r="I544" s="21"/>
    </row>
    <row r="545" spans="1:9" x14ac:dyDescent="0.25">
      <c r="A545" s="2" t="str">
        <f t="shared" si="19"/>
        <v>220</v>
      </c>
      <c r="B545" s="3" t="str">
        <f t="shared" si="20"/>
        <v>00;</v>
      </c>
      <c r="C545" s="170">
        <v>0</v>
      </c>
      <c r="D545" s="170"/>
      <c r="E545" s="4"/>
      <c r="F545" s="170"/>
      <c r="G545" s="170"/>
      <c r="H545" s="170"/>
      <c r="I545" s="21"/>
    </row>
    <row r="546" spans="1:9" x14ac:dyDescent="0.25">
      <c r="A546" s="2" t="str">
        <f t="shared" si="19"/>
        <v>221</v>
      </c>
      <c r="B546" s="3" t="str">
        <f t="shared" si="20"/>
        <v>00;</v>
      </c>
      <c r="C546" s="170">
        <v>0</v>
      </c>
      <c r="D546" s="170"/>
      <c r="E546" s="4"/>
      <c r="F546" s="170"/>
      <c r="G546" s="170"/>
      <c r="H546" s="170"/>
      <c r="I546" s="21"/>
    </row>
    <row r="547" spans="1:9" x14ac:dyDescent="0.25">
      <c r="A547" s="2" t="str">
        <f t="shared" si="19"/>
        <v>222</v>
      </c>
      <c r="B547" s="3" t="str">
        <f t="shared" si="20"/>
        <v>00;</v>
      </c>
      <c r="C547" s="170">
        <v>0</v>
      </c>
      <c r="D547" s="170"/>
      <c r="E547" s="4"/>
      <c r="F547" s="170"/>
      <c r="G547" s="170"/>
      <c r="H547" s="170"/>
      <c r="I547" s="21"/>
    </row>
    <row r="548" spans="1:9" x14ac:dyDescent="0.25">
      <c r="A548" s="2" t="str">
        <f t="shared" si="19"/>
        <v>223</v>
      </c>
      <c r="B548" s="3" t="str">
        <f t="shared" si="20"/>
        <v>00;</v>
      </c>
      <c r="C548" s="170">
        <v>0</v>
      </c>
      <c r="D548" s="170"/>
      <c r="E548" s="4"/>
      <c r="F548" s="170"/>
      <c r="G548" s="170"/>
      <c r="H548" s="170"/>
      <c r="I548" s="21"/>
    </row>
    <row r="549" spans="1:9" x14ac:dyDescent="0.25">
      <c r="A549" s="2" t="str">
        <f t="shared" si="19"/>
        <v>224</v>
      </c>
      <c r="B549" s="3" t="str">
        <f t="shared" si="20"/>
        <v>00;</v>
      </c>
      <c r="C549" s="170">
        <v>0</v>
      </c>
      <c r="D549" s="170"/>
      <c r="E549" s="4"/>
      <c r="F549" s="170"/>
      <c r="G549" s="170"/>
      <c r="H549" s="170"/>
      <c r="I549" s="21"/>
    </row>
    <row r="550" spans="1:9" x14ac:dyDescent="0.25">
      <c r="A550" s="2" t="str">
        <f t="shared" si="19"/>
        <v>225</v>
      </c>
      <c r="B550" s="3" t="str">
        <f t="shared" si="20"/>
        <v>00;</v>
      </c>
      <c r="C550" s="170">
        <v>0</v>
      </c>
      <c r="D550" s="170"/>
      <c r="E550" s="4"/>
      <c r="F550" s="170"/>
      <c r="G550" s="170"/>
      <c r="H550" s="170"/>
      <c r="I550" s="21"/>
    </row>
    <row r="551" spans="1:9" x14ac:dyDescent="0.25">
      <c r="A551" s="2" t="str">
        <f t="shared" si="19"/>
        <v>226</v>
      </c>
      <c r="B551" s="3" t="str">
        <f t="shared" si="20"/>
        <v>00;</v>
      </c>
      <c r="C551" s="170">
        <v>0</v>
      </c>
      <c r="D551" s="170"/>
      <c r="E551" s="4"/>
      <c r="F551" s="170"/>
      <c r="G551" s="170"/>
      <c r="H551" s="170"/>
      <c r="I551" s="21"/>
    </row>
    <row r="552" spans="1:9" x14ac:dyDescent="0.25">
      <c r="A552" s="2" t="str">
        <f t="shared" si="19"/>
        <v>227</v>
      </c>
      <c r="B552" s="3" t="str">
        <f t="shared" si="20"/>
        <v>00;</v>
      </c>
      <c r="C552" s="170">
        <v>0</v>
      </c>
      <c r="D552" s="170"/>
      <c r="E552" s="4"/>
      <c r="F552" s="170"/>
      <c r="G552" s="170"/>
      <c r="H552" s="170"/>
      <c r="I552" s="21"/>
    </row>
    <row r="553" spans="1:9" x14ac:dyDescent="0.25">
      <c r="A553" s="2" t="str">
        <f t="shared" si="19"/>
        <v>228</v>
      </c>
      <c r="B553" s="3" t="str">
        <f t="shared" si="20"/>
        <v>00;</v>
      </c>
      <c r="C553" s="170">
        <v>0</v>
      </c>
      <c r="D553" s="170"/>
      <c r="E553" s="4"/>
      <c r="F553" s="170"/>
      <c r="G553" s="170"/>
      <c r="H553" s="170"/>
      <c r="I553" s="21"/>
    </row>
    <row r="554" spans="1:9" x14ac:dyDescent="0.25">
      <c r="A554" s="2" t="str">
        <f t="shared" si="19"/>
        <v>229</v>
      </c>
      <c r="B554" s="3" t="str">
        <f t="shared" si="20"/>
        <v>00;</v>
      </c>
      <c r="C554" s="170">
        <v>0</v>
      </c>
      <c r="D554" s="170"/>
      <c r="E554" s="4"/>
      <c r="F554" s="170"/>
      <c r="G554" s="170"/>
      <c r="H554" s="170"/>
      <c r="I554" s="21"/>
    </row>
    <row r="555" spans="1:9" x14ac:dyDescent="0.25">
      <c r="A555" s="2" t="str">
        <f t="shared" si="19"/>
        <v>22A</v>
      </c>
      <c r="B555" s="3" t="str">
        <f t="shared" si="20"/>
        <v>00;</v>
      </c>
      <c r="C555" s="170">
        <v>0</v>
      </c>
      <c r="D555" s="170"/>
      <c r="E555" s="4"/>
      <c r="F555" s="170"/>
      <c r="G555" s="170"/>
      <c r="H555" s="170"/>
      <c r="I555" s="21"/>
    </row>
    <row r="556" spans="1:9" x14ac:dyDescent="0.25">
      <c r="A556" s="2" t="str">
        <f t="shared" si="19"/>
        <v>22B</v>
      </c>
      <c r="B556" s="3" t="str">
        <f t="shared" si="20"/>
        <v>00;</v>
      </c>
      <c r="C556" s="170">
        <v>0</v>
      </c>
      <c r="D556" s="170"/>
      <c r="E556" s="4"/>
      <c r="F556" s="170"/>
      <c r="G556" s="170"/>
      <c r="H556" s="170"/>
      <c r="I556" s="21"/>
    </row>
    <row r="557" spans="1:9" x14ac:dyDescent="0.25">
      <c r="A557" s="2" t="str">
        <f t="shared" si="19"/>
        <v>22C</v>
      </c>
      <c r="B557" s="3" t="str">
        <f t="shared" si="20"/>
        <v>00;</v>
      </c>
      <c r="C557" s="170">
        <v>0</v>
      </c>
      <c r="D557" s="170"/>
      <c r="E557" s="4"/>
      <c r="F557" s="170"/>
      <c r="G557" s="170"/>
      <c r="H557" s="170"/>
      <c r="I557" s="21"/>
    </row>
    <row r="558" spans="1:9" x14ac:dyDescent="0.25">
      <c r="A558" s="2" t="str">
        <f t="shared" si="19"/>
        <v>22D</v>
      </c>
      <c r="B558" s="3" t="str">
        <f t="shared" si="20"/>
        <v>00;</v>
      </c>
      <c r="C558" s="170">
        <v>0</v>
      </c>
      <c r="D558" s="170"/>
      <c r="E558" s="4"/>
      <c r="F558" s="170"/>
      <c r="G558" s="170"/>
      <c r="H558" s="170"/>
      <c r="I558" s="21"/>
    </row>
    <row r="559" spans="1:9" x14ac:dyDescent="0.25">
      <c r="A559" s="2" t="str">
        <f t="shared" si="19"/>
        <v>22E</v>
      </c>
      <c r="B559" s="3" t="str">
        <f t="shared" si="20"/>
        <v>00;</v>
      </c>
      <c r="C559" s="170">
        <v>0</v>
      </c>
      <c r="D559" s="170"/>
      <c r="E559" s="4"/>
      <c r="F559" s="170"/>
      <c r="G559" s="170"/>
      <c r="H559" s="170"/>
      <c r="I559" s="21"/>
    </row>
    <row r="560" spans="1:9" x14ac:dyDescent="0.25">
      <c r="A560" s="2" t="str">
        <f t="shared" si="19"/>
        <v>22F</v>
      </c>
      <c r="B560" s="3" t="str">
        <f t="shared" si="20"/>
        <v>00;</v>
      </c>
      <c r="C560" s="170">
        <v>0</v>
      </c>
      <c r="D560" s="170"/>
      <c r="E560" s="4"/>
      <c r="F560" s="170"/>
      <c r="G560" s="170"/>
      <c r="H560" s="170"/>
      <c r="I560" s="21"/>
    </row>
    <row r="561" spans="1:9" x14ac:dyDescent="0.25">
      <c r="A561" s="2" t="str">
        <f t="shared" si="19"/>
        <v>230</v>
      </c>
      <c r="B561" s="3" t="str">
        <f t="shared" si="20"/>
        <v>00;</v>
      </c>
      <c r="C561" s="170">
        <v>0</v>
      </c>
      <c r="D561" s="170"/>
      <c r="E561" s="4"/>
      <c r="F561" s="170"/>
      <c r="G561" s="170"/>
      <c r="H561" s="170"/>
      <c r="I561" s="21"/>
    </row>
    <row r="562" spans="1:9" x14ac:dyDescent="0.25">
      <c r="A562" s="2" t="str">
        <f t="shared" si="19"/>
        <v>231</v>
      </c>
      <c r="B562" s="3" t="str">
        <f t="shared" si="20"/>
        <v>00;</v>
      </c>
      <c r="C562" s="170">
        <v>0</v>
      </c>
      <c r="D562" s="170"/>
      <c r="E562" s="4"/>
      <c r="F562" s="170"/>
      <c r="G562" s="170"/>
      <c r="H562" s="170"/>
      <c r="I562" s="21"/>
    </row>
    <row r="563" spans="1:9" x14ac:dyDescent="0.25">
      <c r="A563" s="2" t="str">
        <f t="shared" si="19"/>
        <v>232</v>
      </c>
      <c r="B563" s="3" t="str">
        <f t="shared" si="20"/>
        <v>00;</v>
      </c>
      <c r="C563" s="170">
        <v>0</v>
      </c>
      <c r="D563" s="170"/>
      <c r="E563" s="4"/>
      <c r="F563" s="170"/>
      <c r="G563" s="170"/>
      <c r="H563" s="170"/>
      <c r="I563" s="21"/>
    </row>
    <row r="564" spans="1:9" x14ac:dyDescent="0.25">
      <c r="A564" s="2" t="str">
        <f t="shared" si="19"/>
        <v>233</v>
      </c>
      <c r="B564" s="3" t="str">
        <f t="shared" si="20"/>
        <v>00;</v>
      </c>
      <c r="C564" s="170">
        <v>0</v>
      </c>
      <c r="D564" s="170"/>
      <c r="E564" s="4"/>
      <c r="F564" s="170"/>
      <c r="G564" s="170"/>
      <c r="H564" s="170"/>
      <c r="I564" s="21"/>
    </row>
    <row r="565" spans="1:9" x14ac:dyDescent="0.25">
      <c r="A565" s="2" t="str">
        <f t="shared" si="19"/>
        <v>234</v>
      </c>
      <c r="B565" s="3" t="str">
        <f t="shared" si="20"/>
        <v>00;</v>
      </c>
      <c r="C565" s="170">
        <v>0</v>
      </c>
      <c r="D565" s="170"/>
      <c r="E565" s="4"/>
      <c r="F565" s="170"/>
      <c r="G565" s="170"/>
      <c r="H565" s="170"/>
      <c r="I565" s="21"/>
    </row>
    <row r="566" spans="1:9" x14ac:dyDescent="0.25">
      <c r="A566" s="2" t="str">
        <f t="shared" si="19"/>
        <v>235</v>
      </c>
      <c r="B566" s="3" t="str">
        <f t="shared" si="20"/>
        <v>00;</v>
      </c>
      <c r="C566" s="170">
        <v>0</v>
      </c>
      <c r="D566" s="170"/>
      <c r="E566" s="4"/>
      <c r="F566" s="170"/>
      <c r="G566" s="170"/>
      <c r="H566" s="170"/>
      <c r="I566" s="21"/>
    </row>
    <row r="567" spans="1:9" x14ac:dyDescent="0.25">
      <c r="A567" s="2" t="str">
        <f t="shared" si="19"/>
        <v>236</v>
      </c>
      <c r="B567" s="3" t="str">
        <f t="shared" si="20"/>
        <v>00;</v>
      </c>
      <c r="C567" s="170">
        <v>0</v>
      </c>
      <c r="D567" s="170"/>
      <c r="E567" s="4"/>
      <c r="F567" s="170"/>
      <c r="G567" s="170"/>
      <c r="H567" s="170"/>
      <c r="I567" s="21"/>
    </row>
    <row r="568" spans="1:9" x14ac:dyDescent="0.25">
      <c r="A568" s="2" t="str">
        <f t="shared" si="19"/>
        <v>237</v>
      </c>
      <c r="B568" s="3" t="str">
        <f t="shared" si="20"/>
        <v>00;</v>
      </c>
      <c r="C568" s="170">
        <v>0</v>
      </c>
      <c r="D568" s="170"/>
      <c r="E568" s="4"/>
      <c r="F568" s="170"/>
      <c r="G568" s="170"/>
      <c r="H568" s="170"/>
      <c r="I568" s="21"/>
    </row>
    <row r="569" spans="1:9" x14ac:dyDescent="0.25">
      <c r="A569" s="2" t="str">
        <f t="shared" si="19"/>
        <v>238</v>
      </c>
      <c r="B569" s="3" t="str">
        <f t="shared" si="20"/>
        <v>00;</v>
      </c>
      <c r="C569" s="170">
        <v>0</v>
      </c>
      <c r="D569" s="170"/>
      <c r="E569" s="4"/>
      <c r="F569" s="170"/>
      <c r="G569" s="170"/>
      <c r="H569" s="170"/>
      <c r="I569" s="21"/>
    </row>
    <row r="570" spans="1:9" x14ac:dyDescent="0.25">
      <c r="A570" s="2" t="str">
        <f t="shared" si="19"/>
        <v>239</v>
      </c>
      <c r="B570" s="3" t="str">
        <f t="shared" si="20"/>
        <v>00;</v>
      </c>
      <c r="C570" s="170">
        <v>0</v>
      </c>
      <c r="D570" s="170"/>
      <c r="E570" s="4"/>
      <c r="F570" s="170"/>
      <c r="G570" s="170"/>
      <c r="H570" s="170"/>
      <c r="I570" s="21"/>
    </row>
    <row r="571" spans="1:9" x14ac:dyDescent="0.25">
      <c r="A571" s="2" t="str">
        <f t="shared" si="19"/>
        <v>23A</v>
      </c>
      <c r="B571" s="3" t="str">
        <f t="shared" si="20"/>
        <v>00;</v>
      </c>
      <c r="C571" s="170">
        <v>0</v>
      </c>
      <c r="D571" s="170"/>
      <c r="E571" s="4"/>
      <c r="F571" s="170"/>
      <c r="G571" s="170"/>
      <c r="H571" s="170"/>
      <c r="I571" s="21"/>
    </row>
    <row r="572" spans="1:9" x14ac:dyDescent="0.25">
      <c r="A572" s="2" t="str">
        <f t="shared" si="19"/>
        <v>23B</v>
      </c>
      <c r="B572" s="3" t="str">
        <f t="shared" si="20"/>
        <v>00;</v>
      </c>
      <c r="C572" s="170">
        <v>0</v>
      </c>
      <c r="D572" s="170"/>
      <c r="E572" s="4"/>
      <c r="F572" s="170"/>
      <c r="G572" s="170"/>
      <c r="H572" s="170"/>
      <c r="I572" s="21"/>
    </row>
    <row r="573" spans="1:9" x14ac:dyDescent="0.25">
      <c r="A573" s="2" t="str">
        <f t="shared" si="19"/>
        <v>23C</v>
      </c>
      <c r="B573" s="3" t="str">
        <f t="shared" si="20"/>
        <v>00;</v>
      </c>
      <c r="C573" s="170">
        <v>0</v>
      </c>
      <c r="D573" s="170"/>
      <c r="E573" s="4"/>
      <c r="F573" s="170"/>
      <c r="G573" s="170"/>
      <c r="H573" s="170"/>
      <c r="I573" s="21"/>
    </row>
    <row r="574" spans="1:9" x14ac:dyDescent="0.25">
      <c r="A574" s="2" t="str">
        <f t="shared" si="19"/>
        <v>23D</v>
      </c>
      <c r="B574" s="3" t="str">
        <f t="shared" si="20"/>
        <v>00;</v>
      </c>
      <c r="C574" s="170">
        <v>0</v>
      </c>
      <c r="D574" s="170"/>
      <c r="E574" s="4"/>
      <c r="F574" s="170"/>
      <c r="G574" s="170"/>
      <c r="H574" s="170"/>
      <c r="I574" s="21"/>
    </row>
    <row r="575" spans="1:9" x14ac:dyDescent="0.25">
      <c r="A575" s="2" t="str">
        <f t="shared" si="19"/>
        <v>23E</v>
      </c>
      <c r="B575" s="3" t="str">
        <f t="shared" si="20"/>
        <v>00;</v>
      </c>
      <c r="C575" s="170">
        <v>0</v>
      </c>
      <c r="D575" s="170"/>
      <c r="E575" s="4"/>
      <c r="F575" s="170"/>
      <c r="G575" s="170"/>
      <c r="H575" s="170"/>
      <c r="I575" s="21"/>
    </row>
    <row r="576" spans="1:9" x14ac:dyDescent="0.25">
      <c r="A576" s="2" t="str">
        <f t="shared" si="19"/>
        <v>23F</v>
      </c>
      <c r="B576" s="3" t="str">
        <f t="shared" si="20"/>
        <v>00;</v>
      </c>
      <c r="C576" s="170">
        <v>0</v>
      </c>
      <c r="D576" s="170"/>
      <c r="E576" s="4"/>
      <c r="F576" s="170"/>
      <c r="G576" s="170"/>
      <c r="H576" s="170"/>
      <c r="I576" s="21"/>
    </row>
    <row r="577" spans="1:9" x14ac:dyDescent="0.25">
      <c r="A577" s="2" t="str">
        <f t="shared" si="19"/>
        <v>240</v>
      </c>
      <c r="B577" s="3" t="str">
        <f t="shared" si="20"/>
        <v>00;</v>
      </c>
      <c r="C577" s="170">
        <v>0</v>
      </c>
      <c r="D577" s="170"/>
      <c r="E577" s="4"/>
      <c r="F577" s="170"/>
      <c r="G577" s="170"/>
      <c r="H577" s="170"/>
      <c r="I577" s="21"/>
    </row>
    <row r="578" spans="1:9" x14ac:dyDescent="0.25">
      <c r="A578" s="2" t="str">
        <f t="shared" si="19"/>
        <v>241</v>
      </c>
      <c r="B578" s="3" t="str">
        <f t="shared" si="20"/>
        <v>00;</v>
      </c>
      <c r="C578" s="170">
        <v>0</v>
      </c>
      <c r="D578" s="170"/>
      <c r="E578" s="4"/>
      <c r="F578" s="170"/>
      <c r="G578" s="170"/>
      <c r="H578" s="170"/>
      <c r="I578" s="21"/>
    </row>
    <row r="579" spans="1:9" x14ac:dyDescent="0.25">
      <c r="A579" s="2" t="str">
        <f t="shared" si="19"/>
        <v>242</v>
      </c>
      <c r="B579" s="3" t="str">
        <f t="shared" si="20"/>
        <v>00;</v>
      </c>
      <c r="C579" s="170">
        <v>0</v>
      </c>
      <c r="D579" s="170"/>
      <c r="E579" s="4"/>
      <c r="F579" s="170"/>
      <c r="G579" s="170"/>
      <c r="H579" s="170"/>
      <c r="I579" s="21"/>
    </row>
    <row r="580" spans="1:9" x14ac:dyDescent="0.25">
      <c r="A580" s="2" t="str">
        <f t="shared" si="19"/>
        <v>243</v>
      </c>
      <c r="B580" s="3" t="str">
        <f t="shared" si="20"/>
        <v>00;</v>
      </c>
      <c r="C580" s="170">
        <v>0</v>
      </c>
      <c r="D580" s="170"/>
      <c r="E580" s="4"/>
      <c r="F580" s="170"/>
      <c r="G580" s="170"/>
      <c r="H580" s="170"/>
      <c r="I580" s="21"/>
    </row>
    <row r="581" spans="1:9" x14ac:dyDescent="0.25">
      <c r="A581" s="2" t="str">
        <f t="shared" si="19"/>
        <v>244</v>
      </c>
      <c r="B581" s="3" t="str">
        <f t="shared" si="20"/>
        <v>00;</v>
      </c>
      <c r="C581" s="170">
        <v>0</v>
      </c>
      <c r="D581" s="170"/>
      <c r="E581" s="4"/>
      <c r="F581" s="170"/>
      <c r="G581" s="170"/>
      <c r="H581" s="170"/>
      <c r="I581" s="21"/>
    </row>
    <row r="582" spans="1:9" x14ac:dyDescent="0.25">
      <c r="A582" s="2" t="str">
        <f t="shared" si="19"/>
        <v>245</v>
      </c>
      <c r="B582" s="3" t="str">
        <f t="shared" si="20"/>
        <v>00;</v>
      </c>
      <c r="C582" s="170">
        <v>0</v>
      </c>
      <c r="D582" s="170"/>
      <c r="E582" s="4"/>
      <c r="F582" s="170"/>
      <c r="G582" s="170"/>
      <c r="H582" s="170"/>
      <c r="I582" s="21"/>
    </row>
    <row r="583" spans="1:9" x14ac:dyDescent="0.25">
      <c r="A583" s="2" t="str">
        <f t="shared" si="19"/>
        <v>246</v>
      </c>
      <c r="B583" s="3" t="str">
        <f t="shared" si="20"/>
        <v>00;</v>
      </c>
      <c r="C583" s="170">
        <v>0</v>
      </c>
      <c r="D583" s="170"/>
      <c r="E583" s="4"/>
      <c r="F583" s="170"/>
      <c r="G583" s="170"/>
      <c r="H583" s="170"/>
      <c r="I583" s="21"/>
    </row>
    <row r="584" spans="1:9" x14ac:dyDescent="0.25">
      <c r="A584" s="2" t="str">
        <f t="shared" si="19"/>
        <v>247</v>
      </c>
      <c r="B584" s="3" t="str">
        <f t="shared" si="20"/>
        <v>00;</v>
      </c>
      <c r="C584" s="170">
        <v>0</v>
      </c>
      <c r="D584" s="170"/>
      <c r="E584" s="4"/>
      <c r="F584" s="170"/>
      <c r="G584" s="170"/>
      <c r="H584" s="170"/>
      <c r="I584" s="21"/>
    </row>
    <row r="585" spans="1:9" x14ac:dyDescent="0.25">
      <c r="A585" s="2" t="str">
        <f t="shared" ref="A585:A648" si="21">IF(ROW()-1&lt;16,CONCATENATE("0",DEC2HEX(ROW()-1)),DEC2HEX(ROW()-1))</f>
        <v>248</v>
      </c>
      <c r="B585" s="3" t="str">
        <f t="shared" si="20"/>
        <v>00;</v>
      </c>
      <c r="C585" s="170">
        <v>0</v>
      </c>
      <c r="D585" s="170"/>
      <c r="E585" s="4"/>
      <c r="F585" s="170"/>
      <c r="G585" s="170"/>
      <c r="H585" s="170"/>
      <c r="I585" s="21"/>
    </row>
    <row r="586" spans="1:9" x14ac:dyDescent="0.25">
      <c r="A586" s="2" t="str">
        <f t="shared" si="21"/>
        <v>249</v>
      </c>
      <c r="B586" s="3" t="str">
        <f t="shared" si="20"/>
        <v>00;</v>
      </c>
      <c r="C586" s="170">
        <v>0</v>
      </c>
      <c r="D586" s="170"/>
      <c r="E586" s="4"/>
      <c r="F586" s="170"/>
      <c r="G586" s="170"/>
      <c r="H586" s="170"/>
      <c r="I586" s="21"/>
    </row>
    <row r="587" spans="1:9" x14ac:dyDescent="0.25">
      <c r="A587" s="2" t="str">
        <f t="shared" si="21"/>
        <v>24A</v>
      </c>
      <c r="B587" s="3" t="str">
        <f t="shared" si="20"/>
        <v>00;</v>
      </c>
      <c r="C587" s="170">
        <v>0</v>
      </c>
      <c r="D587" s="170"/>
      <c r="E587" s="4"/>
      <c r="F587" s="170"/>
      <c r="G587" s="170"/>
      <c r="H587" s="170"/>
      <c r="I587" s="21"/>
    </row>
    <row r="588" spans="1:9" x14ac:dyDescent="0.25">
      <c r="A588" s="2" t="str">
        <f t="shared" si="21"/>
        <v>24B</v>
      </c>
      <c r="B588" s="3" t="str">
        <f t="shared" si="20"/>
        <v>00;</v>
      </c>
      <c r="C588" s="170">
        <v>0</v>
      </c>
      <c r="D588" s="170"/>
      <c r="E588" s="4"/>
      <c r="F588" s="170"/>
      <c r="G588" s="170"/>
      <c r="H588" s="170"/>
      <c r="I588" s="21"/>
    </row>
    <row r="589" spans="1:9" x14ac:dyDescent="0.25">
      <c r="A589" s="2" t="str">
        <f t="shared" si="21"/>
        <v>24C</v>
      </c>
      <c r="B589" s="3" t="str">
        <f t="shared" ref="B589:B652" si="22">IF(C589&lt;16,CONCATENATE("0",DEC2HEX(C589),";"),CONCATENATE(DEC2HEX(C589),";"))</f>
        <v>00;</v>
      </c>
      <c r="C589" s="170">
        <v>0</v>
      </c>
      <c r="D589" s="170"/>
      <c r="E589" s="4"/>
      <c r="F589" s="170"/>
      <c r="G589" s="170"/>
      <c r="H589" s="170"/>
      <c r="I589" s="21"/>
    </row>
    <row r="590" spans="1:9" x14ac:dyDescent="0.25">
      <c r="A590" s="2" t="str">
        <f t="shared" si="21"/>
        <v>24D</v>
      </c>
      <c r="B590" s="3" t="str">
        <f t="shared" si="22"/>
        <v>00;</v>
      </c>
      <c r="C590" s="170">
        <v>0</v>
      </c>
      <c r="D590" s="170"/>
      <c r="E590" s="4"/>
      <c r="F590" s="170"/>
      <c r="G590" s="170"/>
      <c r="H590" s="170"/>
      <c r="I590" s="21"/>
    </row>
    <row r="591" spans="1:9" x14ac:dyDescent="0.25">
      <c r="A591" s="2" t="str">
        <f t="shared" si="21"/>
        <v>24E</v>
      </c>
      <c r="B591" s="3" t="str">
        <f t="shared" si="22"/>
        <v>00;</v>
      </c>
      <c r="C591" s="170">
        <v>0</v>
      </c>
      <c r="D591" s="170"/>
      <c r="E591" s="4"/>
      <c r="F591" s="170"/>
      <c r="G591" s="170"/>
      <c r="H591" s="170"/>
      <c r="I591" s="21"/>
    </row>
    <row r="592" spans="1:9" x14ac:dyDescent="0.25">
      <c r="A592" s="2" t="str">
        <f t="shared" si="21"/>
        <v>24F</v>
      </c>
      <c r="B592" s="3" t="str">
        <f t="shared" si="22"/>
        <v>00;</v>
      </c>
      <c r="C592" s="170">
        <v>0</v>
      </c>
      <c r="D592" s="170"/>
      <c r="E592" s="4"/>
      <c r="F592" s="170"/>
      <c r="G592" s="170"/>
      <c r="H592" s="170"/>
      <c r="I592" s="21"/>
    </row>
    <row r="593" spans="1:9" x14ac:dyDescent="0.25">
      <c r="A593" s="2" t="str">
        <f t="shared" si="21"/>
        <v>250</v>
      </c>
      <c r="B593" s="3" t="str">
        <f t="shared" si="22"/>
        <v>00;</v>
      </c>
      <c r="C593" s="170">
        <v>0</v>
      </c>
      <c r="D593" s="170"/>
      <c r="E593" s="4"/>
      <c r="F593" s="170"/>
      <c r="G593" s="170"/>
      <c r="H593" s="170"/>
      <c r="I593" s="21"/>
    </row>
    <row r="594" spans="1:9" x14ac:dyDescent="0.25">
      <c r="A594" s="2" t="str">
        <f t="shared" si="21"/>
        <v>251</v>
      </c>
      <c r="B594" s="3" t="str">
        <f t="shared" si="22"/>
        <v>00;</v>
      </c>
      <c r="C594" s="170">
        <v>0</v>
      </c>
      <c r="D594" s="170"/>
      <c r="E594" s="4"/>
      <c r="F594" s="170"/>
      <c r="G594" s="170"/>
      <c r="H594" s="170"/>
      <c r="I594" s="21"/>
    </row>
    <row r="595" spans="1:9" x14ac:dyDescent="0.25">
      <c r="A595" s="2" t="str">
        <f t="shared" si="21"/>
        <v>252</v>
      </c>
      <c r="B595" s="3" t="str">
        <f t="shared" si="22"/>
        <v>00;</v>
      </c>
      <c r="C595" s="170">
        <v>0</v>
      </c>
      <c r="D595" s="170"/>
      <c r="E595" s="4"/>
      <c r="F595" s="170"/>
      <c r="G595" s="170"/>
      <c r="H595" s="170"/>
      <c r="I595" s="21"/>
    </row>
    <row r="596" spans="1:9" x14ac:dyDescent="0.25">
      <c r="A596" s="2" t="str">
        <f t="shared" si="21"/>
        <v>253</v>
      </c>
      <c r="B596" s="3" t="str">
        <f t="shared" si="22"/>
        <v>00;</v>
      </c>
      <c r="C596" s="170">
        <v>0</v>
      </c>
      <c r="D596" s="170"/>
      <c r="E596" s="4"/>
      <c r="F596" s="170"/>
      <c r="G596" s="170"/>
      <c r="H596" s="170"/>
      <c r="I596" s="21"/>
    </row>
    <row r="597" spans="1:9" x14ac:dyDescent="0.25">
      <c r="A597" s="2" t="str">
        <f t="shared" si="21"/>
        <v>254</v>
      </c>
      <c r="B597" s="3" t="str">
        <f t="shared" si="22"/>
        <v>00;</v>
      </c>
      <c r="C597" s="170">
        <v>0</v>
      </c>
      <c r="D597" s="170"/>
      <c r="E597" s="4"/>
      <c r="F597" s="170"/>
      <c r="G597" s="170"/>
      <c r="H597" s="170"/>
      <c r="I597" s="21"/>
    </row>
    <row r="598" spans="1:9" x14ac:dyDescent="0.25">
      <c r="A598" s="2" t="str">
        <f t="shared" si="21"/>
        <v>255</v>
      </c>
      <c r="B598" s="3" t="str">
        <f t="shared" si="22"/>
        <v>00;</v>
      </c>
      <c r="C598" s="170">
        <v>0</v>
      </c>
      <c r="D598" s="170"/>
      <c r="E598" s="4"/>
      <c r="F598" s="170"/>
      <c r="G598" s="170"/>
      <c r="H598" s="170"/>
      <c r="I598" s="21"/>
    </row>
    <row r="599" spans="1:9" x14ac:dyDescent="0.25">
      <c r="A599" s="2" t="str">
        <f t="shared" si="21"/>
        <v>256</v>
      </c>
      <c r="B599" s="3" t="str">
        <f t="shared" si="22"/>
        <v>00;</v>
      </c>
      <c r="C599" s="170">
        <v>0</v>
      </c>
      <c r="D599" s="170"/>
      <c r="E599" s="4"/>
      <c r="F599" s="170"/>
      <c r="G599" s="170"/>
      <c r="H599" s="170"/>
      <c r="I599" s="21"/>
    </row>
    <row r="600" spans="1:9" x14ac:dyDescent="0.25">
      <c r="A600" s="2" t="str">
        <f t="shared" si="21"/>
        <v>257</v>
      </c>
      <c r="B600" s="3" t="str">
        <f t="shared" si="22"/>
        <v>00;</v>
      </c>
      <c r="C600" s="170">
        <v>0</v>
      </c>
      <c r="D600" s="170"/>
      <c r="E600" s="4"/>
      <c r="F600" s="170"/>
      <c r="G600" s="170"/>
      <c r="H600" s="170"/>
      <c r="I600" s="21"/>
    </row>
    <row r="601" spans="1:9" x14ac:dyDescent="0.25">
      <c r="A601" s="2" t="str">
        <f t="shared" si="21"/>
        <v>258</v>
      </c>
      <c r="B601" s="3" t="str">
        <f t="shared" si="22"/>
        <v>00;</v>
      </c>
      <c r="C601" s="170">
        <v>0</v>
      </c>
      <c r="D601" s="170"/>
      <c r="E601" s="4"/>
      <c r="F601" s="170"/>
      <c r="G601" s="170"/>
      <c r="H601" s="170"/>
      <c r="I601" s="21"/>
    </row>
    <row r="602" spans="1:9" x14ac:dyDescent="0.25">
      <c r="A602" s="2" t="str">
        <f t="shared" si="21"/>
        <v>259</v>
      </c>
      <c r="B602" s="3" t="str">
        <f t="shared" si="22"/>
        <v>00;</v>
      </c>
      <c r="C602" s="170">
        <v>0</v>
      </c>
      <c r="D602" s="170"/>
      <c r="E602" s="4"/>
      <c r="F602" s="170"/>
      <c r="G602" s="170"/>
      <c r="H602" s="170"/>
      <c r="I602" s="21"/>
    </row>
    <row r="603" spans="1:9" x14ac:dyDescent="0.25">
      <c r="A603" s="2" t="str">
        <f t="shared" si="21"/>
        <v>25A</v>
      </c>
      <c r="B603" s="3" t="str">
        <f t="shared" si="22"/>
        <v>00;</v>
      </c>
      <c r="C603" s="170">
        <v>0</v>
      </c>
      <c r="D603" s="170"/>
      <c r="E603" s="4"/>
      <c r="F603" s="170"/>
      <c r="G603" s="170"/>
      <c r="H603" s="170"/>
      <c r="I603" s="21"/>
    </row>
    <row r="604" spans="1:9" x14ac:dyDescent="0.25">
      <c r="A604" s="2" t="str">
        <f t="shared" si="21"/>
        <v>25B</v>
      </c>
      <c r="B604" s="3" t="str">
        <f t="shared" si="22"/>
        <v>00;</v>
      </c>
      <c r="C604" s="170">
        <v>0</v>
      </c>
      <c r="D604" s="170"/>
      <c r="E604" s="4"/>
      <c r="F604" s="170"/>
      <c r="G604" s="170"/>
      <c r="H604" s="170"/>
      <c r="I604" s="21"/>
    </row>
    <row r="605" spans="1:9" x14ac:dyDescent="0.25">
      <c r="A605" s="2" t="str">
        <f t="shared" si="21"/>
        <v>25C</v>
      </c>
      <c r="B605" s="3" t="str">
        <f t="shared" si="22"/>
        <v>00;</v>
      </c>
      <c r="C605" s="170">
        <v>0</v>
      </c>
      <c r="D605" s="170"/>
      <c r="E605" s="4"/>
      <c r="F605" s="170"/>
      <c r="G605" s="170"/>
      <c r="H605" s="170"/>
      <c r="I605" s="21"/>
    </row>
    <row r="606" spans="1:9" x14ac:dyDescent="0.25">
      <c r="A606" s="2" t="str">
        <f t="shared" si="21"/>
        <v>25D</v>
      </c>
      <c r="B606" s="3" t="str">
        <f t="shared" si="22"/>
        <v>00;</v>
      </c>
      <c r="C606" s="170">
        <v>0</v>
      </c>
      <c r="D606" s="170"/>
      <c r="E606" s="4"/>
      <c r="F606" s="170"/>
      <c r="G606" s="170"/>
      <c r="H606" s="170"/>
      <c r="I606" s="21"/>
    </row>
    <row r="607" spans="1:9" x14ac:dyDescent="0.25">
      <c r="A607" s="2" t="str">
        <f t="shared" si="21"/>
        <v>25E</v>
      </c>
      <c r="B607" s="3" t="str">
        <f t="shared" si="22"/>
        <v>00;</v>
      </c>
      <c r="C607" s="170">
        <v>0</v>
      </c>
      <c r="D607" s="170"/>
      <c r="E607" s="4"/>
      <c r="F607" s="170"/>
      <c r="G607" s="170"/>
      <c r="H607" s="170"/>
      <c r="I607" s="21"/>
    </row>
    <row r="608" spans="1:9" x14ac:dyDescent="0.25">
      <c r="A608" s="2" t="str">
        <f t="shared" si="21"/>
        <v>25F</v>
      </c>
      <c r="B608" s="3" t="str">
        <f t="shared" si="22"/>
        <v>00;</v>
      </c>
      <c r="C608" s="170">
        <v>0</v>
      </c>
      <c r="D608" s="170"/>
      <c r="E608" s="4"/>
      <c r="F608" s="170"/>
      <c r="G608" s="170"/>
      <c r="H608" s="170"/>
      <c r="I608" s="21"/>
    </row>
    <row r="609" spans="1:9" x14ac:dyDescent="0.25">
      <c r="A609" s="2" t="str">
        <f t="shared" si="21"/>
        <v>260</v>
      </c>
      <c r="B609" s="3" t="str">
        <f t="shared" si="22"/>
        <v>00;</v>
      </c>
      <c r="C609" s="170">
        <v>0</v>
      </c>
      <c r="D609" s="170"/>
      <c r="E609" s="4"/>
      <c r="F609" s="170"/>
      <c r="G609" s="170"/>
      <c r="H609" s="170"/>
      <c r="I609" s="21"/>
    </row>
    <row r="610" spans="1:9" x14ac:dyDescent="0.25">
      <c r="A610" s="2" t="str">
        <f t="shared" si="21"/>
        <v>261</v>
      </c>
      <c r="B610" s="3" t="str">
        <f t="shared" si="22"/>
        <v>00;</v>
      </c>
      <c r="C610" s="170">
        <v>0</v>
      </c>
      <c r="D610" s="170"/>
      <c r="E610" s="4"/>
      <c r="F610" s="170"/>
      <c r="G610" s="170"/>
      <c r="H610" s="170"/>
      <c r="I610" s="21"/>
    </row>
    <row r="611" spans="1:9" x14ac:dyDescent="0.25">
      <c r="A611" s="2" t="str">
        <f t="shared" si="21"/>
        <v>262</v>
      </c>
      <c r="B611" s="3" t="str">
        <f t="shared" si="22"/>
        <v>00;</v>
      </c>
      <c r="C611" s="170">
        <v>0</v>
      </c>
      <c r="D611" s="170"/>
      <c r="E611" s="4"/>
      <c r="F611" s="170"/>
      <c r="G611" s="170"/>
      <c r="H611" s="170"/>
      <c r="I611" s="21"/>
    </row>
    <row r="612" spans="1:9" x14ac:dyDescent="0.25">
      <c r="A612" s="2" t="str">
        <f t="shared" si="21"/>
        <v>263</v>
      </c>
      <c r="B612" s="3" t="str">
        <f t="shared" si="22"/>
        <v>00;</v>
      </c>
      <c r="C612" s="170">
        <v>0</v>
      </c>
      <c r="D612" s="170"/>
      <c r="E612" s="4"/>
      <c r="F612" s="170"/>
      <c r="G612" s="170"/>
      <c r="H612" s="170"/>
      <c r="I612" s="21"/>
    </row>
    <row r="613" spans="1:9" x14ac:dyDescent="0.25">
      <c r="A613" s="2" t="str">
        <f t="shared" si="21"/>
        <v>264</v>
      </c>
      <c r="B613" s="3" t="str">
        <f t="shared" si="22"/>
        <v>00;</v>
      </c>
      <c r="C613" s="170">
        <v>0</v>
      </c>
      <c r="D613" s="170"/>
      <c r="E613" s="4"/>
      <c r="F613" s="170"/>
      <c r="G613" s="170"/>
      <c r="H613" s="170"/>
      <c r="I613" s="21"/>
    </row>
    <row r="614" spans="1:9" x14ac:dyDescent="0.25">
      <c r="A614" s="2" t="str">
        <f t="shared" si="21"/>
        <v>265</v>
      </c>
      <c r="B614" s="3" t="str">
        <f t="shared" si="22"/>
        <v>00;</v>
      </c>
      <c r="C614" s="170">
        <v>0</v>
      </c>
      <c r="D614" s="170"/>
      <c r="E614" s="4"/>
      <c r="F614" s="170"/>
      <c r="G614" s="170"/>
      <c r="H614" s="170"/>
      <c r="I614" s="21"/>
    </row>
    <row r="615" spans="1:9" x14ac:dyDescent="0.25">
      <c r="A615" s="2" t="str">
        <f t="shared" si="21"/>
        <v>266</v>
      </c>
      <c r="B615" s="3" t="str">
        <f t="shared" si="22"/>
        <v>00;</v>
      </c>
      <c r="C615" s="170">
        <v>0</v>
      </c>
      <c r="D615" s="170"/>
      <c r="E615" s="4"/>
      <c r="F615" s="170"/>
      <c r="G615" s="170"/>
      <c r="H615" s="170"/>
      <c r="I615" s="21"/>
    </row>
    <row r="616" spans="1:9" x14ac:dyDescent="0.25">
      <c r="A616" s="2" t="str">
        <f t="shared" si="21"/>
        <v>267</v>
      </c>
      <c r="B616" s="3" t="str">
        <f t="shared" si="22"/>
        <v>00;</v>
      </c>
      <c r="C616" s="170">
        <v>0</v>
      </c>
      <c r="D616" s="170"/>
      <c r="E616" s="4"/>
      <c r="F616" s="170"/>
      <c r="G616" s="170"/>
      <c r="H616" s="170"/>
      <c r="I616" s="21"/>
    </row>
    <row r="617" spans="1:9" x14ac:dyDescent="0.25">
      <c r="A617" s="2" t="str">
        <f t="shared" si="21"/>
        <v>268</v>
      </c>
      <c r="B617" s="3" t="str">
        <f t="shared" si="22"/>
        <v>00;</v>
      </c>
      <c r="C617" s="170">
        <v>0</v>
      </c>
      <c r="D617" s="170"/>
      <c r="E617" s="4"/>
      <c r="F617" s="170"/>
      <c r="G617" s="170"/>
      <c r="H617" s="170"/>
      <c r="I617" s="21"/>
    </row>
    <row r="618" spans="1:9" x14ac:dyDescent="0.25">
      <c r="A618" s="2" t="str">
        <f t="shared" si="21"/>
        <v>269</v>
      </c>
      <c r="B618" s="3" t="str">
        <f t="shared" si="22"/>
        <v>00;</v>
      </c>
      <c r="C618" s="170">
        <v>0</v>
      </c>
      <c r="D618" s="170"/>
      <c r="E618" s="4"/>
      <c r="F618" s="170"/>
      <c r="G618" s="170"/>
      <c r="H618" s="170"/>
      <c r="I618" s="21"/>
    </row>
    <row r="619" spans="1:9" x14ac:dyDescent="0.25">
      <c r="A619" s="2" t="str">
        <f t="shared" si="21"/>
        <v>26A</v>
      </c>
      <c r="B619" s="3" t="str">
        <f t="shared" si="22"/>
        <v>00;</v>
      </c>
      <c r="C619" s="170">
        <v>0</v>
      </c>
      <c r="D619" s="170"/>
      <c r="E619" s="4"/>
      <c r="F619" s="170"/>
      <c r="G619" s="170"/>
      <c r="H619" s="170"/>
      <c r="I619" s="21"/>
    </row>
    <row r="620" spans="1:9" x14ac:dyDescent="0.25">
      <c r="A620" s="2" t="str">
        <f t="shared" si="21"/>
        <v>26B</v>
      </c>
      <c r="B620" s="3" t="str">
        <f t="shared" si="22"/>
        <v>00;</v>
      </c>
      <c r="C620" s="170">
        <v>0</v>
      </c>
      <c r="D620" s="170"/>
      <c r="E620" s="4"/>
      <c r="F620" s="170"/>
      <c r="G620" s="170"/>
      <c r="H620" s="170"/>
      <c r="I620" s="21"/>
    </row>
    <row r="621" spans="1:9" x14ac:dyDescent="0.25">
      <c r="A621" s="2" t="str">
        <f t="shared" si="21"/>
        <v>26C</v>
      </c>
      <c r="B621" s="3" t="str">
        <f t="shared" si="22"/>
        <v>00;</v>
      </c>
      <c r="C621" s="170">
        <v>0</v>
      </c>
      <c r="D621" s="170"/>
      <c r="E621" s="4"/>
      <c r="F621" s="170"/>
      <c r="G621" s="170"/>
      <c r="H621" s="170"/>
      <c r="I621" s="21"/>
    </row>
    <row r="622" spans="1:9" x14ac:dyDescent="0.25">
      <c r="A622" s="2" t="str">
        <f t="shared" si="21"/>
        <v>26D</v>
      </c>
      <c r="B622" s="3" t="str">
        <f t="shared" si="22"/>
        <v>00;</v>
      </c>
      <c r="C622" s="170">
        <v>0</v>
      </c>
      <c r="D622" s="170"/>
      <c r="E622" s="4"/>
      <c r="F622" s="170"/>
      <c r="G622" s="170"/>
      <c r="H622" s="170"/>
      <c r="I622" s="21"/>
    </row>
    <row r="623" spans="1:9" x14ac:dyDescent="0.25">
      <c r="A623" s="2" t="str">
        <f t="shared" si="21"/>
        <v>26E</v>
      </c>
      <c r="B623" s="3" t="str">
        <f t="shared" si="22"/>
        <v>00;</v>
      </c>
      <c r="C623" s="170">
        <v>0</v>
      </c>
      <c r="D623" s="170"/>
      <c r="E623" s="4"/>
      <c r="F623" s="170"/>
      <c r="G623" s="170"/>
      <c r="H623" s="170"/>
      <c r="I623" s="21"/>
    </row>
    <row r="624" spans="1:9" x14ac:dyDescent="0.25">
      <c r="A624" s="2" t="str">
        <f t="shared" si="21"/>
        <v>26F</v>
      </c>
      <c r="B624" s="3" t="str">
        <f t="shared" si="22"/>
        <v>00;</v>
      </c>
      <c r="C624" s="170">
        <v>0</v>
      </c>
      <c r="D624" s="170"/>
      <c r="E624" s="4"/>
      <c r="F624" s="170"/>
      <c r="G624" s="170"/>
      <c r="H624" s="170"/>
      <c r="I624" s="21"/>
    </row>
    <row r="625" spans="1:9" x14ac:dyDescent="0.25">
      <c r="A625" s="2" t="str">
        <f t="shared" si="21"/>
        <v>270</v>
      </c>
      <c r="B625" s="3" t="str">
        <f t="shared" si="22"/>
        <v>00;</v>
      </c>
      <c r="C625" s="170">
        <v>0</v>
      </c>
      <c r="D625" s="170"/>
      <c r="E625" s="4"/>
      <c r="F625" s="170"/>
      <c r="G625" s="170"/>
      <c r="H625" s="170"/>
      <c r="I625" s="21"/>
    </row>
    <row r="626" spans="1:9" x14ac:dyDescent="0.25">
      <c r="A626" s="2" t="str">
        <f t="shared" si="21"/>
        <v>271</v>
      </c>
      <c r="B626" s="3" t="str">
        <f t="shared" si="22"/>
        <v>00;</v>
      </c>
      <c r="C626" s="170">
        <v>0</v>
      </c>
      <c r="D626" s="170"/>
      <c r="E626" s="4"/>
      <c r="F626" s="170"/>
      <c r="G626" s="170"/>
      <c r="H626" s="170"/>
      <c r="I626" s="21"/>
    </row>
    <row r="627" spans="1:9" x14ac:dyDescent="0.25">
      <c r="A627" s="2" t="str">
        <f t="shared" si="21"/>
        <v>272</v>
      </c>
      <c r="B627" s="3" t="str">
        <f t="shared" si="22"/>
        <v>00;</v>
      </c>
      <c r="C627" s="170">
        <v>0</v>
      </c>
      <c r="D627" s="170"/>
      <c r="E627" s="4"/>
      <c r="F627" s="170"/>
      <c r="G627" s="170"/>
      <c r="H627" s="170"/>
      <c r="I627" s="21"/>
    </row>
    <row r="628" spans="1:9" x14ac:dyDescent="0.25">
      <c r="A628" s="2" t="str">
        <f t="shared" si="21"/>
        <v>273</v>
      </c>
      <c r="B628" s="3" t="str">
        <f t="shared" si="22"/>
        <v>00;</v>
      </c>
      <c r="C628" s="170">
        <v>0</v>
      </c>
      <c r="D628" s="170"/>
      <c r="E628" s="4"/>
      <c r="F628" s="170"/>
      <c r="G628" s="170"/>
      <c r="H628" s="170"/>
      <c r="I628" s="21"/>
    </row>
    <row r="629" spans="1:9" x14ac:dyDescent="0.25">
      <c r="A629" s="2" t="str">
        <f t="shared" si="21"/>
        <v>274</v>
      </c>
      <c r="B629" s="3" t="str">
        <f t="shared" si="22"/>
        <v>00;</v>
      </c>
      <c r="C629" s="170">
        <v>0</v>
      </c>
      <c r="D629" s="170"/>
      <c r="E629" s="4"/>
      <c r="F629" s="170"/>
      <c r="G629" s="170"/>
      <c r="H629" s="170"/>
      <c r="I629" s="21"/>
    </row>
    <row r="630" spans="1:9" x14ac:dyDescent="0.25">
      <c r="A630" s="2" t="str">
        <f t="shared" si="21"/>
        <v>275</v>
      </c>
      <c r="B630" s="3" t="str">
        <f t="shared" si="22"/>
        <v>00;</v>
      </c>
      <c r="C630" s="170">
        <v>0</v>
      </c>
      <c r="D630" s="170"/>
      <c r="E630" s="4"/>
      <c r="F630" s="170"/>
      <c r="G630" s="170"/>
      <c r="H630" s="170"/>
      <c r="I630" s="21"/>
    </row>
    <row r="631" spans="1:9" x14ac:dyDescent="0.25">
      <c r="A631" s="2" t="str">
        <f t="shared" si="21"/>
        <v>276</v>
      </c>
      <c r="B631" s="3" t="str">
        <f t="shared" si="22"/>
        <v>00;</v>
      </c>
      <c r="C631" s="170">
        <v>0</v>
      </c>
      <c r="D631" s="170"/>
      <c r="E631" s="4"/>
      <c r="F631" s="170"/>
      <c r="G631" s="170"/>
      <c r="H631" s="170"/>
      <c r="I631" s="21"/>
    </row>
    <row r="632" spans="1:9" x14ac:dyDescent="0.25">
      <c r="A632" s="2" t="str">
        <f t="shared" si="21"/>
        <v>277</v>
      </c>
      <c r="B632" s="3" t="str">
        <f t="shared" si="22"/>
        <v>00;</v>
      </c>
      <c r="C632" s="170">
        <v>0</v>
      </c>
      <c r="D632" s="170"/>
      <c r="E632" s="4"/>
      <c r="F632" s="170"/>
      <c r="G632" s="170"/>
      <c r="H632" s="170"/>
      <c r="I632" s="21"/>
    </row>
    <row r="633" spans="1:9" x14ac:dyDescent="0.25">
      <c r="A633" s="2" t="str">
        <f t="shared" si="21"/>
        <v>278</v>
      </c>
      <c r="B633" s="3" t="str">
        <f t="shared" si="22"/>
        <v>00;</v>
      </c>
      <c r="C633" s="170">
        <v>0</v>
      </c>
      <c r="D633" s="170"/>
      <c r="E633" s="4"/>
      <c r="F633" s="170"/>
      <c r="G633" s="170"/>
      <c r="H633" s="170"/>
      <c r="I633" s="21"/>
    </row>
    <row r="634" spans="1:9" x14ac:dyDescent="0.25">
      <c r="A634" s="2" t="str">
        <f t="shared" si="21"/>
        <v>279</v>
      </c>
      <c r="B634" s="3" t="str">
        <f t="shared" si="22"/>
        <v>00;</v>
      </c>
      <c r="C634" s="170">
        <v>0</v>
      </c>
      <c r="D634" s="170"/>
      <c r="E634" s="4"/>
      <c r="F634" s="170"/>
      <c r="G634" s="170"/>
      <c r="H634" s="170"/>
      <c r="I634" s="21"/>
    </row>
    <row r="635" spans="1:9" x14ac:dyDescent="0.25">
      <c r="A635" s="2" t="str">
        <f t="shared" si="21"/>
        <v>27A</v>
      </c>
      <c r="B635" s="3" t="str">
        <f t="shared" si="22"/>
        <v>00;</v>
      </c>
      <c r="C635" s="170">
        <v>0</v>
      </c>
      <c r="D635" s="170"/>
      <c r="E635" s="4"/>
      <c r="F635" s="170"/>
      <c r="G635" s="170"/>
      <c r="H635" s="170"/>
      <c r="I635" s="21"/>
    </row>
    <row r="636" spans="1:9" x14ac:dyDescent="0.25">
      <c r="A636" s="2" t="str">
        <f t="shared" si="21"/>
        <v>27B</v>
      </c>
      <c r="B636" s="3" t="str">
        <f t="shared" si="22"/>
        <v>00;</v>
      </c>
      <c r="C636" s="170">
        <v>0</v>
      </c>
      <c r="D636" s="170"/>
      <c r="E636" s="4"/>
      <c r="F636" s="170"/>
      <c r="G636" s="170"/>
      <c r="H636" s="170"/>
      <c r="I636" s="21"/>
    </row>
    <row r="637" spans="1:9" x14ac:dyDescent="0.25">
      <c r="A637" s="2" t="str">
        <f t="shared" si="21"/>
        <v>27C</v>
      </c>
      <c r="B637" s="3" t="str">
        <f t="shared" si="22"/>
        <v>00;</v>
      </c>
      <c r="C637" s="170">
        <v>0</v>
      </c>
      <c r="D637" s="170"/>
      <c r="E637" s="4"/>
      <c r="F637" s="170"/>
      <c r="G637" s="170"/>
      <c r="H637" s="170"/>
      <c r="I637" s="21"/>
    </row>
    <row r="638" spans="1:9" x14ac:dyDescent="0.25">
      <c r="A638" s="2" t="str">
        <f t="shared" si="21"/>
        <v>27D</v>
      </c>
      <c r="B638" s="3" t="str">
        <f t="shared" si="22"/>
        <v>00;</v>
      </c>
      <c r="C638" s="170">
        <v>0</v>
      </c>
      <c r="D638" s="170"/>
      <c r="E638" s="4"/>
      <c r="F638" s="170"/>
      <c r="G638" s="170"/>
      <c r="H638" s="170"/>
      <c r="I638" s="21"/>
    </row>
    <row r="639" spans="1:9" x14ac:dyDescent="0.25">
      <c r="A639" s="2" t="str">
        <f t="shared" si="21"/>
        <v>27E</v>
      </c>
      <c r="B639" s="3" t="str">
        <f t="shared" si="22"/>
        <v>00;</v>
      </c>
      <c r="C639" s="170">
        <v>0</v>
      </c>
      <c r="D639" s="170"/>
      <c r="E639" s="4"/>
      <c r="F639" s="170"/>
      <c r="G639" s="170"/>
      <c r="H639" s="170"/>
      <c r="I639" s="21"/>
    </row>
    <row r="640" spans="1:9" x14ac:dyDescent="0.25">
      <c r="A640" s="2" t="str">
        <f t="shared" si="21"/>
        <v>27F</v>
      </c>
      <c r="B640" s="3" t="str">
        <f t="shared" si="22"/>
        <v>00;</v>
      </c>
      <c r="C640" s="170">
        <v>0</v>
      </c>
      <c r="D640" s="170"/>
      <c r="E640" s="4"/>
      <c r="F640" s="170"/>
      <c r="G640" s="170"/>
      <c r="H640" s="170"/>
      <c r="I640" s="21"/>
    </row>
    <row r="641" spans="1:9" x14ac:dyDescent="0.25">
      <c r="A641" s="2" t="str">
        <f t="shared" si="21"/>
        <v>280</v>
      </c>
      <c r="B641" s="3" t="str">
        <f t="shared" si="22"/>
        <v>00;</v>
      </c>
      <c r="C641" s="170">
        <v>0</v>
      </c>
      <c r="D641" s="170"/>
      <c r="E641" s="4"/>
      <c r="F641" s="170"/>
      <c r="G641" s="170"/>
      <c r="H641" s="170"/>
      <c r="I641" s="21"/>
    </row>
    <row r="642" spans="1:9" x14ac:dyDescent="0.25">
      <c r="A642" s="2" t="str">
        <f t="shared" si="21"/>
        <v>281</v>
      </c>
      <c r="B642" s="3" t="str">
        <f t="shared" si="22"/>
        <v>00;</v>
      </c>
      <c r="C642" s="170">
        <v>0</v>
      </c>
      <c r="D642" s="170"/>
      <c r="E642" s="4"/>
      <c r="F642" s="170"/>
      <c r="G642" s="170"/>
      <c r="H642" s="170"/>
      <c r="I642" s="21"/>
    </row>
    <row r="643" spans="1:9" x14ac:dyDescent="0.25">
      <c r="A643" s="2" t="str">
        <f t="shared" si="21"/>
        <v>282</v>
      </c>
      <c r="B643" s="3" t="str">
        <f t="shared" si="22"/>
        <v>00;</v>
      </c>
      <c r="C643" s="170">
        <v>0</v>
      </c>
      <c r="D643" s="170"/>
      <c r="E643" s="4"/>
      <c r="F643" s="170"/>
      <c r="G643" s="170"/>
      <c r="H643" s="170"/>
      <c r="I643" s="21"/>
    </row>
    <row r="644" spans="1:9" x14ac:dyDescent="0.25">
      <c r="A644" s="2" t="str">
        <f t="shared" si="21"/>
        <v>283</v>
      </c>
      <c r="B644" s="3" t="str">
        <f t="shared" si="22"/>
        <v>00;</v>
      </c>
      <c r="C644" s="170">
        <v>0</v>
      </c>
      <c r="D644" s="170"/>
      <c r="E644" s="4"/>
      <c r="F644" s="170"/>
      <c r="G644" s="170"/>
      <c r="H644" s="170"/>
      <c r="I644" s="21"/>
    </row>
    <row r="645" spans="1:9" x14ac:dyDescent="0.25">
      <c r="A645" s="2" t="str">
        <f t="shared" si="21"/>
        <v>284</v>
      </c>
      <c r="B645" s="3" t="str">
        <f t="shared" si="22"/>
        <v>00;</v>
      </c>
      <c r="C645" s="170">
        <v>0</v>
      </c>
      <c r="D645" s="170"/>
      <c r="E645" s="4"/>
      <c r="F645" s="170"/>
      <c r="G645" s="170"/>
      <c r="H645" s="170"/>
      <c r="I645" s="21"/>
    </row>
    <row r="646" spans="1:9" x14ac:dyDescent="0.25">
      <c r="A646" s="2" t="str">
        <f t="shared" si="21"/>
        <v>285</v>
      </c>
      <c r="B646" s="3" t="str">
        <f t="shared" si="22"/>
        <v>00;</v>
      </c>
      <c r="C646" s="170">
        <v>0</v>
      </c>
      <c r="D646" s="170"/>
      <c r="E646" s="4"/>
      <c r="F646" s="170"/>
      <c r="G646" s="170"/>
      <c r="H646" s="170"/>
      <c r="I646" s="21"/>
    </row>
    <row r="647" spans="1:9" x14ac:dyDescent="0.25">
      <c r="A647" s="2" t="str">
        <f t="shared" si="21"/>
        <v>286</v>
      </c>
      <c r="B647" s="3" t="str">
        <f t="shared" si="22"/>
        <v>00;</v>
      </c>
      <c r="C647" s="170">
        <v>0</v>
      </c>
      <c r="D647" s="170"/>
      <c r="E647" s="4"/>
      <c r="F647" s="170"/>
      <c r="G647" s="170"/>
      <c r="H647" s="170"/>
      <c r="I647" s="21"/>
    </row>
    <row r="648" spans="1:9" x14ac:dyDescent="0.25">
      <c r="A648" s="2" t="str">
        <f t="shared" si="21"/>
        <v>287</v>
      </c>
      <c r="B648" s="3" t="str">
        <f t="shared" si="22"/>
        <v>00;</v>
      </c>
      <c r="C648" s="170">
        <v>0</v>
      </c>
      <c r="D648" s="170"/>
      <c r="E648" s="4"/>
      <c r="F648" s="170"/>
      <c r="G648" s="170"/>
      <c r="H648" s="170"/>
      <c r="I648" s="21"/>
    </row>
    <row r="649" spans="1:9" x14ac:dyDescent="0.25">
      <c r="A649" s="2" t="str">
        <f t="shared" ref="A649:A712" si="23">IF(ROW()-1&lt;16,CONCATENATE("0",DEC2HEX(ROW()-1)),DEC2HEX(ROW()-1))</f>
        <v>288</v>
      </c>
      <c r="B649" s="3" t="str">
        <f t="shared" si="22"/>
        <v>00;</v>
      </c>
      <c r="C649" s="170">
        <v>0</v>
      </c>
      <c r="D649" s="170"/>
      <c r="E649" s="4"/>
      <c r="F649" s="170"/>
      <c r="G649" s="170"/>
      <c r="H649" s="170"/>
      <c r="I649" s="21"/>
    </row>
    <row r="650" spans="1:9" x14ac:dyDescent="0.25">
      <c r="A650" s="2" t="str">
        <f t="shared" si="23"/>
        <v>289</v>
      </c>
      <c r="B650" s="3" t="str">
        <f t="shared" si="22"/>
        <v>00;</v>
      </c>
      <c r="C650" s="170">
        <v>0</v>
      </c>
      <c r="D650" s="170"/>
      <c r="E650" s="4"/>
      <c r="F650" s="170"/>
      <c r="G650" s="170"/>
      <c r="H650" s="170"/>
      <c r="I650" s="21"/>
    </row>
    <row r="651" spans="1:9" x14ac:dyDescent="0.25">
      <c r="A651" s="2" t="str">
        <f t="shared" si="23"/>
        <v>28A</v>
      </c>
      <c r="B651" s="3" t="str">
        <f t="shared" si="22"/>
        <v>00;</v>
      </c>
      <c r="C651" s="170">
        <v>0</v>
      </c>
      <c r="D651" s="170"/>
      <c r="E651" s="4"/>
      <c r="F651" s="170"/>
      <c r="G651" s="170"/>
      <c r="H651" s="170"/>
      <c r="I651" s="21"/>
    </row>
    <row r="652" spans="1:9" x14ac:dyDescent="0.25">
      <c r="A652" s="2" t="str">
        <f t="shared" si="23"/>
        <v>28B</v>
      </c>
      <c r="B652" s="3" t="str">
        <f t="shared" si="22"/>
        <v>00;</v>
      </c>
      <c r="C652" s="170">
        <v>0</v>
      </c>
      <c r="D652" s="170"/>
      <c r="E652" s="4"/>
      <c r="F652" s="170"/>
      <c r="G652" s="170"/>
      <c r="H652" s="170"/>
      <c r="I652" s="21"/>
    </row>
    <row r="653" spans="1:9" x14ac:dyDescent="0.25">
      <c r="A653" s="2" t="str">
        <f t="shared" si="23"/>
        <v>28C</v>
      </c>
      <c r="B653" s="3" t="str">
        <f t="shared" ref="B653:B716" si="24">IF(C653&lt;16,CONCATENATE("0",DEC2HEX(C653),";"),CONCATENATE(DEC2HEX(C653),";"))</f>
        <v>00;</v>
      </c>
      <c r="C653" s="170">
        <v>0</v>
      </c>
      <c r="D653" s="170"/>
      <c r="E653" s="4"/>
      <c r="F653" s="170"/>
      <c r="G653" s="170"/>
      <c r="H653" s="170"/>
      <c r="I653" s="21"/>
    </row>
    <row r="654" spans="1:9" x14ac:dyDescent="0.25">
      <c r="A654" s="2" t="str">
        <f t="shared" si="23"/>
        <v>28D</v>
      </c>
      <c r="B654" s="3" t="str">
        <f t="shared" si="24"/>
        <v>00;</v>
      </c>
      <c r="C654" s="170">
        <v>0</v>
      </c>
      <c r="D654" s="170"/>
      <c r="E654" s="4"/>
      <c r="F654" s="170"/>
      <c r="G654" s="170"/>
      <c r="H654" s="170"/>
      <c r="I654" s="21"/>
    </row>
    <row r="655" spans="1:9" x14ac:dyDescent="0.25">
      <c r="A655" s="2" t="str">
        <f t="shared" si="23"/>
        <v>28E</v>
      </c>
      <c r="B655" s="3" t="str">
        <f t="shared" si="24"/>
        <v>00;</v>
      </c>
      <c r="C655" s="170">
        <v>0</v>
      </c>
      <c r="D655" s="170"/>
      <c r="E655" s="4"/>
      <c r="F655" s="170"/>
      <c r="G655" s="170"/>
      <c r="H655" s="170"/>
      <c r="I655" s="21"/>
    </row>
    <row r="656" spans="1:9" x14ac:dyDescent="0.25">
      <c r="A656" s="2" t="str">
        <f t="shared" si="23"/>
        <v>28F</v>
      </c>
      <c r="B656" s="3" t="str">
        <f t="shared" si="24"/>
        <v>00;</v>
      </c>
      <c r="C656" s="170">
        <v>0</v>
      </c>
      <c r="D656" s="170"/>
      <c r="E656" s="4"/>
      <c r="F656" s="170"/>
      <c r="G656" s="170"/>
      <c r="H656" s="170"/>
      <c r="I656" s="21"/>
    </row>
    <row r="657" spans="1:9" x14ac:dyDescent="0.25">
      <c r="A657" s="2" t="str">
        <f t="shared" si="23"/>
        <v>290</v>
      </c>
      <c r="B657" s="3" t="str">
        <f t="shared" si="24"/>
        <v>00;</v>
      </c>
      <c r="C657" s="170">
        <v>0</v>
      </c>
      <c r="D657" s="170"/>
      <c r="E657" s="4"/>
      <c r="F657" s="170"/>
      <c r="G657" s="170"/>
      <c r="H657" s="170"/>
      <c r="I657" s="21"/>
    </row>
    <row r="658" spans="1:9" x14ac:dyDescent="0.25">
      <c r="A658" s="2" t="str">
        <f t="shared" si="23"/>
        <v>291</v>
      </c>
      <c r="B658" s="3" t="str">
        <f t="shared" si="24"/>
        <v>00;</v>
      </c>
      <c r="C658" s="170">
        <v>0</v>
      </c>
      <c r="D658" s="170"/>
      <c r="E658" s="4"/>
      <c r="F658" s="170"/>
      <c r="G658" s="170"/>
      <c r="H658" s="170"/>
      <c r="I658" s="21"/>
    </row>
    <row r="659" spans="1:9" x14ac:dyDescent="0.25">
      <c r="A659" s="2" t="str">
        <f t="shared" si="23"/>
        <v>292</v>
      </c>
      <c r="B659" s="3" t="str">
        <f t="shared" si="24"/>
        <v>00;</v>
      </c>
      <c r="C659" s="170">
        <v>0</v>
      </c>
      <c r="D659" s="170"/>
      <c r="E659" s="4"/>
      <c r="F659" s="170"/>
      <c r="G659" s="170"/>
      <c r="H659" s="170"/>
      <c r="I659" s="21"/>
    </row>
    <row r="660" spans="1:9" x14ac:dyDescent="0.25">
      <c r="A660" s="2" t="str">
        <f t="shared" si="23"/>
        <v>293</v>
      </c>
      <c r="B660" s="3" t="str">
        <f t="shared" si="24"/>
        <v>00;</v>
      </c>
      <c r="C660" s="170">
        <v>0</v>
      </c>
      <c r="D660" s="170"/>
      <c r="E660" s="4"/>
      <c r="F660" s="170"/>
      <c r="G660" s="170"/>
      <c r="H660" s="170"/>
      <c r="I660" s="21"/>
    </row>
    <row r="661" spans="1:9" x14ac:dyDescent="0.25">
      <c r="A661" s="2" t="str">
        <f t="shared" si="23"/>
        <v>294</v>
      </c>
      <c r="B661" s="3" t="str">
        <f t="shared" si="24"/>
        <v>00;</v>
      </c>
      <c r="C661" s="170">
        <v>0</v>
      </c>
      <c r="D661" s="170"/>
      <c r="E661" s="4"/>
      <c r="F661" s="170"/>
      <c r="G661" s="170"/>
      <c r="H661" s="170"/>
      <c r="I661" s="21"/>
    </row>
    <row r="662" spans="1:9" x14ac:dyDescent="0.25">
      <c r="A662" s="2" t="str">
        <f t="shared" si="23"/>
        <v>295</v>
      </c>
      <c r="B662" s="3" t="str">
        <f t="shared" si="24"/>
        <v>00;</v>
      </c>
      <c r="C662" s="170">
        <v>0</v>
      </c>
      <c r="D662" s="170"/>
      <c r="E662" s="4"/>
      <c r="F662" s="170"/>
      <c r="G662" s="170"/>
      <c r="H662" s="170"/>
      <c r="I662" s="21"/>
    </row>
    <row r="663" spans="1:9" x14ac:dyDescent="0.25">
      <c r="A663" s="2" t="str">
        <f t="shared" si="23"/>
        <v>296</v>
      </c>
      <c r="B663" s="3" t="str">
        <f t="shared" si="24"/>
        <v>00;</v>
      </c>
      <c r="C663" s="170">
        <v>0</v>
      </c>
      <c r="D663" s="170"/>
      <c r="E663" s="4"/>
      <c r="F663" s="170"/>
      <c r="G663" s="170"/>
      <c r="H663" s="170"/>
      <c r="I663" s="21"/>
    </row>
    <row r="664" spans="1:9" x14ac:dyDescent="0.25">
      <c r="A664" s="2" t="str">
        <f t="shared" si="23"/>
        <v>297</v>
      </c>
      <c r="B664" s="3" t="str">
        <f t="shared" si="24"/>
        <v>00;</v>
      </c>
      <c r="C664" s="170">
        <v>0</v>
      </c>
      <c r="D664" s="170"/>
      <c r="E664" s="4"/>
      <c r="F664" s="170"/>
      <c r="G664" s="170"/>
      <c r="H664" s="170"/>
      <c r="I664" s="21"/>
    </row>
    <row r="665" spans="1:9" x14ac:dyDescent="0.25">
      <c r="A665" s="2" t="str">
        <f t="shared" si="23"/>
        <v>298</v>
      </c>
      <c r="B665" s="3" t="str">
        <f t="shared" si="24"/>
        <v>00;</v>
      </c>
      <c r="C665" s="170">
        <v>0</v>
      </c>
      <c r="D665" s="170"/>
      <c r="E665" s="4"/>
      <c r="F665" s="170"/>
      <c r="G665" s="170"/>
      <c r="H665" s="170"/>
      <c r="I665" s="21"/>
    </row>
    <row r="666" spans="1:9" x14ac:dyDescent="0.25">
      <c r="A666" s="2" t="str">
        <f t="shared" si="23"/>
        <v>299</v>
      </c>
      <c r="B666" s="3" t="str">
        <f t="shared" si="24"/>
        <v>00;</v>
      </c>
      <c r="C666" s="170">
        <v>0</v>
      </c>
      <c r="D666" s="170"/>
      <c r="E666" s="4"/>
      <c r="F666" s="170"/>
      <c r="G666" s="170"/>
      <c r="H666" s="170"/>
      <c r="I666" s="21"/>
    </row>
    <row r="667" spans="1:9" x14ac:dyDescent="0.25">
      <c r="A667" s="2" t="str">
        <f t="shared" si="23"/>
        <v>29A</v>
      </c>
      <c r="B667" s="3" t="str">
        <f t="shared" si="24"/>
        <v>00;</v>
      </c>
      <c r="C667" s="170">
        <v>0</v>
      </c>
      <c r="D667" s="170"/>
      <c r="E667" s="4"/>
      <c r="F667" s="170"/>
      <c r="G667" s="170"/>
      <c r="H667" s="170"/>
      <c r="I667" s="21"/>
    </row>
    <row r="668" spans="1:9" x14ac:dyDescent="0.25">
      <c r="A668" s="2" t="str">
        <f t="shared" si="23"/>
        <v>29B</v>
      </c>
      <c r="B668" s="3" t="str">
        <f t="shared" si="24"/>
        <v>00;</v>
      </c>
      <c r="C668" s="170">
        <v>0</v>
      </c>
      <c r="D668" s="170"/>
      <c r="E668" s="4"/>
      <c r="F668" s="170"/>
      <c r="G668" s="170"/>
      <c r="H668" s="170"/>
      <c r="I668" s="21"/>
    </row>
    <row r="669" spans="1:9" x14ac:dyDescent="0.25">
      <c r="A669" s="2" t="str">
        <f t="shared" si="23"/>
        <v>29C</v>
      </c>
      <c r="B669" s="3" t="str">
        <f t="shared" si="24"/>
        <v>00;</v>
      </c>
      <c r="C669" s="170">
        <v>0</v>
      </c>
      <c r="D669" s="170"/>
      <c r="E669" s="4"/>
      <c r="F669" s="170"/>
      <c r="G669" s="170"/>
      <c r="H669" s="170"/>
      <c r="I669" s="21"/>
    </row>
    <row r="670" spans="1:9" x14ac:dyDescent="0.25">
      <c r="A670" s="2" t="str">
        <f t="shared" si="23"/>
        <v>29D</v>
      </c>
      <c r="B670" s="3" t="str">
        <f t="shared" si="24"/>
        <v>00;</v>
      </c>
      <c r="C670" s="170">
        <v>0</v>
      </c>
      <c r="D670" s="170"/>
      <c r="E670" s="4"/>
      <c r="F670" s="170"/>
      <c r="G670" s="170"/>
      <c r="H670" s="170"/>
      <c r="I670" s="21"/>
    </row>
    <row r="671" spans="1:9" x14ac:dyDescent="0.25">
      <c r="A671" s="2" t="str">
        <f t="shared" si="23"/>
        <v>29E</v>
      </c>
      <c r="B671" s="3" t="str">
        <f t="shared" si="24"/>
        <v>00;</v>
      </c>
      <c r="C671" s="170">
        <v>0</v>
      </c>
      <c r="D671" s="170"/>
      <c r="E671" s="4"/>
      <c r="F671" s="170"/>
      <c r="G671" s="170"/>
      <c r="H671" s="170"/>
      <c r="I671" s="21"/>
    </row>
    <row r="672" spans="1:9" x14ac:dyDescent="0.25">
      <c r="A672" s="2" t="str">
        <f t="shared" si="23"/>
        <v>29F</v>
      </c>
      <c r="B672" s="3" t="str">
        <f t="shared" si="24"/>
        <v>00;</v>
      </c>
      <c r="C672" s="170">
        <v>0</v>
      </c>
      <c r="D672" s="170"/>
      <c r="E672" s="4"/>
      <c r="F672" s="170"/>
      <c r="G672" s="170"/>
      <c r="H672" s="170"/>
      <c r="I672" s="21"/>
    </row>
    <row r="673" spans="1:9" x14ac:dyDescent="0.25">
      <c r="A673" s="2" t="str">
        <f t="shared" si="23"/>
        <v>2A0</v>
      </c>
      <c r="B673" s="3" t="str">
        <f t="shared" si="24"/>
        <v>00;</v>
      </c>
      <c r="C673" s="170">
        <v>0</v>
      </c>
      <c r="D673" s="170"/>
      <c r="E673" s="4"/>
      <c r="F673" s="170"/>
      <c r="G673" s="170"/>
      <c r="H673" s="170"/>
      <c r="I673" s="21"/>
    </row>
    <row r="674" spans="1:9" x14ac:dyDescent="0.25">
      <c r="A674" s="2" t="str">
        <f t="shared" si="23"/>
        <v>2A1</v>
      </c>
      <c r="B674" s="3" t="str">
        <f t="shared" si="24"/>
        <v>00;</v>
      </c>
      <c r="C674" s="170">
        <v>0</v>
      </c>
      <c r="D674" s="170"/>
      <c r="E674" s="4"/>
      <c r="F674" s="170"/>
      <c r="G674" s="170"/>
      <c r="H674" s="170"/>
      <c r="I674" s="21"/>
    </row>
    <row r="675" spans="1:9" x14ac:dyDescent="0.25">
      <c r="A675" s="2" t="str">
        <f t="shared" si="23"/>
        <v>2A2</v>
      </c>
      <c r="B675" s="3" t="str">
        <f t="shared" si="24"/>
        <v>00;</v>
      </c>
      <c r="C675" s="170">
        <v>0</v>
      </c>
      <c r="D675" s="170"/>
      <c r="E675" s="4"/>
      <c r="F675" s="170"/>
      <c r="G675" s="170"/>
      <c r="H675" s="170"/>
      <c r="I675" s="21"/>
    </row>
    <row r="676" spans="1:9" x14ac:dyDescent="0.25">
      <c r="A676" s="2" t="str">
        <f t="shared" si="23"/>
        <v>2A3</v>
      </c>
      <c r="B676" s="3" t="str">
        <f t="shared" si="24"/>
        <v>00;</v>
      </c>
      <c r="C676" s="170">
        <v>0</v>
      </c>
      <c r="D676" s="170"/>
      <c r="E676" s="4"/>
      <c r="F676" s="170"/>
      <c r="G676" s="170"/>
      <c r="H676" s="170"/>
      <c r="I676" s="21"/>
    </row>
    <row r="677" spans="1:9" x14ac:dyDescent="0.25">
      <c r="A677" s="2" t="str">
        <f t="shared" si="23"/>
        <v>2A4</v>
      </c>
      <c r="B677" s="3" t="str">
        <f t="shared" si="24"/>
        <v>00;</v>
      </c>
      <c r="C677" s="170">
        <v>0</v>
      </c>
      <c r="D677" s="170"/>
      <c r="E677" s="4"/>
      <c r="F677" s="170"/>
      <c r="G677" s="170"/>
      <c r="H677" s="170"/>
      <c r="I677" s="21"/>
    </row>
    <row r="678" spans="1:9" x14ac:dyDescent="0.25">
      <c r="A678" s="2" t="str">
        <f t="shared" si="23"/>
        <v>2A5</v>
      </c>
      <c r="B678" s="3" t="str">
        <f t="shared" si="24"/>
        <v>00;</v>
      </c>
      <c r="C678" s="170">
        <v>0</v>
      </c>
      <c r="D678" s="170"/>
      <c r="E678" s="4"/>
      <c r="F678" s="170"/>
      <c r="G678" s="170"/>
      <c r="H678" s="170"/>
      <c r="I678" s="21"/>
    </row>
    <row r="679" spans="1:9" x14ac:dyDescent="0.25">
      <c r="A679" s="2" t="str">
        <f t="shared" si="23"/>
        <v>2A6</v>
      </c>
      <c r="B679" s="3" t="str">
        <f t="shared" si="24"/>
        <v>00;</v>
      </c>
      <c r="C679" s="170">
        <v>0</v>
      </c>
      <c r="D679" s="170"/>
      <c r="E679" s="4"/>
      <c r="F679" s="170"/>
      <c r="G679" s="170"/>
      <c r="H679" s="170"/>
      <c r="I679" s="21"/>
    </row>
    <row r="680" spans="1:9" x14ac:dyDescent="0.25">
      <c r="A680" s="2" t="str">
        <f t="shared" si="23"/>
        <v>2A7</v>
      </c>
      <c r="B680" s="3" t="str">
        <f t="shared" si="24"/>
        <v>00;</v>
      </c>
      <c r="C680" s="170">
        <v>0</v>
      </c>
      <c r="D680" s="170"/>
      <c r="E680" s="4"/>
      <c r="F680" s="170"/>
      <c r="G680" s="170"/>
      <c r="H680" s="170"/>
      <c r="I680" s="21"/>
    </row>
    <row r="681" spans="1:9" x14ac:dyDescent="0.25">
      <c r="A681" s="2" t="str">
        <f t="shared" si="23"/>
        <v>2A8</v>
      </c>
      <c r="B681" s="3" t="str">
        <f t="shared" si="24"/>
        <v>00;</v>
      </c>
      <c r="C681" s="170">
        <v>0</v>
      </c>
      <c r="D681" s="170"/>
      <c r="E681" s="4"/>
      <c r="F681" s="170"/>
      <c r="G681" s="170"/>
      <c r="H681" s="170"/>
      <c r="I681" s="21"/>
    </row>
    <row r="682" spans="1:9" x14ac:dyDescent="0.25">
      <c r="A682" s="2" t="str">
        <f t="shared" si="23"/>
        <v>2A9</v>
      </c>
      <c r="B682" s="3" t="str">
        <f t="shared" si="24"/>
        <v>00;</v>
      </c>
      <c r="C682" s="170">
        <v>0</v>
      </c>
      <c r="D682" s="170"/>
      <c r="E682" s="4"/>
      <c r="F682" s="170"/>
      <c r="G682" s="170"/>
      <c r="H682" s="170"/>
      <c r="I682" s="21"/>
    </row>
    <row r="683" spans="1:9" x14ac:dyDescent="0.25">
      <c r="A683" s="2" t="str">
        <f t="shared" si="23"/>
        <v>2AA</v>
      </c>
      <c r="B683" s="3" t="str">
        <f t="shared" si="24"/>
        <v>00;</v>
      </c>
      <c r="C683" s="170">
        <v>0</v>
      </c>
      <c r="D683" s="170"/>
      <c r="E683" s="4"/>
      <c r="F683" s="170"/>
      <c r="G683" s="170"/>
      <c r="H683" s="170"/>
      <c r="I683" s="21"/>
    </row>
    <row r="684" spans="1:9" x14ac:dyDescent="0.25">
      <c r="A684" s="2" t="str">
        <f t="shared" si="23"/>
        <v>2AB</v>
      </c>
      <c r="B684" s="3" t="str">
        <f t="shared" si="24"/>
        <v>00;</v>
      </c>
      <c r="C684" s="170">
        <v>0</v>
      </c>
      <c r="D684" s="170"/>
      <c r="E684" s="4"/>
      <c r="F684" s="170"/>
      <c r="G684" s="170"/>
      <c r="H684" s="170"/>
      <c r="I684" s="21"/>
    </row>
    <row r="685" spans="1:9" x14ac:dyDescent="0.25">
      <c r="A685" s="2" t="str">
        <f t="shared" si="23"/>
        <v>2AC</v>
      </c>
      <c r="B685" s="3" t="str">
        <f t="shared" si="24"/>
        <v>00;</v>
      </c>
      <c r="C685" s="170">
        <v>0</v>
      </c>
      <c r="D685" s="170"/>
      <c r="E685" s="4"/>
      <c r="F685" s="170"/>
      <c r="G685" s="170"/>
      <c r="H685" s="170"/>
      <c r="I685" s="21"/>
    </row>
    <row r="686" spans="1:9" x14ac:dyDescent="0.25">
      <c r="A686" s="2" t="str">
        <f t="shared" si="23"/>
        <v>2AD</v>
      </c>
      <c r="B686" s="3" t="str">
        <f t="shared" si="24"/>
        <v>00;</v>
      </c>
      <c r="C686" s="170">
        <v>0</v>
      </c>
      <c r="D686" s="170"/>
      <c r="E686" s="4"/>
      <c r="F686" s="170"/>
      <c r="G686" s="170"/>
      <c r="H686" s="170"/>
      <c r="I686" s="21"/>
    </row>
    <row r="687" spans="1:9" x14ac:dyDescent="0.25">
      <c r="A687" s="2" t="str">
        <f t="shared" si="23"/>
        <v>2AE</v>
      </c>
      <c r="B687" s="3" t="str">
        <f t="shared" si="24"/>
        <v>00;</v>
      </c>
      <c r="C687" s="170">
        <v>0</v>
      </c>
      <c r="D687" s="170"/>
      <c r="E687" s="4"/>
      <c r="F687" s="170"/>
      <c r="G687" s="170"/>
      <c r="H687" s="170"/>
      <c r="I687" s="21"/>
    </row>
    <row r="688" spans="1:9" x14ac:dyDescent="0.25">
      <c r="A688" s="2" t="str">
        <f t="shared" si="23"/>
        <v>2AF</v>
      </c>
      <c r="B688" s="3" t="str">
        <f t="shared" si="24"/>
        <v>00;</v>
      </c>
      <c r="C688" s="170">
        <v>0</v>
      </c>
      <c r="D688" s="170"/>
      <c r="E688" s="4"/>
      <c r="F688" s="170"/>
      <c r="G688" s="170"/>
      <c r="H688" s="170"/>
      <c r="I688" s="21"/>
    </row>
    <row r="689" spans="1:9" x14ac:dyDescent="0.25">
      <c r="A689" s="2" t="str">
        <f t="shared" si="23"/>
        <v>2B0</v>
      </c>
      <c r="B689" s="3" t="str">
        <f t="shared" si="24"/>
        <v>00;</v>
      </c>
      <c r="C689" s="170">
        <v>0</v>
      </c>
      <c r="D689" s="170"/>
      <c r="E689" s="4"/>
      <c r="F689" s="170"/>
      <c r="G689" s="170"/>
      <c r="H689" s="170"/>
      <c r="I689" s="21"/>
    </row>
    <row r="690" spans="1:9" x14ac:dyDescent="0.25">
      <c r="A690" s="2" t="str">
        <f t="shared" si="23"/>
        <v>2B1</v>
      </c>
      <c r="B690" s="3" t="str">
        <f t="shared" si="24"/>
        <v>00;</v>
      </c>
      <c r="C690" s="170">
        <v>0</v>
      </c>
      <c r="D690" s="170"/>
      <c r="E690" s="4"/>
      <c r="F690" s="170"/>
      <c r="G690" s="170"/>
      <c r="H690" s="170"/>
      <c r="I690" s="21"/>
    </row>
    <row r="691" spans="1:9" x14ac:dyDescent="0.25">
      <c r="A691" s="2" t="str">
        <f t="shared" si="23"/>
        <v>2B2</v>
      </c>
      <c r="B691" s="3" t="str">
        <f t="shared" si="24"/>
        <v>00;</v>
      </c>
      <c r="C691" s="170">
        <v>0</v>
      </c>
      <c r="D691" s="170"/>
      <c r="E691" s="4"/>
      <c r="F691" s="170"/>
      <c r="G691" s="170"/>
      <c r="H691" s="170"/>
      <c r="I691" s="21"/>
    </row>
    <row r="692" spans="1:9" x14ac:dyDescent="0.25">
      <c r="A692" s="2" t="str">
        <f t="shared" si="23"/>
        <v>2B3</v>
      </c>
      <c r="B692" s="3" t="str">
        <f t="shared" si="24"/>
        <v>00;</v>
      </c>
      <c r="C692" s="170">
        <v>0</v>
      </c>
      <c r="D692" s="170"/>
      <c r="E692" s="4"/>
      <c r="F692" s="170"/>
      <c r="G692" s="170"/>
      <c r="H692" s="170"/>
      <c r="I692" s="21"/>
    </row>
    <row r="693" spans="1:9" x14ac:dyDescent="0.25">
      <c r="A693" s="2" t="str">
        <f t="shared" si="23"/>
        <v>2B4</v>
      </c>
      <c r="B693" s="3" t="str">
        <f t="shared" si="24"/>
        <v>00;</v>
      </c>
      <c r="C693" s="170">
        <v>0</v>
      </c>
      <c r="D693" s="170"/>
      <c r="E693" s="4"/>
      <c r="F693" s="170"/>
      <c r="G693" s="170"/>
      <c r="H693" s="170"/>
      <c r="I693" s="21"/>
    </row>
    <row r="694" spans="1:9" x14ac:dyDescent="0.25">
      <c r="A694" s="2" t="str">
        <f t="shared" si="23"/>
        <v>2B5</v>
      </c>
      <c r="B694" s="3" t="str">
        <f t="shared" si="24"/>
        <v>00;</v>
      </c>
      <c r="C694" s="170">
        <v>0</v>
      </c>
      <c r="D694" s="170"/>
      <c r="E694" s="4"/>
      <c r="F694" s="170"/>
      <c r="G694" s="170"/>
      <c r="H694" s="170"/>
      <c r="I694" s="21"/>
    </row>
    <row r="695" spans="1:9" x14ac:dyDescent="0.25">
      <c r="A695" s="2" t="str">
        <f t="shared" si="23"/>
        <v>2B6</v>
      </c>
      <c r="B695" s="3" t="str">
        <f t="shared" si="24"/>
        <v>00;</v>
      </c>
      <c r="C695" s="170">
        <v>0</v>
      </c>
      <c r="D695" s="170"/>
      <c r="E695" s="4"/>
      <c r="F695" s="170"/>
      <c r="G695" s="170"/>
      <c r="H695" s="170"/>
      <c r="I695" s="21"/>
    </row>
    <row r="696" spans="1:9" x14ac:dyDescent="0.25">
      <c r="A696" s="2" t="str">
        <f t="shared" si="23"/>
        <v>2B7</v>
      </c>
      <c r="B696" s="3" t="str">
        <f t="shared" si="24"/>
        <v>00;</v>
      </c>
      <c r="C696" s="170">
        <v>0</v>
      </c>
      <c r="D696" s="170"/>
      <c r="E696" s="4"/>
      <c r="F696" s="170"/>
      <c r="G696" s="170"/>
      <c r="H696" s="170"/>
      <c r="I696" s="21"/>
    </row>
    <row r="697" spans="1:9" x14ac:dyDescent="0.25">
      <c r="A697" s="2" t="str">
        <f t="shared" si="23"/>
        <v>2B8</v>
      </c>
      <c r="B697" s="3" t="str">
        <f t="shared" si="24"/>
        <v>00;</v>
      </c>
      <c r="C697" s="170">
        <v>0</v>
      </c>
      <c r="D697" s="170"/>
      <c r="E697" s="4"/>
      <c r="F697" s="170"/>
      <c r="G697" s="170"/>
      <c r="H697" s="170"/>
      <c r="I697" s="21"/>
    </row>
    <row r="698" spans="1:9" x14ac:dyDescent="0.25">
      <c r="A698" s="2" t="str">
        <f t="shared" si="23"/>
        <v>2B9</v>
      </c>
      <c r="B698" s="3" t="str">
        <f t="shared" si="24"/>
        <v>00;</v>
      </c>
      <c r="C698" s="170">
        <v>0</v>
      </c>
      <c r="D698" s="170"/>
      <c r="E698" s="4"/>
      <c r="F698" s="170"/>
      <c r="G698" s="170"/>
      <c r="H698" s="170"/>
      <c r="I698" s="21"/>
    </row>
    <row r="699" spans="1:9" x14ac:dyDescent="0.25">
      <c r="A699" s="2" t="str">
        <f t="shared" si="23"/>
        <v>2BA</v>
      </c>
      <c r="B699" s="3" t="str">
        <f t="shared" si="24"/>
        <v>00;</v>
      </c>
      <c r="C699" s="170">
        <v>0</v>
      </c>
      <c r="D699" s="170"/>
      <c r="E699" s="4"/>
      <c r="F699" s="170"/>
      <c r="G699" s="170"/>
      <c r="H699" s="170"/>
      <c r="I699" s="21"/>
    </row>
    <row r="700" spans="1:9" x14ac:dyDescent="0.25">
      <c r="A700" s="2" t="str">
        <f t="shared" si="23"/>
        <v>2BB</v>
      </c>
      <c r="B700" s="3" t="str">
        <f t="shared" si="24"/>
        <v>00;</v>
      </c>
      <c r="C700" s="170">
        <v>0</v>
      </c>
      <c r="D700" s="170"/>
      <c r="E700" s="4"/>
      <c r="F700" s="170"/>
      <c r="G700" s="170"/>
      <c r="H700" s="170"/>
      <c r="I700" s="21"/>
    </row>
    <row r="701" spans="1:9" x14ac:dyDescent="0.25">
      <c r="A701" s="2" t="str">
        <f t="shared" si="23"/>
        <v>2BC</v>
      </c>
      <c r="B701" s="3" t="str">
        <f t="shared" si="24"/>
        <v>00;</v>
      </c>
      <c r="C701" s="170">
        <v>0</v>
      </c>
      <c r="D701" s="170"/>
      <c r="E701" s="4"/>
      <c r="F701" s="170"/>
      <c r="G701" s="170"/>
      <c r="H701" s="170"/>
      <c r="I701" s="21"/>
    </row>
    <row r="702" spans="1:9" x14ac:dyDescent="0.25">
      <c r="A702" s="2" t="str">
        <f t="shared" si="23"/>
        <v>2BD</v>
      </c>
      <c r="B702" s="3" t="str">
        <f t="shared" si="24"/>
        <v>00;</v>
      </c>
      <c r="C702" s="170">
        <v>0</v>
      </c>
      <c r="D702" s="170"/>
      <c r="E702" s="4"/>
      <c r="F702" s="170"/>
      <c r="G702" s="170"/>
      <c r="H702" s="170"/>
      <c r="I702" s="21"/>
    </row>
    <row r="703" spans="1:9" x14ac:dyDescent="0.25">
      <c r="A703" s="2" t="str">
        <f t="shared" si="23"/>
        <v>2BE</v>
      </c>
      <c r="B703" s="3" t="str">
        <f t="shared" si="24"/>
        <v>00;</v>
      </c>
      <c r="C703" s="170">
        <v>0</v>
      </c>
      <c r="D703" s="170"/>
      <c r="E703" s="4"/>
      <c r="F703" s="170"/>
      <c r="G703" s="170"/>
      <c r="H703" s="170"/>
      <c r="I703" s="21"/>
    </row>
    <row r="704" spans="1:9" x14ac:dyDescent="0.25">
      <c r="A704" s="2" t="str">
        <f t="shared" si="23"/>
        <v>2BF</v>
      </c>
      <c r="B704" s="3" t="str">
        <f t="shared" si="24"/>
        <v>00;</v>
      </c>
      <c r="C704" s="170">
        <v>0</v>
      </c>
      <c r="D704" s="170"/>
      <c r="E704" s="4"/>
      <c r="F704" s="170"/>
      <c r="G704" s="170"/>
      <c r="H704" s="170"/>
      <c r="I704" s="21"/>
    </row>
    <row r="705" spans="1:9" x14ac:dyDescent="0.25">
      <c r="A705" s="2" t="str">
        <f t="shared" si="23"/>
        <v>2C0</v>
      </c>
      <c r="B705" s="3" t="str">
        <f t="shared" si="24"/>
        <v>00;</v>
      </c>
      <c r="C705" s="170">
        <v>0</v>
      </c>
      <c r="D705" s="170"/>
      <c r="E705" s="4"/>
      <c r="F705" s="170"/>
      <c r="G705" s="170"/>
      <c r="H705" s="170"/>
      <c r="I705" s="21"/>
    </row>
    <row r="706" spans="1:9" x14ac:dyDescent="0.25">
      <c r="A706" s="2" t="str">
        <f t="shared" si="23"/>
        <v>2C1</v>
      </c>
      <c r="B706" s="3" t="str">
        <f t="shared" si="24"/>
        <v>00;</v>
      </c>
      <c r="C706" s="170">
        <v>0</v>
      </c>
      <c r="D706" s="170"/>
      <c r="E706" s="4"/>
      <c r="F706" s="170"/>
      <c r="G706" s="170"/>
      <c r="H706" s="170"/>
      <c r="I706" s="21"/>
    </row>
    <row r="707" spans="1:9" x14ac:dyDescent="0.25">
      <c r="A707" s="2" t="str">
        <f t="shared" si="23"/>
        <v>2C2</v>
      </c>
      <c r="B707" s="3" t="str">
        <f t="shared" si="24"/>
        <v>00;</v>
      </c>
      <c r="C707" s="170">
        <v>0</v>
      </c>
      <c r="D707" s="170"/>
      <c r="E707" s="4"/>
      <c r="F707" s="170"/>
      <c r="G707" s="170"/>
      <c r="H707" s="170"/>
      <c r="I707" s="21"/>
    </row>
    <row r="708" spans="1:9" x14ac:dyDescent="0.25">
      <c r="A708" s="2" t="str">
        <f t="shared" si="23"/>
        <v>2C3</v>
      </c>
      <c r="B708" s="3" t="str">
        <f t="shared" si="24"/>
        <v>00;</v>
      </c>
      <c r="C708" s="170">
        <v>0</v>
      </c>
      <c r="D708" s="170"/>
      <c r="E708" s="4"/>
      <c r="F708" s="170"/>
      <c r="G708" s="170"/>
      <c r="H708" s="170"/>
      <c r="I708" s="21"/>
    </row>
    <row r="709" spans="1:9" x14ac:dyDescent="0.25">
      <c r="A709" s="2" t="str">
        <f t="shared" si="23"/>
        <v>2C4</v>
      </c>
      <c r="B709" s="3" t="str">
        <f t="shared" si="24"/>
        <v>00;</v>
      </c>
      <c r="C709" s="170">
        <v>0</v>
      </c>
      <c r="D709" s="170"/>
      <c r="E709" s="4"/>
      <c r="F709" s="170"/>
      <c r="G709" s="170"/>
      <c r="H709" s="170"/>
      <c r="I709" s="21"/>
    </row>
    <row r="710" spans="1:9" x14ac:dyDescent="0.25">
      <c r="A710" s="2" t="str">
        <f t="shared" si="23"/>
        <v>2C5</v>
      </c>
      <c r="B710" s="3" t="str">
        <f t="shared" si="24"/>
        <v>00;</v>
      </c>
      <c r="C710" s="170">
        <v>0</v>
      </c>
      <c r="D710" s="170"/>
      <c r="E710" s="4"/>
      <c r="F710" s="170"/>
      <c r="G710" s="170"/>
      <c r="H710" s="170"/>
      <c r="I710" s="21"/>
    </row>
    <row r="711" spans="1:9" x14ac:dyDescent="0.25">
      <c r="A711" s="2" t="str">
        <f t="shared" si="23"/>
        <v>2C6</v>
      </c>
      <c r="B711" s="3" t="str">
        <f t="shared" si="24"/>
        <v>00;</v>
      </c>
      <c r="C711" s="170">
        <v>0</v>
      </c>
      <c r="D711" s="170"/>
      <c r="E711" s="4"/>
      <c r="F711" s="170"/>
      <c r="G711" s="170"/>
      <c r="H711" s="170"/>
      <c r="I711" s="21"/>
    </row>
    <row r="712" spans="1:9" x14ac:dyDescent="0.25">
      <c r="A712" s="2" t="str">
        <f t="shared" si="23"/>
        <v>2C7</v>
      </c>
      <c r="B712" s="3" t="str">
        <f t="shared" si="24"/>
        <v>00;</v>
      </c>
      <c r="C712" s="170">
        <v>0</v>
      </c>
      <c r="D712" s="170"/>
      <c r="E712" s="4"/>
      <c r="F712" s="170"/>
      <c r="G712" s="170"/>
      <c r="H712" s="170"/>
      <c r="I712" s="21"/>
    </row>
    <row r="713" spans="1:9" x14ac:dyDescent="0.25">
      <c r="A713" s="2" t="str">
        <f t="shared" ref="A713:A776" si="25">IF(ROW()-1&lt;16,CONCATENATE("0",DEC2HEX(ROW()-1)),DEC2HEX(ROW()-1))</f>
        <v>2C8</v>
      </c>
      <c r="B713" s="3" t="str">
        <f t="shared" si="24"/>
        <v>00;</v>
      </c>
      <c r="C713" s="170">
        <v>0</v>
      </c>
      <c r="D713" s="170"/>
      <c r="E713" s="4"/>
      <c r="F713" s="170"/>
      <c r="G713" s="170"/>
      <c r="H713" s="170"/>
      <c r="I713" s="21"/>
    </row>
    <row r="714" spans="1:9" x14ac:dyDescent="0.25">
      <c r="A714" s="2" t="str">
        <f t="shared" si="25"/>
        <v>2C9</v>
      </c>
      <c r="B714" s="3" t="str">
        <f t="shared" si="24"/>
        <v>00;</v>
      </c>
      <c r="C714" s="170">
        <v>0</v>
      </c>
      <c r="D714" s="170"/>
      <c r="E714" s="4"/>
      <c r="F714" s="170"/>
      <c r="G714" s="170"/>
      <c r="H714" s="170"/>
      <c r="I714" s="21"/>
    </row>
    <row r="715" spans="1:9" x14ac:dyDescent="0.25">
      <c r="A715" s="2" t="str">
        <f t="shared" si="25"/>
        <v>2CA</v>
      </c>
      <c r="B715" s="3" t="str">
        <f t="shared" si="24"/>
        <v>00;</v>
      </c>
      <c r="C715" s="170">
        <v>0</v>
      </c>
      <c r="D715" s="170"/>
      <c r="E715" s="4"/>
      <c r="F715" s="170"/>
      <c r="G715" s="170"/>
      <c r="H715" s="170"/>
      <c r="I715" s="21"/>
    </row>
    <row r="716" spans="1:9" x14ac:dyDescent="0.25">
      <c r="A716" s="2" t="str">
        <f t="shared" si="25"/>
        <v>2CB</v>
      </c>
      <c r="B716" s="3" t="str">
        <f t="shared" si="24"/>
        <v>00;</v>
      </c>
      <c r="C716" s="170">
        <v>0</v>
      </c>
      <c r="D716" s="170"/>
      <c r="E716" s="4"/>
      <c r="F716" s="170"/>
      <c r="G716" s="170"/>
      <c r="H716" s="170"/>
      <c r="I716" s="21"/>
    </row>
    <row r="717" spans="1:9" x14ac:dyDescent="0.25">
      <c r="A717" s="2" t="str">
        <f t="shared" si="25"/>
        <v>2CC</v>
      </c>
      <c r="B717" s="3" t="str">
        <f t="shared" ref="B717:B780" si="26">IF(C717&lt;16,CONCATENATE("0",DEC2HEX(C717),";"),CONCATENATE(DEC2HEX(C717),";"))</f>
        <v>00;</v>
      </c>
      <c r="C717" s="170">
        <v>0</v>
      </c>
      <c r="D717" s="170"/>
      <c r="E717" s="4"/>
      <c r="F717" s="170"/>
      <c r="G717" s="170"/>
      <c r="H717" s="170"/>
      <c r="I717" s="21"/>
    </row>
    <row r="718" spans="1:9" x14ac:dyDescent="0.25">
      <c r="A718" s="2" t="str">
        <f t="shared" si="25"/>
        <v>2CD</v>
      </c>
      <c r="B718" s="3" t="str">
        <f t="shared" si="26"/>
        <v>00;</v>
      </c>
      <c r="C718" s="170">
        <v>0</v>
      </c>
      <c r="D718" s="170"/>
      <c r="E718" s="4"/>
      <c r="F718" s="170"/>
      <c r="G718" s="170"/>
      <c r="H718" s="170"/>
      <c r="I718" s="21"/>
    </row>
    <row r="719" spans="1:9" x14ac:dyDescent="0.25">
      <c r="A719" s="2" t="str">
        <f t="shared" si="25"/>
        <v>2CE</v>
      </c>
      <c r="B719" s="3" t="str">
        <f t="shared" si="26"/>
        <v>00;</v>
      </c>
      <c r="C719" s="170">
        <v>0</v>
      </c>
      <c r="D719" s="170"/>
      <c r="E719" s="4"/>
      <c r="F719" s="170"/>
      <c r="G719" s="170"/>
      <c r="H719" s="170"/>
      <c r="I719" s="21"/>
    </row>
    <row r="720" spans="1:9" x14ac:dyDescent="0.25">
      <c r="A720" s="2" t="str">
        <f t="shared" si="25"/>
        <v>2CF</v>
      </c>
      <c r="B720" s="3" t="str">
        <f t="shared" si="26"/>
        <v>00;</v>
      </c>
      <c r="C720" s="170">
        <v>0</v>
      </c>
      <c r="D720" s="170"/>
      <c r="E720" s="4"/>
      <c r="F720" s="170"/>
      <c r="G720" s="170"/>
      <c r="H720" s="170"/>
      <c r="I720" s="21"/>
    </row>
    <row r="721" spans="1:9" x14ac:dyDescent="0.25">
      <c r="A721" s="2" t="str">
        <f t="shared" si="25"/>
        <v>2D0</v>
      </c>
      <c r="B721" s="3" t="str">
        <f t="shared" si="26"/>
        <v>00;</v>
      </c>
      <c r="C721" s="170">
        <v>0</v>
      </c>
      <c r="D721" s="170"/>
      <c r="E721" s="4"/>
      <c r="F721" s="170"/>
      <c r="G721" s="170"/>
      <c r="H721" s="170"/>
      <c r="I721" s="21"/>
    </row>
    <row r="722" spans="1:9" x14ac:dyDescent="0.25">
      <c r="A722" s="2" t="str">
        <f t="shared" si="25"/>
        <v>2D1</v>
      </c>
      <c r="B722" s="3" t="str">
        <f t="shared" si="26"/>
        <v>00;</v>
      </c>
      <c r="C722" s="170">
        <v>0</v>
      </c>
      <c r="D722" s="170"/>
      <c r="E722" s="4"/>
      <c r="F722" s="170"/>
      <c r="G722" s="170"/>
      <c r="H722" s="170"/>
      <c r="I722" s="21"/>
    </row>
    <row r="723" spans="1:9" x14ac:dyDescent="0.25">
      <c r="A723" s="2" t="str">
        <f t="shared" si="25"/>
        <v>2D2</v>
      </c>
      <c r="B723" s="3" t="str">
        <f t="shared" si="26"/>
        <v>00;</v>
      </c>
      <c r="C723" s="170">
        <v>0</v>
      </c>
      <c r="D723" s="170"/>
      <c r="E723" s="4"/>
      <c r="F723" s="170"/>
      <c r="G723" s="170"/>
      <c r="H723" s="170"/>
      <c r="I723" s="21"/>
    </row>
    <row r="724" spans="1:9" x14ac:dyDescent="0.25">
      <c r="A724" s="2" t="str">
        <f t="shared" si="25"/>
        <v>2D3</v>
      </c>
      <c r="B724" s="3" t="str">
        <f t="shared" si="26"/>
        <v>00;</v>
      </c>
      <c r="C724" s="170">
        <v>0</v>
      </c>
      <c r="D724" s="170"/>
      <c r="E724" s="4"/>
      <c r="F724" s="170"/>
      <c r="G724" s="170"/>
      <c r="H724" s="170"/>
      <c r="I724" s="21"/>
    </row>
    <row r="725" spans="1:9" x14ac:dyDescent="0.25">
      <c r="A725" s="2" t="str">
        <f t="shared" si="25"/>
        <v>2D4</v>
      </c>
      <c r="B725" s="3" t="str">
        <f t="shared" si="26"/>
        <v>00;</v>
      </c>
      <c r="C725" s="170">
        <v>0</v>
      </c>
      <c r="D725" s="170"/>
      <c r="E725" s="4"/>
      <c r="F725" s="170"/>
      <c r="G725" s="170"/>
      <c r="H725" s="170"/>
      <c r="I725" s="21"/>
    </row>
    <row r="726" spans="1:9" x14ac:dyDescent="0.25">
      <c r="A726" s="2" t="str">
        <f t="shared" si="25"/>
        <v>2D5</v>
      </c>
      <c r="B726" s="3" t="str">
        <f t="shared" si="26"/>
        <v>00;</v>
      </c>
      <c r="C726" s="170">
        <v>0</v>
      </c>
      <c r="D726" s="170"/>
      <c r="E726" s="4"/>
      <c r="F726" s="170"/>
      <c r="G726" s="170"/>
      <c r="H726" s="170"/>
      <c r="I726" s="21"/>
    </row>
    <row r="727" spans="1:9" x14ac:dyDescent="0.25">
      <c r="A727" s="2" t="str">
        <f t="shared" si="25"/>
        <v>2D6</v>
      </c>
      <c r="B727" s="3" t="str">
        <f t="shared" si="26"/>
        <v>00;</v>
      </c>
      <c r="C727" s="170">
        <v>0</v>
      </c>
      <c r="D727" s="170"/>
      <c r="E727" s="4"/>
      <c r="F727" s="170"/>
      <c r="G727" s="170"/>
      <c r="H727" s="170"/>
      <c r="I727" s="21"/>
    </row>
    <row r="728" spans="1:9" x14ac:dyDescent="0.25">
      <c r="A728" s="2" t="str">
        <f t="shared" si="25"/>
        <v>2D7</v>
      </c>
      <c r="B728" s="3" t="str">
        <f t="shared" si="26"/>
        <v>00;</v>
      </c>
      <c r="C728" s="170">
        <v>0</v>
      </c>
      <c r="D728" s="170"/>
      <c r="E728" s="4"/>
      <c r="F728" s="170"/>
      <c r="G728" s="170"/>
      <c r="H728" s="170"/>
      <c r="I728" s="21"/>
    </row>
    <row r="729" spans="1:9" x14ac:dyDescent="0.25">
      <c r="A729" s="2" t="str">
        <f t="shared" si="25"/>
        <v>2D8</v>
      </c>
      <c r="B729" s="3" t="str">
        <f t="shared" si="26"/>
        <v>00;</v>
      </c>
      <c r="C729" s="170">
        <v>0</v>
      </c>
      <c r="D729" s="170"/>
      <c r="E729" s="4"/>
      <c r="F729" s="170"/>
      <c r="G729" s="170"/>
      <c r="H729" s="170"/>
      <c r="I729" s="21"/>
    </row>
    <row r="730" spans="1:9" x14ac:dyDescent="0.25">
      <c r="A730" s="2" t="str">
        <f t="shared" si="25"/>
        <v>2D9</v>
      </c>
      <c r="B730" s="3" t="str">
        <f t="shared" si="26"/>
        <v>00;</v>
      </c>
      <c r="C730" s="170">
        <v>0</v>
      </c>
      <c r="D730" s="170"/>
      <c r="E730" s="4"/>
      <c r="F730" s="170"/>
      <c r="G730" s="170"/>
      <c r="H730" s="170"/>
      <c r="I730" s="21"/>
    </row>
    <row r="731" spans="1:9" x14ac:dyDescent="0.25">
      <c r="A731" s="2" t="str">
        <f t="shared" si="25"/>
        <v>2DA</v>
      </c>
      <c r="B731" s="3" t="str">
        <f t="shared" si="26"/>
        <v>00;</v>
      </c>
      <c r="C731" s="170">
        <v>0</v>
      </c>
      <c r="D731" s="170"/>
      <c r="E731" s="4"/>
      <c r="F731" s="170"/>
      <c r="G731" s="170"/>
      <c r="H731" s="170"/>
      <c r="I731" s="21"/>
    </row>
    <row r="732" spans="1:9" x14ac:dyDescent="0.25">
      <c r="A732" s="2" t="str">
        <f t="shared" si="25"/>
        <v>2DB</v>
      </c>
      <c r="B732" s="3" t="str">
        <f t="shared" si="26"/>
        <v>00;</v>
      </c>
      <c r="C732" s="170">
        <v>0</v>
      </c>
      <c r="D732" s="170"/>
      <c r="E732" s="4"/>
      <c r="F732" s="170"/>
      <c r="G732" s="170"/>
      <c r="H732" s="170"/>
      <c r="I732" s="21"/>
    </row>
    <row r="733" spans="1:9" x14ac:dyDescent="0.25">
      <c r="A733" s="2" t="str">
        <f t="shared" si="25"/>
        <v>2DC</v>
      </c>
      <c r="B733" s="3" t="str">
        <f t="shared" si="26"/>
        <v>00;</v>
      </c>
      <c r="C733" s="170">
        <v>0</v>
      </c>
      <c r="D733" s="170"/>
      <c r="E733" s="4"/>
      <c r="F733" s="170"/>
      <c r="G733" s="170"/>
      <c r="H733" s="170"/>
      <c r="I733" s="21"/>
    </row>
    <row r="734" spans="1:9" x14ac:dyDescent="0.25">
      <c r="A734" s="2" t="str">
        <f t="shared" si="25"/>
        <v>2DD</v>
      </c>
      <c r="B734" s="3" t="str">
        <f t="shared" si="26"/>
        <v>00;</v>
      </c>
      <c r="C734" s="170">
        <v>0</v>
      </c>
      <c r="D734" s="170"/>
      <c r="E734" s="4"/>
      <c r="F734" s="170"/>
      <c r="G734" s="170"/>
      <c r="H734" s="170"/>
      <c r="I734" s="21"/>
    </row>
    <row r="735" spans="1:9" x14ac:dyDescent="0.25">
      <c r="A735" s="2" t="str">
        <f t="shared" si="25"/>
        <v>2DE</v>
      </c>
      <c r="B735" s="3" t="str">
        <f t="shared" si="26"/>
        <v>00;</v>
      </c>
      <c r="C735" s="170">
        <v>0</v>
      </c>
      <c r="D735" s="170"/>
      <c r="E735" s="4"/>
      <c r="F735" s="170"/>
      <c r="G735" s="170"/>
      <c r="H735" s="170"/>
      <c r="I735" s="21"/>
    </row>
    <row r="736" spans="1:9" x14ac:dyDescent="0.25">
      <c r="A736" s="2" t="str">
        <f t="shared" si="25"/>
        <v>2DF</v>
      </c>
      <c r="B736" s="3" t="str">
        <f t="shared" si="26"/>
        <v>00;</v>
      </c>
      <c r="C736" s="170">
        <v>0</v>
      </c>
      <c r="D736" s="170"/>
      <c r="E736" s="4"/>
      <c r="F736" s="170"/>
      <c r="G736" s="170"/>
      <c r="H736" s="170"/>
      <c r="I736" s="21"/>
    </row>
    <row r="737" spans="1:9" x14ac:dyDescent="0.25">
      <c r="A737" s="2" t="str">
        <f t="shared" si="25"/>
        <v>2E0</v>
      </c>
      <c r="B737" s="3" t="str">
        <f t="shared" si="26"/>
        <v>00;</v>
      </c>
      <c r="C737" s="170">
        <v>0</v>
      </c>
      <c r="D737" s="170"/>
      <c r="E737" s="4"/>
      <c r="F737" s="170"/>
      <c r="G737" s="170"/>
      <c r="H737" s="170"/>
      <c r="I737" s="21"/>
    </row>
    <row r="738" spans="1:9" x14ac:dyDescent="0.25">
      <c r="A738" s="2" t="str">
        <f t="shared" si="25"/>
        <v>2E1</v>
      </c>
      <c r="B738" s="3" t="str">
        <f t="shared" si="26"/>
        <v>00;</v>
      </c>
      <c r="C738" s="170">
        <v>0</v>
      </c>
      <c r="D738" s="170"/>
      <c r="E738" s="4"/>
      <c r="F738" s="170"/>
      <c r="G738" s="170"/>
      <c r="H738" s="170"/>
      <c r="I738" s="21"/>
    </row>
    <row r="739" spans="1:9" x14ac:dyDescent="0.25">
      <c r="A739" s="2" t="str">
        <f t="shared" si="25"/>
        <v>2E2</v>
      </c>
      <c r="B739" s="3" t="str">
        <f t="shared" si="26"/>
        <v>00;</v>
      </c>
      <c r="C739" s="170">
        <v>0</v>
      </c>
      <c r="D739" s="170"/>
      <c r="E739" s="4"/>
      <c r="F739" s="170"/>
      <c r="G739" s="170"/>
      <c r="H739" s="170"/>
      <c r="I739" s="21"/>
    </row>
    <row r="740" spans="1:9" x14ac:dyDescent="0.25">
      <c r="A740" s="2" t="str">
        <f t="shared" si="25"/>
        <v>2E3</v>
      </c>
      <c r="B740" s="3" t="str">
        <f t="shared" si="26"/>
        <v>00;</v>
      </c>
      <c r="C740" s="170">
        <v>0</v>
      </c>
      <c r="D740" s="170"/>
      <c r="E740" s="4"/>
      <c r="F740" s="170"/>
      <c r="G740" s="170"/>
      <c r="H740" s="170"/>
      <c r="I740" s="21"/>
    </row>
    <row r="741" spans="1:9" x14ac:dyDescent="0.25">
      <c r="A741" s="2" t="str">
        <f t="shared" si="25"/>
        <v>2E4</v>
      </c>
      <c r="B741" s="3" t="str">
        <f t="shared" si="26"/>
        <v>00;</v>
      </c>
      <c r="C741" s="170">
        <v>0</v>
      </c>
      <c r="D741" s="170"/>
      <c r="E741" s="4"/>
      <c r="F741" s="170"/>
      <c r="G741" s="170"/>
      <c r="H741" s="170"/>
      <c r="I741" s="21"/>
    </row>
    <row r="742" spans="1:9" x14ac:dyDescent="0.25">
      <c r="A742" s="2" t="str">
        <f t="shared" si="25"/>
        <v>2E5</v>
      </c>
      <c r="B742" s="3" t="str">
        <f t="shared" si="26"/>
        <v>00;</v>
      </c>
      <c r="C742" s="170">
        <v>0</v>
      </c>
      <c r="D742" s="170"/>
      <c r="E742" s="4"/>
      <c r="F742" s="170"/>
      <c r="G742" s="170"/>
      <c r="H742" s="170"/>
      <c r="I742" s="21"/>
    </row>
    <row r="743" spans="1:9" x14ac:dyDescent="0.25">
      <c r="A743" s="2" t="str">
        <f t="shared" si="25"/>
        <v>2E6</v>
      </c>
      <c r="B743" s="3" t="str">
        <f t="shared" si="26"/>
        <v>00;</v>
      </c>
      <c r="C743" s="170">
        <v>0</v>
      </c>
      <c r="D743" s="170"/>
      <c r="E743" s="4"/>
      <c r="F743" s="170"/>
      <c r="G743" s="170"/>
      <c r="H743" s="170"/>
      <c r="I743" s="21"/>
    </row>
    <row r="744" spans="1:9" x14ac:dyDescent="0.25">
      <c r="A744" s="2" t="str">
        <f t="shared" si="25"/>
        <v>2E7</v>
      </c>
      <c r="B744" s="3" t="str">
        <f t="shared" si="26"/>
        <v>00;</v>
      </c>
      <c r="C744" s="170">
        <v>0</v>
      </c>
      <c r="D744" s="170"/>
      <c r="E744" s="4"/>
      <c r="F744" s="170"/>
      <c r="G744" s="170"/>
      <c r="H744" s="170"/>
      <c r="I744" s="21"/>
    </row>
    <row r="745" spans="1:9" x14ac:dyDescent="0.25">
      <c r="A745" s="2" t="str">
        <f t="shared" si="25"/>
        <v>2E8</v>
      </c>
      <c r="B745" s="3" t="str">
        <f t="shared" si="26"/>
        <v>00;</v>
      </c>
      <c r="C745" s="170">
        <v>0</v>
      </c>
      <c r="D745" s="170"/>
      <c r="E745" s="4"/>
      <c r="F745" s="170"/>
      <c r="G745" s="170"/>
      <c r="H745" s="170"/>
      <c r="I745" s="21"/>
    </row>
    <row r="746" spans="1:9" x14ac:dyDescent="0.25">
      <c r="A746" s="2" t="str">
        <f t="shared" si="25"/>
        <v>2E9</v>
      </c>
      <c r="B746" s="3" t="str">
        <f t="shared" si="26"/>
        <v>00;</v>
      </c>
      <c r="C746" s="170">
        <v>0</v>
      </c>
      <c r="D746" s="170"/>
      <c r="E746" s="4"/>
      <c r="F746" s="170"/>
      <c r="G746" s="170"/>
      <c r="H746" s="170"/>
      <c r="I746" s="21"/>
    </row>
    <row r="747" spans="1:9" x14ac:dyDescent="0.25">
      <c r="A747" s="2" t="str">
        <f t="shared" si="25"/>
        <v>2EA</v>
      </c>
      <c r="B747" s="3" t="str">
        <f t="shared" si="26"/>
        <v>00;</v>
      </c>
      <c r="C747" s="170">
        <v>0</v>
      </c>
      <c r="D747" s="170"/>
      <c r="E747" s="4"/>
      <c r="F747" s="170"/>
      <c r="G747" s="170"/>
      <c r="H747" s="170"/>
      <c r="I747" s="21"/>
    </row>
    <row r="748" spans="1:9" x14ac:dyDescent="0.25">
      <c r="A748" s="2" t="str">
        <f t="shared" si="25"/>
        <v>2EB</v>
      </c>
      <c r="B748" s="3" t="str">
        <f t="shared" si="26"/>
        <v>00;</v>
      </c>
      <c r="C748" s="170">
        <v>0</v>
      </c>
      <c r="D748" s="170"/>
      <c r="E748" s="4"/>
      <c r="F748" s="170"/>
      <c r="G748" s="170"/>
      <c r="H748" s="170"/>
      <c r="I748" s="21"/>
    </row>
    <row r="749" spans="1:9" x14ac:dyDescent="0.25">
      <c r="A749" s="2" t="str">
        <f t="shared" si="25"/>
        <v>2EC</v>
      </c>
      <c r="B749" s="3" t="str">
        <f t="shared" si="26"/>
        <v>00;</v>
      </c>
      <c r="C749" s="170">
        <v>0</v>
      </c>
      <c r="D749" s="170"/>
      <c r="E749" s="4"/>
      <c r="F749" s="170"/>
      <c r="G749" s="170"/>
      <c r="H749" s="170"/>
      <c r="I749" s="21"/>
    </row>
    <row r="750" spans="1:9" x14ac:dyDescent="0.25">
      <c r="A750" s="2" t="str">
        <f t="shared" si="25"/>
        <v>2ED</v>
      </c>
      <c r="B750" s="3" t="str">
        <f t="shared" si="26"/>
        <v>00;</v>
      </c>
      <c r="C750" s="170">
        <v>0</v>
      </c>
      <c r="D750" s="170"/>
      <c r="E750" s="4"/>
      <c r="F750" s="170"/>
      <c r="G750" s="170"/>
      <c r="H750" s="170"/>
      <c r="I750" s="21"/>
    </row>
    <row r="751" spans="1:9" x14ac:dyDescent="0.25">
      <c r="A751" s="2" t="str">
        <f t="shared" si="25"/>
        <v>2EE</v>
      </c>
      <c r="B751" s="3" t="str">
        <f t="shared" si="26"/>
        <v>00;</v>
      </c>
      <c r="C751" s="170">
        <v>0</v>
      </c>
      <c r="D751" s="170"/>
      <c r="E751" s="4"/>
      <c r="F751" s="170"/>
      <c r="G751" s="170"/>
      <c r="H751" s="170"/>
      <c r="I751" s="21"/>
    </row>
    <row r="752" spans="1:9" x14ac:dyDescent="0.25">
      <c r="A752" s="2" t="str">
        <f t="shared" si="25"/>
        <v>2EF</v>
      </c>
      <c r="B752" s="3" t="str">
        <f t="shared" si="26"/>
        <v>00;</v>
      </c>
      <c r="C752" s="170">
        <v>0</v>
      </c>
      <c r="D752" s="170"/>
      <c r="E752" s="4"/>
      <c r="F752" s="170"/>
      <c r="G752" s="170"/>
      <c r="H752" s="170"/>
      <c r="I752" s="21"/>
    </row>
    <row r="753" spans="1:9" x14ac:dyDescent="0.25">
      <c r="A753" s="2" t="str">
        <f t="shared" si="25"/>
        <v>2F0</v>
      </c>
      <c r="B753" s="3" t="str">
        <f t="shared" si="26"/>
        <v>00;</v>
      </c>
      <c r="C753" s="170">
        <v>0</v>
      </c>
      <c r="D753" s="170"/>
      <c r="E753" s="4"/>
      <c r="F753" s="170"/>
      <c r="G753" s="170"/>
      <c r="H753" s="170"/>
      <c r="I753" s="21"/>
    </row>
    <row r="754" spans="1:9" x14ac:dyDescent="0.25">
      <c r="A754" s="2" t="str">
        <f t="shared" si="25"/>
        <v>2F1</v>
      </c>
      <c r="B754" s="3" t="str">
        <f t="shared" si="26"/>
        <v>00;</v>
      </c>
      <c r="C754" s="170">
        <v>0</v>
      </c>
      <c r="D754" s="170"/>
      <c r="E754" s="4"/>
      <c r="F754" s="170"/>
      <c r="G754" s="170"/>
      <c r="H754" s="170"/>
      <c r="I754" s="21"/>
    </row>
    <row r="755" spans="1:9" x14ac:dyDescent="0.25">
      <c r="A755" s="2" t="str">
        <f t="shared" si="25"/>
        <v>2F2</v>
      </c>
      <c r="B755" s="3" t="str">
        <f t="shared" si="26"/>
        <v>00;</v>
      </c>
      <c r="C755" s="170">
        <v>0</v>
      </c>
      <c r="D755" s="170"/>
      <c r="E755" s="4"/>
      <c r="F755" s="170"/>
      <c r="G755" s="170"/>
      <c r="H755" s="170"/>
      <c r="I755" s="21"/>
    </row>
    <row r="756" spans="1:9" x14ac:dyDescent="0.25">
      <c r="A756" s="2" t="str">
        <f t="shared" si="25"/>
        <v>2F3</v>
      </c>
      <c r="B756" s="3" t="str">
        <f t="shared" si="26"/>
        <v>00;</v>
      </c>
      <c r="C756" s="170">
        <v>0</v>
      </c>
      <c r="D756" s="170"/>
      <c r="E756" s="4"/>
      <c r="F756" s="170"/>
      <c r="G756" s="170"/>
      <c r="H756" s="170"/>
      <c r="I756" s="21"/>
    </row>
    <row r="757" spans="1:9" x14ac:dyDescent="0.25">
      <c r="A757" s="2" t="str">
        <f t="shared" si="25"/>
        <v>2F4</v>
      </c>
      <c r="B757" s="3" t="str">
        <f t="shared" si="26"/>
        <v>00;</v>
      </c>
      <c r="C757" s="170">
        <v>0</v>
      </c>
      <c r="D757" s="170"/>
      <c r="E757" s="4"/>
      <c r="F757" s="170"/>
      <c r="G757" s="170"/>
      <c r="H757" s="170"/>
      <c r="I757" s="21"/>
    </row>
    <row r="758" spans="1:9" x14ac:dyDescent="0.25">
      <c r="A758" s="2" t="str">
        <f t="shared" si="25"/>
        <v>2F5</v>
      </c>
      <c r="B758" s="3" t="str">
        <f t="shared" si="26"/>
        <v>00;</v>
      </c>
      <c r="C758" s="170">
        <v>0</v>
      </c>
      <c r="D758" s="170"/>
      <c r="E758" s="4"/>
      <c r="F758" s="170"/>
      <c r="G758" s="170"/>
      <c r="H758" s="170"/>
      <c r="I758" s="21"/>
    </row>
    <row r="759" spans="1:9" x14ac:dyDescent="0.25">
      <c r="A759" s="2" t="str">
        <f t="shared" si="25"/>
        <v>2F6</v>
      </c>
      <c r="B759" s="3" t="str">
        <f t="shared" si="26"/>
        <v>00;</v>
      </c>
      <c r="C759" s="170">
        <v>0</v>
      </c>
      <c r="D759" s="170"/>
      <c r="E759" s="4"/>
      <c r="F759" s="170"/>
      <c r="G759" s="170"/>
      <c r="H759" s="170"/>
      <c r="I759" s="21"/>
    </row>
    <row r="760" spans="1:9" x14ac:dyDescent="0.25">
      <c r="A760" s="2" t="str">
        <f t="shared" si="25"/>
        <v>2F7</v>
      </c>
      <c r="B760" s="3" t="str">
        <f t="shared" si="26"/>
        <v>00;</v>
      </c>
      <c r="C760" s="170">
        <v>0</v>
      </c>
      <c r="D760" s="170"/>
      <c r="E760" s="4"/>
      <c r="F760" s="170"/>
      <c r="G760" s="170"/>
      <c r="H760" s="170"/>
      <c r="I760" s="21"/>
    </row>
    <row r="761" spans="1:9" x14ac:dyDescent="0.25">
      <c r="A761" s="2" t="str">
        <f t="shared" si="25"/>
        <v>2F8</v>
      </c>
      <c r="B761" s="3" t="str">
        <f t="shared" si="26"/>
        <v>00;</v>
      </c>
      <c r="C761" s="170">
        <v>0</v>
      </c>
      <c r="D761" s="170"/>
      <c r="E761" s="4"/>
      <c r="F761" s="170"/>
      <c r="G761" s="170"/>
      <c r="H761" s="170"/>
      <c r="I761" s="21"/>
    </row>
    <row r="762" spans="1:9" x14ac:dyDescent="0.25">
      <c r="A762" s="2" t="str">
        <f t="shared" si="25"/>
        <v>2F9</v>
      </c>
      <c r="B762" s="3" t="str">
        <f t="shared" si="26"/>
        <v>00;</v>
      </c>
      <c r="C762" s="170">
        <v>0</v>
      </c>
      <c r="D762" s="170"/>
      <c r="E762" s="4"/>
      <c r="F762" s="170"/>
      <c r="G762" s="170"/>
      <c r="H762" s="170"/>
      <c r="I762" s="21"/>
    </row>
    <row r="763" spans="1:9" x14ac:dyDescent="0.25">
      <c r="A763" s="2" t="str">
        <f t="shared" si="25"/>
        <v>2FA</v>
      </c>
      <c r="B763" s="3" t="str">
        <f t="shared" si="26"/>
        <v>00;</v>
      </c>
      <c r="C763" s="170">
        <v>0</v>
      </c>
      <c r="D763" s="170"/>
      <c r="E763" s="4"/>
      <c r="F763" s="170"/>
      <c r="G763" s="170"/>
      <c r="H763" s="170"/>
      <c r="I763" s="21"/>
    </row>
    <row r="764" spans="1:9" x14ac:dyDescent="0.25">
      <c r="A764" s="2" t="str">
        <f t="shared" si="25"/>
        <v>2FB</v>
      </c>
      <c r="B764" s="3" t="str">
        <f t="shared" si="26"/>
        <v>00;</v>
      </c>
      <c r="C764" s="170">
        <v>0</v>
      </c>
      <c r="D764" s="170"/>
      <c r="E764" s="4"/>
      <c r="F764" s="170"/>
      <c r="G764" s="170"/>
      <c r="H764" s="170"/>
      <c r="I764" s="21"/>
    </row>
    <row r="765" spans="1:9" x14ac:dyDescent="0.25">
      <c r="A765" s="2" t="str">
        <f t="shared" si="25"/>
        <v>2FC</v>
      </c>
      <c r="B765" s="3" t="str">
        <f t="shared" si="26"/>
        <v>00;</v>
      </c>
      <c r="C765" s="170">
        <v>0</v>
      </c>
      <c r="D765" s="170"/>
      <c r="E765" s="4"/>
      <c r="F765" s="170"/>
      <c r="G765" s="170"/>
      <c r="H765" s="170"/>
      <c r="I765" s="21"/>
    </row>
    <row r="766" spans="1:9" x14ac:dyDescent="0.25">
      <c r="A766" s="2" t="str">
        <f t="shared" si="25"/>
        <v>2FD</v>
      </c>
      <c r="B766" s="3" t="str">
        <f t="shared" si="26"/>
        <v>00;</v>
      </c>
      <c r="C766" s="170">
        <v>0</v>
      </c>
      <c r="D766" s="170"/>
      <c r="E766" s="4"/>
      <c r="F766" s="170"/>
      <c r="G766" s="170"/>
      <c r="H766" s="170"/>
      <c r="I766" s="21"/>
    </row>
    <row r="767" spans="1:9" x14ac:dyDescent="0.25">
      <c r="A767" s="2" t="str">
        <f t="shared" si="25"/>
        <v>2FE</v>
      </c>
      <c r="B767" s="3" t="str">
        <f t="shared" si="26"/>
        <v>00;</v>
      </c>
      <c r="C767" s="170">
        <v>0</v>
      </c>
      <c r="D767" s="170"/>
      <c r="E767" s="4"/>
      <c r="F767" s="170"/>
      <c r="G767" s="170"/>
      <c r="H767" s="170"/>
      <c r="I767" s="21"/>
    </row>
    <row r="768" spans="1:9" x14ac:dyDescent="0.25">
      <c r="A768" s="2" t="str">
        <f t="shared" si="25"/>
        <v>2FF</v>
      </c>
      <c r="B768" s="3" t="str">
        <f t="shared" si="26"/>
        <v>00;</v>
      </c>
      <c r="C768" s="170">
        <v>0</v>
      </c>
      <c r="D768" s="170"/>
      <c r="E768" s="4"/>
      <c r="F768" s="170"/>
      <c r="G768" s="170"/>
      <c r="H768" s="170"/>
      <c r="I768" s="21"/>
    </row>
    <row r="769" spans="1:9" x14ac:dyDescent="0.25">
      <c r="A769" s="2" t="str">
        <f t="shared" si="25"/>
        <v>300</v>
      </c>
      <c r="B769" s="3" t="str">
        <f t="shared" si="26"/>
        <v>00;</v>
      </c>
      <c r="C769" s="170">
        <v>0</v>
      </c>
      <c r="D769" s="170"/>
      <c r="E769" s="4"/>
      <c r="F769" s="170"/>
      <c r="G769" s="170"/>
      <c r="H769" s="170"/>
      <c r="I769" s="21"/>
    </row>
    <row r="770" spans="1:9" x14ac:dyDescent="0.25">
      <c r="A770" s="2" t="str">
        <f t="shared" si="25"/>
        <v>301</v>
      </c>
      <c r="B770" s="3" t="str">
        <f t="shared" si="26"/>
        <v>00;</v>
      </c>
      <c r="C770" s="170">
        <v>0</v>
      </c>
      <c r="D770" s="170"/>
      <c r="E770" s="4"/>
      <c r="F770" s="170"/>
      <c r="G770" s="170"/>
      <c r="H770" s="170"/>
      <c r="I770" s="21"/>
    </row>
    <row r="771" spans="1:9" x14ac:dyDescent="0.25">
      <c r="A771" s="2" t="str">
        <f t="shared" si="25"/>
        <v>302</v>
      </c>
      <c r="B771" s="3" t="str">
        <f t="shared" si="26"/>
        <v>00;</v>
      </c>
      <c r="C771" s="170">
        <v>0</v>
      </c>
      <c r="D771" s="170"/>
      <c r="E771" s="4"/>
      <c r="F771" s="170"/>
      <c r="G771" s="170"/>
      <c r="H771" s="170"/>
      <c r="I771" s="21"/>
    </row>
    <row r="772" spans="1:9" x14ac:dyDescent="0.25">
      <c r="A772" s="2" t="str">
        <f t="shared" si="25"/>
        <v>303</v>
      </c>
      <c r="B772" s="3" t="str">
        <f t="shared" si="26"/>
        <v>00;</v>
      </c>
      <c r="C772" s="170">
        <v>0</v>
      </c>
      <c r="D772" s="170"/>
      <c r="E772" s="4"/>
      <c r="F772" s="170"/>
      <c r="G772" s="170"/>
      <c r="H772" s="170"/>
      <c r="I772" s="21"/>
    </row>
    <row r="773" spans="1:9" x14ac:dyDescent="0.25">
      <c r="A773" s="2" t="str">
        <f t="shared" si="25"/>
        <v>304</v>
      </c>
      <c r="B773" s="3" t="str">
        <f t="shared" si="26"/>
        <v>00;</v>
      </c>
      <c r="C773" s="170">
        <v>0</v>
      </c>
      <c r="D773" s="170"/>
      <c r="E773" s="4"/>
      <c r="F773" s="170"/>
      <c r="G773" s="170"/>
      <c r="H773" s="170"/>
      <c r="I773" s="21"/>
    </row>
    <row r="774" spans="1:9" x14ac:dyDescent="0.25">
      <c r="A774" s="2" t="str">
        <f t="shared" si="25"/>
        <v>305</v>
      </c>
      <c r="B774" s="3" t="str">
        <f t="shared" si="26"/>
        <v>00;</v>
      </c>
      <c r="C774" s="170">
        <v>0</v>
      </c>
      <c r="D774" s="170"/>
      <c r="E774" s="4"/>
      <c r="F774" s="170"/>
      <c r="G774" s="170"/>
      <c r="H774" s="170"/>
      <c r="I774" s="21"/>
    </row>
    <row r="775" spans="1:9" x14ac:dyDescent="0.25">
      <c r="A775" s="2" t="str">
        <f t="shared" si="25"/>
        <v>306</v>
      </c>
      <c r="B775" s="3" t="str">
        <f t="shared" si="26"/>
        <v>00;</v>
      </c>
      <c r="C775" s="170">
        <v>0</v>
      </c>
      <c r="D775" s="170"/>
      <c r="E775" s="4"/>
      <c r="F775" s="170"/>
      <c r="G775" s="170"/>
      <c r="H775" s="170"/>
      <c r="I775" s="21"/>
    </row>
    <row r="776" spans="1:9" x14ac:dyDescent="0.25">
      <c r="A776" s="2" t="str">
        <f t="shared" si="25"/>
        <v>307</v>
      </c>
      <c r="B776" s="3" t="str">
        <f t="shared" si="26"/>
        <v>00;</v>
      </c>
      <c r="C776" s="170">
        <v>0</v>
      </c>
      <c r="D776" s="170"/>
      <c r="E776" s="4"/>
      <c r="F776" s="170"/>
      <c r="G776" s="170"/>
      <c r="H776" s="170"/>
      <c r="I776" s="21"/>
    </row>
    <row r="777" spans="1:9" x14ac:dyDescent="0.25">
      <c r="A777" s="2" t="str">
        <f t="shared" ref="A777:A841" si="27">IF(ROW()-1&lt;16,CONCATENATE("0",DEC2HEX(ROW()-1)),DEC2HEX(ROW()-1))</f>
        <v>308</v>
      </c>
      <c r="B777" s="3" t="str">
        <f t="shared" si="26"/>
        <v>00;</v>
      </c>
      <c r="C777" s="170">
        <v>0</v>
      </c>
      <c r="D777" s="170"/>
      <c r="E777" s="4"/>
      <c r="F777" s="170"/>
      <c r="G777" s="170"/>
      <c r="H777" s="170"/>
      <c r="I777" s="21"/>
    </row>
    <row r="778" spans="1:9" x14ac:dyDescent="0.25">
      <c r="A778" s="2" t="str">
        <f t="shared" si="27"/>
        <v>309</v>
      </c>
      <c r="B778" s="3" t="str">
        <f t="shared" si="26"/>
        <v>00;</v>
      </c>
      <c r="C778" s="170">
        <v>0</v>
      </c>
      <c r="D778" s="170"/>
      <c r="E778" s="4"/>
      <c r="F778" s="170"/>
      <c r="G778" s="170"/>
      <c r="H778" s="170"/>
      <c r="I778" s="21"/>
    </row>
    <row r="779" spans="1:9" x14ac:dyDescent="0.25">
      <c r="A779" s="2" t="str">
        <f t="shared" si="27"/>
        <v>30A</v>
      </c>
      <c r="B779" s="3" t="str">
        <f t="shared" si="26"/>
        <v>00;</v>
      </c>
      <c r="C779" s="170">
        <v>0</v>
      </c>
      <c r="D779" s="170"/>
      <c r="E779" s="4"/>
      <c r="F779" s="170"/>
      <c r="G779" s="170"/>
      <c r="H779" s="170"/>
      <c r="I779" s="21"/>
    </row>
    <row r="780" spans="1:9" x14ac:dyDescent="0.25">
      <c r="A780" s="2" t="str">
        <f t="shared" si="27"/>
        <v>30B</v>
      </c>
      <c r="B780" s="3" t="str">
        <f t="shared" si="26"/>
        <v>00;</v>
      </c>
      <c r="C780" s="170">
        <v>0</v>
      </c>
      <c r="D780" s="170"/>
      <c r="E780" s="4"/>
      <c r="F780" s="170"/>
      <c r="G780" s="170"/>
      <c r="H780" s="170"/>
      <c r="I780" s="21"/>
    </row>
    <row r="781" spans="1:9" x14ac:dyDescent="0.25">
      <c r="A781" s="2" t="str">
        <f t="shared" si="27"/>
        <v>30C</v>
      </c>
      <c r="B781" s="3" t="str">
        <f t="shared" ref="B781:B844" si="28">IF(C781&lt;16,CONCATENATE("0",DEC2HEX(C781),";"),CONCATENATE(DEC2HEX(C781),";"))</f>
        <v>00;</v>
      </c>
      <c r="C781" s="170">
        <v>0</v>
      </c>
      <c r="D781" s="170"/>
      <c r="E781" s="4"/>
      <c r="F781" s="170"/>
      <c r="G781" s="170"/>
      <c r="H781" s="170"/>
      <c r="I781" s="21"/>
    </row>
    <row r="782" spans="1:9" x14ac:dyDescent="0.25">
      <c r="A782" s="2" t="str">
        <f t="shared" si="27"/>
        <v>30D</v>
      </c>
      <c r="B782" s="3" t="str">
        <f t="shared" si="28"/>
        <v>00;</v>
      </c>
      <c r="C782" s="170">
        <v>0</v>
      </c>
      <c r="D782" s="170"/>
      <c r="E782" s="4"/>
      <c r="F782" s="170"/>
      <c r="G782" s="170"/>
      <c r="H782" s="170"/>
      <c r="I782" s="21"/>
    </row>
    <row r="783" spans="1:9" x14ac:dyDescent="0.25">
      <c r="A783" s="2" t="str">
        <f t="shared" si="27"/>
        <v>30E</v>
      </c>
      <c r="B783" s="3" t="str">
        <f t="shared" si="28"/>
        <v>00;</v>
      </c>
      <c r="C783" s="170">
        <v>0</v>
      </c>
      <c r="D783" s="170"/>
      <c r="E783" s="4"/>
      <c r="F783" s="170"/>
      <c r="G783" s="170"/>
      <c r="H783" s="170"/>
      <c r="I783" s="21"/>
    </row>
    <row r="784" spans="1:9" x14ac:dyDescent="0.25">
      <c r="A784" s="2" t="str">
        <f t="shared" si="27"/>
        <v>30F</v>
      </c>
      <c r="B784" s="3" t="str">
        <f t="shared" si="28"/>
        <v>00;</v>
      </c>
      <c r="C784" s="170">
        <v>0</v>
      </c>
      <c r="D784" s="170"/>
      <c r="E784" s="4"/>
      <c r="F784" s="170"/>
      <c r="G784" s="170"/>
      <c r="H784" s="170"/>
      <c r="I784" s="21"/>
    </row>
    <row r="785" spans="1:9" x14ac:dyDescent="0.25">
      <c r="A785" s="2" t="str">
        <f t="shared" si="27"/>
        <v>310</v>
      </c>
      <c r="B785" s="3" t="str">
        <f t="shared" si="28"/>
        <v>00;</v>
      </c>
      <c r="C785" s="170">
        <v>0</v>
      </c>
      <c r="D785" s="170"/>
      <c r="E785" s="4"/>
      <c r="F785" s="170"/>
      <c r="G785" s="170"/>
      <c r="H785" s="170"/>
      <c r="I785" s="21"/>
    </row>
    <row r="786" spans="1:9" x14ac:dyDescent="0.25">
      <c r="A786" s="2" t="str">
        <f t="shared" si="27"/>
        <v>311</v>
      </c>
      <c r="B786" s="3" t="str">
        <f t="shared" si="28"/>
        <v>00;</v>
      </c>
      <c r="C786" s="170">
        <v>0</v>
      </c>
      <c r="D786" s="170"/>
      <c r="E786" s="4"/>
      <c r="F786" s="170"/>
      <c r="G786" s="170"/>
      <c r="H786" s="170"/>
      <c r="I786" s="21"/>
    </row>
    <row r="787" spans="1:9" x14ac:dyDescent="0.25">
      <c r="A787" s="2" t="str">
        <f t="shared" si="27"/>
        <v>312</v>
      </c>
      <c r="B787" s="3" t="str">
        <f t="shared" si="28"/>
        <v>00;</v>
      </c>
      <c r="C787" s="170">
        <v>0</v>
      </c>
      <c r="D787" s="170"/>
      <c r="E787" s="4"/>
      <c r="F787" s="170"/>
      <c r="G787" s="170"/>
      <c r="H787" s="170"/>
      <c r="I787" s="21"/>
    </row>
    <row r="788" spans="1:9" x14ac:dyDescent="0.25">
      <c r="A788" s="2" t="str">
        <f t="shared" si="27"/>
        <v>313</v>
      </c>
      <c r="B788" s="3" t="str">
        <f t="shared" si="28"/>
        <v>00;</v>
      </c>
      <c r="C788" s="170">
        <v>0</v>
      </c>
      <c r="D788" s="170"/>
      <c r="E788" s="4"/>
      <c r="F788" s="170"/>
      <c r="G788" s="170"/>
      <c r="H788" s="170"/>
      <c r="I788" s="21"/>
    </row>
    <row r="789" spans="1:9" x14ac:dyDescent="0.25">
      <c r="A789" s="2" t="str">
        <f t="shared" si="27"/>
        <v>314</v>
      </c>
      <c r="B789" s="3" t="str">
        <f t="shared" si="28"/>
        <v>00;</v>
      </c>
      <c r="C789" s="170">
        <v>0</v>
      </c>
      <c r="D789" s="170"/>
      <c r="E789" s="4"/>
      <c r="F789" s="170"/>
      <c r="G789" s="170"/>
      <c r="H789" s="170"/>
      <c r="I789" s="21"/>
    </row>
    <row r="790" spans="1:9" x14ac:dyDescent="0.25">
      <c r="A790" s="2" t="str">
        <f t="shared" si="27"/>
        <v>315</v>
      </c>
      <c r="B790" s="3" t="str">
        <f t="shared" si="28"/>
        <v>00;</v>
      </c>
      <c r="C790" s="170">
        <v>0</v>
      </c>
      <c r="D790" s="170"/>
      <c r="E790" s="4"/>
      <c r="F790" s="170"/>
      <c r="G790" s="170"/>
      <c r="H790" s="170"/>
      <c r="I790" s="21"/>
    </row>
    <row r="791" spans="1:9" x14ac:dyDescent="0.25">
      <c r="A791" s="2" t="str">
        <f t="shared" si="27"/>
        <v>316</v>
      </c>
      <c r="B791" s="3" t="str">
        <f t="shared" si="28"/>
        <v>00;</v>
      </c>
      <c r="C791" s="170">
        <v>0</v>
      </c>
      <c r="D791" s="170"/>
      <c r="E791" s="4"/>
      <c r="F791" s="170"/>
      <c r="G791" s="170"/>
      <c r="H791" s="170"/>
      <c r="I791" s="21"/>
    </row>
    <row r="792" spans="1:9" x14ac:dyDescent="0.25">
      <c r="A792" s="2" t="str">
        <f t="shared" si="27"/>
        <v>317</v>
      </c>
      <c r="B792" s="3" t="str">
        <f t="shared" si="28"/>
        <v>00;</v>
      </c>
      <c r="C792" s="170">
        <v>0</v>
      </c>
      <c r="D792" s="170"/>
      <c r="E792" s="4"/>
      <c r="F792" s="170"/>
      <c r="G792" s="170"/>
      <c r="H792" s="170"/>
      <c r="I792" s="21"/>
    </row>
    <row r="793" spans="1:9" x14ac:dyDescent="0.25">
      <c r="A793" s="2" t="str">
        <f t="shared" si="27"/>
        <v>318</v>
      </c>
      <c r="B793" s="3" t="str">
        <f t="shared" si="28"/>
        <v>00;</v>
      </c>
      <c r="C793" s="170">
        <v>0</v>
      </c>
      <c r="D793" s="170"/>
      <c r="E793" s="4"/>
      <c r="F793" s="170"/>
      <c r="G793" s="170"/>
      <c r="H793" s="170"/>
      <c r="I793" s="21"/>
    </row>
    <row r="794" spans="1:9" x14ac:dyDescent="0.25">
      <c r="A794" s="2" t="str">
        <f t="shared" si="27"/>
        <v>319</v>
      </c>
      <c r="B794" s="3" t="str">
        <f t="shared" si="28"/>
        <v>00;</v>
      </c>
      <c r="C794" s="170">
        <v>0</v>
      </c>
      <c r="D794" s="170"/>
      <c r="E794" s="4"/>
      <c r="F794" s="170"/>
      <c r="G794" s="170"/>
      <c r="H794" s="170"/>
      <c r="I794" s="21"/>
    </row>
    <row r="795" spans="1:9" x14ac:dyDescent="0.25">
      <c r="A795" s="2" t="str">
        <f t="shared" si="27"/>
        <v>31A</v>
      </c>
      <c r="B795" s="3" t="str">
        <f t="shared" si="28"/>
        <v>00;</v>
      </c>
      <c r="C795" s="170">
        <v>0</v>
      </c>
      <c r="D795" s="170"/>
      <c r="E795" s="4"/>
      <c r="F795" s="170"/>
      <c r="G795" s="170"/>
      <c r="H795" s="170"/>
      <c r="I795" s="21"/>
    </row>
    <row r="796" spans="1:9" x14ac:dyDescent="0.25">
      <c r="A796" s="2" t="str">
        <f t="shared" si="27"/>
        <v>31B</v>
      </c>
      <c r="B796" s="3" t="str">
        <f t="shared" si="28"/>
        <v>00;</v>
      </c>
      <c r="C796" s="170">
        <v>0</v>
      </c>
      <c r="D796" s="170"/>
      <c r="E796" s="4"/>
      <c r="F796" s="170"/>
      <c r="G796" s="170"/>
      <c r="H796" s="170"/>
      <c r="I796" s="21"/>
    </row>
    <row r="797" spans="1:9" x14ac:dyDescent="0.25">
      <c r="A797" s="2" t="str">
        <f t="shared" si="27"/>
        <v>31C</v>
      </c>
      <c r="B797" s="3" t="str">
        <f t="shared" si="28"/>
        <v>00;</v>
      </c>
      <c r="C797" s="170">
        <v>0</v>
      </c>
      <c r="D797" s="170"/>
      <c r="E797" s="4"/>
      <c r="F797" s="170"/>
      <c r="G797" s="170"/>
      <c r="H797" s="170"/>
      <c r="I797" s="21"/>
    </row>
    <row r="798" spans="1:9" x14ac:dyDescent="0.25">
      <c r="A798" s="2" t="str">
        <f t="shared" si="27"/>
        <v>31D</v>
      </c>
      <c r="B798" s="3" t="str">
        <f t="shared" si="28"/>
        <v>00;</v>
      </c>
      <c r="C798" s="170">
        <v>0</v>
      </c>
      <c r="D798" s="170"/>
      <c r="E798" s="4"/>
      <c r="F798" s="170"/>
      <c r="G798" s="170"/>
      <c r="H798" s="170"/>
      <c r="I798" s="21"/>
    </row>
    <row r="799" spans="1:9" x14ac:dyDescent="0.25">
      <c r="A799" s="2" t="str">
        <f t="shared" si="27"/>
        <v>31E</v>
      </c>
      <c r="B799" s="3" t="str">
        <f t="shared" si="28"/>
        <v>00;</v>
      </c>
      <c r="C799" s="170">
        <v>0</v>
      </c>
      <c r="D799" s="170"/>
      <c r="E799" s="4"/>
      <c r="F799" s="170"/>
      <c r="G799" s="170"/>
      <c r="H799" s="170"/>
      <c r="I799" s="21"/>
    </row>
    <row r="800" spans="1:9" x14ac:dyDescent="0.25">
      <c r="A800" s="2" t="str">
        <f t="shared" si="27"/>
        <v>31F</v>
      </c>
      <c r="B800" s="3" t="str">
        <f t="shared" si="28"/>
        <v>00;</v>
      </c>
      <c r="C800" s="170">
        <v>0</v>
      </c>
      <c r="D800" s="170"/>
      <c r="E800" s="4"/>
      <c r="F800" s="170"/>
      <c r="G800" s="170"/>
      <c r="H800" s="170"/>
      <c r="I800" s="21"/>
    </row>
    <row r="801" spans="1:9" x14ac:dyDescent="0.25">
      <c r="A801" s="2" t="str">
        <f t="shared" si="27"/>
        <v>320</v>
      </c>
      <c r="B801" s="3" t="str">
        <f t="shared" si="28"/>
        <v>00;</v>
      </c>
      <c r="C801" s="170">
        <v>0</v>
      </c>
      <c r="D801" s="170"/>
      <c r="E801" s="4"/>
      <c r="F801" s="170"/>
      <c r="G801" s="170"/>
      <c r="H801" s="170"/>
      <c r="I801" s="21"/>
    </row>
    <row r="802" spans="1:9" x14ac:dyDescent="0.25">
      <c r="A802" s="2" t="str">
        <f t="shared" si="27"/>
        <v>321</v>
      </c>
      <c r="B802" s="3" t="str">
        <f t="shared" si="28"/>
        <v>00;</v>
      </c>
      <c r="C802" s="170">
        <v>0</v>
      </c>
      <c r="D802" s="170"/>
      <c r="E802" s="4"/>
      <c r="F802" s="170"/>
      <c r="G802" s="170"/>
      <c r="H802" s="170"/>
      <c r="I802" s="21"/>
    </row>
    <row r="803" spans="1:9" x14ac:dyDescent="0.25">
      <c r="A803" s="2" t="str">
        <f t="shared" si="27"/>
        <v>322</v>
      </c>
      <c r="B803" s="3" t="str">
        <f t="shared" si="28"/>
        <v>00;</v>
      </c>
      <c r="C803" s="170">
        <v>0</v>
      </c>
      <c r="D803" s="170"/>
      <c r="E803" s="4"/>
      <c r="F803" s="170"/>
      <c r="G803" s="170"/>
      <c r="H803" s="170"/>
      <c r="I803" s="21"/>
    </row>
    <row r="804" spans="1:9" x14ac:dyDescent="0.25">
      <c r="A804" s="2" t="str">
        <f t="shared" si="27"/>
        <v>323</v>
      </c>
      <c r="B804" s="3" t="str">
        <f t="shared" si="28"/>
        <v>00;</v>
      </c>
      <c r="C804" s="170">
        <v>0</v>
      </c>
      <c r="D804" s="170"/>
      <c r="E804" s="4"/>
      <c r="F804" s="170"/>
      <c r="G804" s="170"/>
      <c r="H804" s="170"/>
      <c r="I804" s="21"/>
    </row>
    <row r="805" spans="1:9" x14ac:dyDescent="0.25">
      <c r="A805" s="2" t="str">
        <f t="shared" si="27"/>
        <v>324</v>
      </c>
      <c r="B805" s="3" t="str">
        <f t="shared" si="28"/>
        <v>00;</v>
      </c>
      <c r="C805" s="170">
        <v>0</v>
      </c>
      <c r="D805" s="170"/>
      <c r="E805" s="4"/>
      <c r="F805" s="170"/>
      <c r="G805" s="170"/>
      <c r="H805" s="170"/>
      <c r="I805" s="21"/>
    </row>
    <row r="806" spans="1:9" x14ac:dyDescent="0.25">
      <c r="A806" s="2" t="str">
        <f t="shared" si="27"/>
        <v>325</v>
      </c>
      <c r="B806" s="3" t="str">
        <f t="shared" si="28"/>
        <v>00;</v>
      </c>
      <c r="C806" s="170">
        <v>0</v>
      </c>
      <c r="D806" s="170"/>
      <c r="E806" s="4"/>
      <c r="F806" s="170"/>
      <c r="G806" s="170"/>
      <c r="H806" s="170"/>
      <c r="I806" s="21"/>
    </row>
    <row r="807" spans="1:9" x14ac:dyDescent="0.25">
      <c r="A807" s="2" t="str">
        <f t="shared" si="27"/>
        <v>326</v>
      </c>
      <c r="B807" s="3" t="str">
        <f t="shared" si="28"/>
        <v>00;</v>
      </c>
      <c r="C807" s="170">
        <v>0</v>
      </c>
      <c r="D807" s="170"/>
      <c r="E807" s="4"/>
      <c r="F807" s="170"/>
      <c r="G807" s="170"/>
      <c r="H807" s="170"/>
      <c r="I807" s="21"/>
    </row>
    <row r="808" spans="1:9" x14ac:dyDescent="0.25">
      <c r="A808" s="2" t="str">
        <f t="shared" si="27"/>
        <v>327</v>
      </c>
      <c r="B808" s="3" t="str">
        <f t="shared" si="28"/>
        <v>00;</v>
      </c>
      <c r="C808" s="170">
        <v>0</v>
      </c>
      <c r="D808" s="170"/>
      <c r="E808" s="4"/>
      <c r="F808" s="170"/>
      <c r="G808" s="170"/>
      <c r="H808" s="170"/>
      <c r="I808" s="21"/>
    </row>
    <row r="809" spans="1:9" x14ac:dyDescent="0.25">
      <c r="A809" s="2" t="str">
        <f t="shared" si="27"/>
        <v>328</v>
      </c>
      <c r="B809" s="3" t="str">
        <f t="shared" si="28"/>
        <v>00;</v>
      </c>
      <c r="C809" s="170">
        <v>0</v>
      </c>
      <c r="D809" s="170"/>
      <c r="E809" s="4"/>
      <c r="F809" s="170"/>
      <c r="G809" s="170"/>
      <c r="H809" s="170"/>
      <c r="I809" s="21"/>
    </row>
    <row r="810" spans="1:9" x14ac:dyDescent="0.25">
      <c r="A810" s="2" t="str">
        <f t="shared" si="27"/>
        <v>329</v>
      </c>
      <c r="B810" s="3" t="str">
        <f t="shared" si="28"/>
        <v>00;</v>
      </c>
      <c r="C810" s="170">
        <v>0</v>
      </c>
      <c r="D810" s="170"/>
      <c r="E810" s="4"/>
      <c r="F810" s="170"/>
      <c r="G810" s="170"/>
      <c r="H810" s="170"/>
      <c r="I810" s="21"/>
    </row>
    <row r="811" spans="1:9" x14ac:dyDescent="0.25">
      <c r="A811" s="2" t="str">
        <f t="shared" si="27"/>
        <v>32A</v>
      </c>
      <c r="B811" s="3" t="str">
        <f t="shared" si="28"/>
        <v>00;</v>
      </c>
      <c r="C811" s="170">
        <v>0</v>
      </c>
      <c r="D811" s="170"/>
      <c r="E811" s="4"/>
      <c r="F811" s="170"/>
      <c r="G811" s="170"/>
      <c r="H811" s="170"/>
      <c r="I811" s="21"/>
    </row>
    <row r="812" spans="1:9" x14ac:dyDescent="0.25">
      <c r="A812" s="2" t="str">
        <f t="shared" si="27"/>
        <v>32B</v>
      </c>
      <c r="B812" s="3" t="str">
        <f t="shared" si="28"/>
        <v>00;</v>
      </c>
      <c r="C812" s="170">
        <v>0</v>
      </c>
      <c r="D812" s="170"/>
      <c r="E812" s="4"/>
      <c r="F812" s="170"/>
      <c r="G812" s="170"/>
      <c r="H812" s="170"/>
      <c r="I812" s="21"/>
    </row>
    <row r="813" spans="1:9" x14ac:dyDescent="0.25">
      <c r="A813" s="2" t="str">
        <f t="shared" si="27"/>
        <v>32C</v>
      </c>
      <c r="B813" s="3" t="str">
        <f t="shared" si="28"/>
        <v>00;</v>
      </c>
      <c r="C813" s="170">
        <v>0</v>
      </c>
      <c r="D813" s="170"/>
      <c r="E813" s="4"/>
      <c r="F813" s="170"/>
      <c r="G813" s="170"/>
      <c r="H813" s="170"/>
      <c r="I813" s="21"/>
    </row>
    <row r="814" spans="1:9" x14ac:dyDescent="0.25">
      <c r="A814" s="2" t="str">
        <f t="shared" si="27"/>
        <v>32D</v>
      </c>
      <c r="B814" s="3" t="str">
        <f t="shared" si="28"/>
        <v>00;</v>
      </c>
      <c r="C814" s="170">
        <v>0</v>
      </c>
      <c r="D814" s="170"/>
      <c r="E814" s="4"/>
      <c r="F814" s="170"/>
      <c r="G814" s="170"/>
      <c r="H814" s="170"/>
      <c r="I814" s="21"/>
    </row>
    <row r="815" spans="1:9" x14ac:dyDescent="0.25">
      <c r="A815" s="2" t="str">
        <f t="shared" si="27"/>
        <v>32E</v>
      </c>
      <c r="B815" s="3" t="str">
        <f t="shared" si="28"/>
        <v>00;</v>
      </c>
      <c r="C815" s="170">
        <v>0</v>
      </c>
      <c r="D815" s="170"/>
      <c r="E815" s="4"/>
      <c r="F815" s="170"/>
      <c r="G815" s="170"/>
      <c r="H815" s="170"/>
      <c r="I815" s="21"/>
    </row>
    <row r="816" spans="1:9" x14ac:dyDescent="0.25">
      <c r="A816" s="2" t="str">
        <f t="shared" si="27"/>
        <v>32F</v>
      </c>
      <c r="B816" s="3" t="str">
        <f t="shared" si="28"/>
        <v>00;</v>
      </c>
      <c r="C816" s="170">
        <v>0</v>
      </c>
      <c r="D816" s="170"/>
      <c r="E816" s="4"/>
      <c r="F816" s="170"/>
      <c r="G816" s="170"/>
      <c r="H816" s="170"/>
      <c r="I816" s="21"/>
    </row>
    <row r="817" spans="1:9" x14ac:dyDescent="0.25">
      <c r="A817" s="2" t="str">
        <f t="shared" si="27"/>
        <v>330</v>
      </c>
      <c r="B817" s="3" t="str">
        <f t="shared" si="28"/>
        <v>00;</v>
      </c>
      <c r="C817" s="170">
        <v>0</v>
      </c>
      <c r="D817" s="170"/>
      <c r="E817" s="4"/>
      <c r="F817" s="170"/>
      <c r="G817" s="170"/>
      <c r="H817" s="170"/>
      <c r="I817" s="21"/>
    </row>
    <row r="818" spans="1:9" x14ac:dyDescent="0.25">
      <c r="A818" s="2" t="str">
        <f t="shared" si="27"/>
        <v>331</v>
      </c>
      <c r="B818" s="3" t="str">
        <f t="shared" si="28"/>
        <v>00;</v>
      </c>
      <c r="C818" s="170">
        <v>0</v>
      </c>
      <c r="D818" s="170"/>
      <c r="E818" s="4"/>
      <c r="F818" s="170"/>
      <c r="G818" s="170"/>
      <c r="H818" s="170"/>
      <c r="I818" s="21"/>
    </row>
    <row r="819" spans="1:9" x14ac:dyDescent="0.25">
      <c r="A819" s="2" t="str">
        <f t="shared" si="27"/>
        <v>332</v>
      </c>
      <c r="B819" s="3" t="str">
        <f t="shared" si="28"/>
        <v>00;</v>
      </c>
      <c r="C819" s="170">
        <v>0</v>
      </c>
      <c r="D819" s="170"/>
      <c r="E819" s="4"/>
      <c r="F819" s="170"/>
      <c r="G819" s="170"/>
      <c r="H819" s="170"/>
      <c r="I819" s="21"/>
    </row>
    <row r="820" spans="1:9" x14ac:dyDescent="0.25">
      <c r="A820" s="2" t="str">
        <f t="shared" si="27"/>
        <v>333</v>
      </c>
      <c r="B820" s="3" t="str">
        <f t="shared" si="28"/>
        <v>00;</v>
      </c>
      <c r="C820" s="170">
        <v>0</v>
      </c>
      <c r="D820" s="170"/>
      <c r="E820" s="4"/>
      <c r="F820" s="170"/>
      <c r="G820" s="170"/>
      <c r="H820" s="170"/>
      <c r="I820" s="21"/>
    </row>
    <row r="821" spans="1:9" x14ac:dyDescent="0.25">
      <c r="A821" s="2" t="str">
        <f t="shared" si="27"/>
        <v>334</v>
      </c>
      <c r="B821" s="3" t="str">
        <f t="shared" si="28"/>
        <v>00;</v>
      </c>
      <c r="C821" s="170">
        <v>0</v>
      </c>
      <c r="D821" s="170"/>
      <c r="E821" s="4"/>
      <c r="F821" s="170"/>
      <c r="G821" s="170"/>
      <c r="H821" s="170"/>
      <c r="I821" s="21"/>
    </row>
    <row r="822" spans="1:9" x14ac:dyDescent="0.25">
      <c r="A822" s="2" t="str">
        <f t="shared" si="27"/>
        <v>335</v>
      </c>
      <c r="B822" s="3" t="str">
        <f t="shared" si="28"/>
        <v>00;</v>
      </c>
      <c r="C822" s="170">
        <v>0</v>
      </c>
      <c r="D822" s="170"/>
      <c r="E822" s="4"/>
      <c r="F822" s="170"/>
      <c r="G822" s="170"/>
      <c r="H822" s="170"/>
      <c r="I822" s="21"/>
    </row>
    <row r="823" spans="1:9" x14ac:dyDescent="0.25">
      <c r="A823" s="2" t="str">
        <f t="shared" si="27"/>
        <v>336</v>
      </c>
      <c r="B823" s="3" t="str">
        <f t="shared" si="28"/>
        <v>00;</v>
      </c>
      <c r="C823" s="170">
        <v>0</v>
      </c>
      <c r="D823" s="170"/>
      <c r="E823" s="4"/>
      <c r="F823" s="170"/>
      <c r="G823" s="170"/>
      <c r="H823" s="170"/>
      <c r="I823" s="21"/>
    </row>
    <row r="824" spans="1:9" x14ac:dyDescent="0.25">
      <c r="A824" s="2" t="str">
        <f t="shared" si="27"/>
        <v>337</v>
      </c>
      <c r="B824" s="3" t="str">
        <f t="shared" si="28"/>
        <v>00;</v>
      </c>
      <c r="C824" s="170">
        <v>0</v>
      </c>
      <c r="D824" s="170"/>
      <c r="E824" s="4"/>
      <c r="F824" s="170"/>
      <c r="G824" s="170"/>
      <c r="H824" s="170"/>
      <c r="I824" s="21"/>
    </row>
    <row r="825" spans="1:9" x14ac:dyDescent="0.25">
      <c r="A825" s="2" t="str">
        <f t="shared" si="27"/>
        <v>338</v>
      </c>
      <c r="B825" s="3" t="str">
        <f t="shared" si="28"/>
        <v>00;</v>
      </c>
      <c r="C825" s="170">
        <v>0</v>
      </c>
      <c r="D825" s="170"/>
      <c r="E825" s="4"/>
      <c r="F825" s="170"/>
      <c r="G825" s="170"/>
      <c r="H825" s="170"/>
      <c r="I825" s="21"/>
    </row>
    <row r="826" spans="1:9" x14ac:dyDescent="0.25">
      <c r="A826" s="2" t="str">
        <f t="shared" si="27"/>
        <v>339</v>
      </c>
      <c r="B826" s="3" t="str">
        <f t="shared" si="28"/>
        <v>00;</v>
      </c>
      <c r="C826" s="170">
        <v>0</v>
      </c>
      <c r="D826" s="170"/>
      <c r="E826" s="4"/>
      <c r="F826" s="170"/>
      <c r="G826" s="170"/>
      <c r="H826" s="170"/>
      <c r="I826" s="21"/>
    </row>
    <row r="827" spans="1:9" x14ac:dyDescent="0.25">
      <c r="A827" s="2" t="str">
        <f t="shared" si="27"/>
        <v>33A</v>
      </c>
      <c r="B827" s="3" t="str">
        <f t="shared" si="28"/>
        <v>00;</v>
      </c>
      <c r="C827" s="170">
        <v>0</v>
      </c>
      <c r="D827" s="170"/>
      <c r="E827" s="4"/>
      <c r="F827" s="170"/>
      <c r="G827" s="170"/>
      <c r="H827" s="170"/>
      <c r="I827" s="21"/>
    </row>
    <row r="828" spans="1:9" x14ac:dyDescent="0.25">
      <c r="A828" s="2" t="str">
        <f t="shared" si="27"/>
        <v>33B</v>
      </c>
      <c r="B828" s="3" t="str">
        <f t="shared" si="28"/>
        <v>00;</v>
      </c>
      <c r="C828" s="170">
        <v>0</v>
      </c>
      <c r="D828" s="170"/>
      <c r="E828" s="4"/>
      <c r="F828" s="170"/>
      <c r="G828" s="170"/>
      <c r="H828" s="170"/>
      <c r="I828" s="21"/>
    </row>
    <row r="829" spans="1:9" x14ac:dyDescent="0.25">
      <c r="A829" s="2" t="str">
        <f t="shared" si="27"/>
        <v>33C</v>
      </c>
      <c r="B829" s="3" t="str">
        <f t="shared" si="28"/>
        <v>00;</v>
      </c>
      <c r="C829" s="170">
        <v>0</v>
      </c>
      <c r="D829" s="170"/>
      <c r="E829" s="4"/>
      <c r="F829" s="170"/>
      <c r="G829" s="170"/>
      <c r="H829" s="170"/>
      <c r="I829" s="21"/>
    </row>
    <row r="830" spans="1:9" x14ac:dyDescent="0.25">
      <c r="A830" s="2" t="str">
        <f t="shared" si="27"/>
        <v>33D</v>
      </c>
      <c r="B830" s="3" t="str">
        <f t="shared" si="28"/>
        <v>00;</v>
      </c>
      <c r="C830" s="170">
        <v>0</v>
      </c>
      <c r="D830" s="170"/>
      <c r="E830" s="4"/>
      <c r="F830" s="170"/>
      <c r="G830" s="170"/>
      <c r="H830" s="170"/>
      <c r="I830" s="21"/>
    </row>
    <row r="831" spans="1:9" x14ac:dyDescent="0.25">
      <c r="A831" s="2" t="str">
        <f t="shared" si="27"/>
        <v>33E</v>
      </c>
      <c r="B831" s="3" t="str">
        <f t="shared" si="28"/>
        <v>00;</v>
      </c>
      <c r="C831" s="170">
        <v>0</v>
      </c>
      <c r="D831" s="170"/>
      <c r="E831" s="4"/>
      <c r="F831" s="170"/>
      <c r="G831" s="170"/>
      <c r="H831" s="170"/>
      <c r="I831" s="21"/>
    </row>
    <row r="832" spans="1:9" x14ac:dyDescent="0.25">
      <c r="A832" s="2" t="str">
        <f t="shared" si="27"/>
        <v>33F</v>
      </c>
      <c r="B832" s="3" t="str">
        <f t="shared" si="28"/>
        <v>00;</v>
      </c>
      <c r="C832" s="170">
        <v>0</v>
      </c>
      <c r="D832" s="170"/>
      <c r="E832" s="4"/>
      <c r="F832" s="170"/>
      <c r="G832" s="170"/>
      <c r="H832" s="170"/>
      <c r="I832" s="21"/>
    </row>
    <row r="833" spans="1:9" x14ac:dyDescent="0.25">
      <c r="A833" s="2" t="str">
        <f t="shared" si="27"/>
        <v>340</v>
      </c>
      <c r="B833" s="3" t="str">
        <f t="shared" si="28"/>
        <v>00;</v>
      </c>
      <c r="C833" s="170">
        <v>0</v>
      </c>
      <c r="D833" s="170"/>
      <c r="E833" s="4"/>
      <c r="F833" s="170"/>
      <c r="G833" s="170"/>
      <c r="H833" s="170"/>
      <c r="I833" s="21"/>
    </row>
    <row r="834" spans="1:9" x14ac:dyDescent="0.25">
      <c r="A834" s="2" t="str">
        <f t="shared" si="27"/>
        <v>341</v>
      </c>
      <c r="B834" s="3" t="str">
        <f t="shared" si="28"/>
        <v>00;</v>
      </c>
      <c r="C834" s="170">
        <v>0</v>
      </c>
      <c r="D834" s="170"/>
      <c r="E834" s="4"/>
      <c r="F834" s="170"/>
      <c r="G834" s="170"/>
      <c r="H834" s="170"/>
      <c r="I834" s="21"/>
    </row>
    <row r="835" spans="1:9" x14ac:dyDescent="0.25">
      <c r="A835" s="2" t="str">
        <f t="shared" si="27"/>
        <v>342</v>
      </c>
      <c r="B835" s="3" t="str">
        <f t="shared" si="28"/>
        <v>00;</v>
      </c>
      <c r="C835" s="170">
        <v>0</v>
      </c>
      <c r="D835" s="170"/>
      <c r="E835" s="4"/>
      <c r="F835" s="170"/>
      <c r="G835" s="170"/>
      <c r="H835" s="170"/>
      <c r="I835" s="21"/>
    </row>
    <row r="836" spans="1:9" x14ac:dyDescent="0.25">
      <c r="A836" s="2" t="str">
        <f t="shared" si="27"/>
        <v>343</v>
      </c>
      <c r="B836" s="3" t="str">
        <f t="shared" si="28"/>
        <v>00;</v>
      </c>
      <c r="C836" s="170">
        <v>0</v>
      </c>
      <c r="D836" s="170"/>
      <c r="E836" s="4"/>
      <c r="F836" s="170"/>
      <c r="G836" s="170"/>
      <c r="H836" s="170"/>
      <c r="I836" s="21"/>
    </row>
    <row r="837" spans="1:9" x14ac:dyDescent="0.25">
      <c r="A837" s="2" t="str">
        <f t="shared" si="27"/>
        <v>344</v>
      </c>
      <c r="B837" s="3" t="str">
        <f t="shared" si="28"/>
        <v>00;</v>
      </c>
      <c r="C837" s="170">
        <v>0</v>
      </c>
      <c r="D837" s="170"/>
      <c r="E837" s="4"/>
      <c r="F837" s="170"/>
      <c r="G837" s="170"/>
      <c r="H837" s="170"/>
      <c r="I837" s="21"/>
    </row>
    <row r="838" spans="1:9" x14ac:dyDescent="0.25">
      <c r="A838" s="2" t="str">
        <f t="shared" si="27"/>
        <v>345</v>
      </c>
      <c r="B838" s="3" t="str">
        <f t="shared" si="28"/>
        <v>00;</v>
      </c>
      <c r="C838" s="170">
        <v>0</v>
      </c>
      <c r="D838" s="170"/>
      <c r="E838" s="4"/>
      <c r="F838" s="170"/>
      <c r="G838" s="170"/>
      <c r="H838" s="170"/>
      <c r="I838" s="21"/>
    </row>
    <row r="839" spans="1:9" x14ac:dyDescent="0.25">
      <c r="A839" s="2" t="str">
        <f t="shared" si="27"/>
        <v>346</v>
      </c>
      <c r="B839" s="3" t="str">
        <f t="shared" si="28"/>
        <v>00;</v>
      </c>
      <c r="C839" s="170">
        <v>0</v>
      </c>
      <c r="D839" s="170"/>
      <c r="E839" s="4"/>
      <c r="F839" s="170"/>
      <c r="G839" s="170"/>
      <c r="H839" s="170"/>
      <c r="I839" s="21"/>
    </row>
    <row r="840" spans="1:9" x14ac:dyDescent="0.25">
      <c r="A840" s="2" t="str">
        <f t="shared" si="27"/>
        <v>347</v>
      </c>
      <c r="B840" s="3" t="str">
        <f t="shared" si="28"/>
        <v>00;</v>
      </c>
      <c r="C840" s="170">
        <v>0</v>
      </c>
      <c r="D840" s="170"/>
      <c r="E840" s="4"/>
      <c r="F840" s="170"/>
      <c r="G840" s="170"/>
      <c r="H840" s="170"/>
      <c r="I840" s="21"/>
    </row>
    <row r="841" spans="1:9" x14ac:dyDescent="0.25">
      <c r="A841" s="2" t="str">
        <f t="shared" si="27"/>
        <v>348</v>
      </c>
      <c r="B841" s="3" t="str">
        <f t="shared" si="28"/>
        <v>00;</v>
      </c>
      <c r="C841" s="170">
        <v>0</v>
      </c>
      <c r="D841" s="170"/>
      <c r="E841" s="4"/>
      <c r="F841" s="170"/>
      <c r="G841" s="170"/>
      <c r="H841" s="170"/>
      <c r="I841" s="21"/>
    </row>
    <row r="842" spans="1:9" x14ac:dyDescent="0.25">
      <c r="A842" s="2" t="str">
        <f t="shared" ref="A842:A905" si="29">IF(ROW()-1&lt;16,CONCATENATE("0",DEC2HEX(ROW()-1)),DEC2HEX(ROW()-1))</f>
        <v>349</v>
      </c>
      <c r="B842" s="3" t="str">
        <f t="shared" si="28"/>
        <v>00;</v>
      </c>
      <c r="C842" s="170">
        <v>0</v>
      </c>
      <c r="D842" s="170"/>
      <c r="E842" s="4"/>
      <c r="F842" s="170"/>
      <c r="G842" s="170"/>
      <c r="H842" s="170"/>
      <c r="I842" s="21"/>
    </row>
    <row r="843" spans="1:9" x14ac:dyDescent="0.25">
      <c r="A843" s="2" t="str">
        <f t="shared" si="29"/>
        <v>34A</v>
      </c>
      <c r="B843" s="3" t="str">
        <f t="shared" si="28"/>
        <v>00;</v>
      </c>
      <c r="C843" s="170">
        <v>0</v>
      </c>
      <c r="D843" s="170"/>
      <c r="E843" s="4"/>
      <c r="F843" s="170"/>
      <c r="G843" s="170"/>
      <c r="H843" s="170"/>
      <c r="I843" s="21"/>
    </row>
    <row r="844" spans="1:9" x14ac:dyDescent="0.25">
      <c r="A844" s="2" t="str">
        <f t="shared" si="29"/>
        <v>34B</v>
      </c>
      <c r="B844" s="3" t="str">
        <f t="shared" si="28"/>
        <v>00;</v>
      </c>
      <c r="C844" s="170">
        <v>0</v>
      </c>
      <c r="D844" s="170"/>
      <c r="E844" s="4"/>
      <c r="F844" s="170"/>
      <c r="G844" s="170"/>
      <c r="H844" s="170"/>
      <c r="I844" s="21"/>
    </row>
    <row r="845" spans="1:9" x14ac:dyDescent="0.25">
      <c r="A845" s="2" t="str">
        <f t="shared" si="29"/>
        <v>34C</v>
      </c>
      <c r="B845" s="3" t="str">
        <f t="shared" ref="B845:B908" si="30">IF(C845&lt;16,CONCATENATE("0",DEC2HEX(C845),";"),CONCATENATE(DEC2HEX(C845),";"))</f>
        <v>00;</v>
      </c>
      <c r="C845" s="170">
        <v>0</v>
      </c>
      <c r="D845" s="170"/>
      <c r="E845" s="4"/>
      <c r="F845" s="170"/>
      <c r="G845" s="170"/>
      <c r="H845" s="170"/>
      <c r="I845" s="21"/>
    </row>
    <row r="846" spans="1:9" x14ac:dyDescent="0.25">
      <c r="A846" s="2" t="str">
        <f t="shared" si="29"/>
        <v>34D</v>
      </c>
      <c r="B846" s="3" t="str">
        <f t="shared" si="30"/>
        <v>00;</v>
      </c>
      <c r="C846" s="170">
        <v>0</v>
      </c>
      <c r="D846" s="170"/>
      <c r="E846" s="4"/>
      <c r="F846" s="170"/>
      <c r="G846" s="170"/>
      <c r="H846" s="170"/>
      <c r="I846" s="21"/>
    </row>
    <row r="847" spans="1:9" x14ac:dyDescent="0.25">
      <c r="A847" s="2" t="str">
        <f t="shared" si="29"/>
        <v>34E</v>
      </c>
      <c r="B847" s="3" t="str">
        <f t="shared" si="30"/>
        <v>00;</v>
      </c>
      <c r="C847" s="170">
        <v>0</v>
      </c>
      <c r="D847" s="170"/>
      <c r="E847" s="4"/>
      <c r="F847" s="170"/>
      <c r="G847" s="170"/>
      <c r="H847" s="170"/>
      <c r="I847" s="21"/>
    </row>
    <row r="848" spans="1:9" x14ac:dyDescent="0.25">
      <c r="A848" s="2" t="str">
        <f t="shared" si="29"/>
        <v>34F</v>
      </c>
      <c r="B848" s="3" t="str">
        <f t="shared" si="30"/>
        <v>00;</v>
      </c>
      <c r="C848" s="170">
        <v>0</v>
      </c>
      <c r="D848" s="170"/>
      <c r="E848" s="4"/>
      <c r="F848" s="170"/>
      <c r="G848" s="170"/>
      <c r="H848" s="170"/>
      <c r="I848" s="21"/>
    </row>
    <row r="849" spans="1:9" x14ac:dyDescent="0.25">
      <c r="A849" s="2" t="str">
        <f t="shared" si="29"/>
        <v>350</v>
      </c>
      <c r="B849" s="3" t="str">
        <f t="shared" si="30"/>
        <v>00;</v>
      </c>
      <c r="C849" s="170">
        <v>0</v>
      </c>
      <c r="D849" s="170"/>
      <c r="E849" s="4"/>
      <c r="F849" s="170"/>
      <c r="G849" s="170"/>
      <c r="H849" s="170"/>
      <c r="I849" s="21"/>
    </row>
    <row r="850" spans="1:9" x14ac:dyDescent="0.25">
      <c r="A850" s="2" t="str">
        <f t="shared" si="29"/>
        <v>351</v>
      </c>
      <c r="B850" s="3" t="str">
        <f t="shared" si="30"/>
        <v>00;</v>
      </c>
      <c r="C850" s="170">
        <v>0</v>
      </c>
      <c r="D850" s="170"/>
      <c r="E850" s="4"/>
      <c r="F850" s="170"/>
      <c r="G850" s="170"/>
      <c r="H850" s="170"/>
      <c r="I850" s="21"/>
    </row>
    <row r="851" spans="1:9" x14ac:dyDescent="0.25">
      <c r="A851" s="2" t="str">
        <f t="shared" si="29"/>
        <v>352</v>
      </c>
      <c r="B851" s="3" t="str">
        <f t="shared" si="30"/>
        <v>00;</v>
      </c>
      <c r="C851" s="170">
        <v>0</v>
      </c>
      <c r="D851" s="170"/>
      <c r="E851" s="4"/>
      <c r="F851" s="170"/>
      <c r="G851" s="170"/>
      <c r="H851" s="170"/>
      <c r="I851" s="21"/>
    </row>
    <row r="852" spans="1:9" x14ac:dyDescent="0.25">
      <c r="A852" s="2" t="str">
        <f t="shared" si="29"/>
        <v>353</v>
      </c>
      <c r="B852" s="3" t="str">
        <f t="shared" si="30"/>
        <v>00;</v>
      </c>
      <c r="C852" s="170">
        <v>0</v>
      </c>
      <c r="D852" s="170"/>
      <c r="E852" s="4"/>
      <c r="F852" s="170"/>
      <c r="G852" s="170"/>
      <c r="H852" s="170"/>
      <c r="I852" s="21"/>
    </row>
    <row r="853" spans="1:9" x14ac:dyDescent="0.25">
      <c r="A853" s="2" t="str">
        <f t="shared" si="29"/>
        <v>354</v>
      </c>
      <c r="B853" s="3" t="str">
        <f t="shared" si="30"/>
        <v>00;</v>
      </c>
      <c r="C853" s="170">
        <v>0</v>
      </c>
      <c r="D853" s="170"/>
      <c r="E853" s="4"/>
      <c r="F853" s="170"/>
      <c r="G853" s="170"/>
      <c r="H853" s="170"/>
      <c r="I853" s="21"/>
    </row>
    <row r="854" spans="1:9" x14ac:dyDescent="0.25">
      <c r="A854" s="2" t="str">
        <f t="shared" si="29"/>
        <v>355</v>
      </c>
      <c r="B854" s="3" t="str">
        <f t="shared" si="30"/>
        <v>00;</v>
      </c>
      <c r="C854" s="170">
        <v>0</v>
      </c>
      <c r="D854" s="170"/>
      <c r="E854" s="4"/>
      <c r="F854" s="170"/>
      <c r="G854" s="170"/>
      <c r="H854" s="170"/>
      <c r="I854" s="21"/>
    </row>
    <row r="855" spans="1:9" x14ac:dyDescent="0.25">
      <c r="A855" s="2" t="str">
        <f t="shared" si="29"/>
        <v>356</v>
      </c>
      <c r="B855" s="3" t="str">
        <f t="shared" si="30"/>
        <v>00;</v>
      </c>
      <c r="C855" s="170">
        <v>0</v>
      </c>
      <c r="D855" s="170"/>
      <c r="E855" s="4"/>
      <c r="F855" s="170"/>
      <c r="G855" s="170"/>
      <c r="H855" s="170"/>
      <c r="I855" s="21"/>
    </row>
    <row r="856" spans="1:9" x14ac:dyDescent="0.25">
      <c r="A856" s="2" t="str">
        <f t="shared" si="29"/>
        <v>357</v>
      </c>
      <c r="B856" s="3" t="str">
        <f t="shared" si="30"/>
        <v>00;</v>
      </c>
      <c r="C856" s="170">
        <v>0</v>
      </c>
      <c r="D856" s="170"/>
      <c r="E856" s="4"/>
      <c r="F856" s="170"/>
      <c r="G856" s="170"/>
      <c r="H856" s="170"/>
      <c r="I856" s="21"/>
    </row>
    <row r="857" spans="1:9" x14ac:dyDescent="0.25">
      <c r="A857" s="2" t="str">
        <f t="shared" si="29"/>
        <v>358</v>
      </c>
      <c r="B857" s="3" t="str">
        <f t="shared" si="30"/>
        <v>00;</v>
      </c>
      <c r="C857" s="170">
        <v>0</v>
      </c>
      <c r="D857" s="170"/>
      <c r="E857" s="4"/>
      <c r="F857" s="170"/>
      <c r="G857" s="170"/>
      <c r="H857" s="170"/>
      <c r="I857" s="21"/>
    </row>
    <row r="858" spans="1:9" x14ac:dyDescent="0.25">
      <c r="A858" s="2" t="str">
        <f t="shared" si="29"/>
        <v>359</v>
      </c>
      <c r="B858" s="3" t="str">
        <f t="shared" si="30"/>
        <v>00;</v>
      </c>
      <c r="C858" s="170">
        <v>0</v>
      </c>
      <c r="D858" s="170"/>
      <c r="E858" s="4"/>
      <c r="F858" s="170"/>
      <c r="G858" s="170"/>
      <c r="H858" s="170"/>
      <c r="I858" s="21"/>
    </row>
    <row r="859" spans="1:9" x14ac:dyDescent="0.25">
      <c r="A859" s="2" t="str">
        <f t="shared" si="29"/>
        <v>35A</v>
      </c>
      <c r="B859" s="3" t="str">
        <f t="shared" si="30"/>
        <v>00;</v>
      </c>
      <c r="C859" s="170">
        <v>0</v>
      </c>
      <c r="D859" s="170"/>
      <c r="E859" s="4"/>
      <c r="F859" s="170"/>
      <c r="G859" s="170"/>
      <c r="H859" s="170"/>
      <c r="I859" s="21"/>
    </row>
    <row r="860" spans="1:9" x14ac:dyDescent="0.25">
      <c r="A860" s="2" t="str">
        <f t="shared" si="29"/>
        <v>35B</v>
      </c>
      <c r="B860" s="3" t="str">
        <f t="shared" si="30"/>
        <v>00;</v>
      </c>
      <c r="C860" s="170">
        <v>0</v>
      </c>
      <c r="D860" s="170"/>
      <c r="E860" s="4"/>
      <c r="F860" s="170"/>
      <c r="G860" s="170"/>
      <c r="H860" s="170"/>
      <c r="I860" s="21"/>
    </row>
    <row r="861" spans="1:9" x14ac:dyDescent="0.25">
      <c r="A861" s="2" t="str">
        <f t="shared" si="29"/>
        <v>35C</v>
      </c>
      <c r="B861" s="3" t="str">
        <f t="shared" si="30"/>
        <v>00;</v>
      </c>
      <c r="C861" s="170">
        <v>0</v>
      </c>
      <c r="D861" s="170"/>
      <c r="E861" s="4"/>
      <c r="F861" s="170"/>
      <c r="G861" s="170"/>
      <c r="H861" s="170"/>
      <c r="I861" s="21"/>
    </row>
    <row r="862" spans="1:9" x14ac:dyDescent="0.25">
      <c r="A862" s="2" t="str">
        <f t="shared" si="29"/>
        <v>35D</v>
      </c>
      <c r="B862" s="3" t="str">
        <f t="shared" si="30"/>
        <v>00;</v>
      </c>
      <c r="C862" s="170">
        <v>0</v>
      </c>
      <c r="D862" s="170"/>
      <c r="E862" s="4"/>
      <c r="F862" s="170"/>
      <c r="G862" s="170"/>
      <c r="H862" s="170"/>
      <c r="I862" s="21"/>
    </row>
    <row r="863" spans="1:9" x14ac:dyDescent="0.25">
      <c r="A863" s="2" t="str">
        <f t="shared" si="29"/>
        <v>35E</v>
      </c>
      <c r="B863" s="3" t="str">
        <f t="shared" si="30"/>
        <v>00;</v>
      </c>
      <c r="C863" s="170">
        <v>0</v>
      </c>
      <c r="D863" s="170"/>
      <c r="E863" s="4"/>
      <c r="F863" s="170"/>
      <c r="G863" s="170"/>
      <c r="H863" s="170"/>
      <c r="I863" s="21"/>
    </row>
    <row r="864" spans="1:9" x14ac:dyDescent="0.25">
      <c r="A864" s="2" t="str">
        <f t="shared" si="29"/>
        <v>35F</v>
      </c>
      <c r="B864" s="3" t="str">
        <f t="shared" si="30"/>
        <v>00;</v>
      </c>
      <c r="C864" s="170">
        <v>0</v>
      </c>
      <c r="D864" s="170"/>
      <c r="E864" s="4"/>
      <c r="F864" s="170"/>
      <c r="G864" s="170"/>
      <c r="H864" s="170"/>
      <c r="I864" s="21"/>
    </row>
    <row r="865" spans="1:9" x14ac:dyDescent="0.25">
      <c r="A865" s="2" t="str">
        <f t="shared" si="29"/>
        <v>360</v>
      </c>
      <c r="B865" s="3" t="str">
        <f t="shared" si="30"/>
        <v>00;</v>
      </c>
      <c r="C865" s="170">
        <v>0</v>
      </c>
      <c r="D865" s="170"/>
      <c r="E865" s="4"/>
      <c r="F865" s="170"/>
      <c r="G865" s="170"/>
      <c r="H865" s="170"/>
      <c r="I865" s="21"/>
    </row>
    <row r="866" spans="1:9" x14ac:dyDescent="0.25">
      <c r="A866" s="2" t="str">
        <f t="shared" si="29"/>
        <v>361</v>
      </c>
      <c r="B866" s="3" t="str">
        <f t="shared" si="30"/>
        <v>00;</v>
      </c>
      <c r="C866" s="170">
        <v>0</v>
      </c>
      <c r="D866" s="170"/>
      <c r="E866" s="4"/>
      <c r="F866" s="170"/>
      <c r="G866" s="170"/>
      <c r="H866" s="170"/>
      <c r="I866" s="21"/>
    </row>
    <row r="867" spans="1:9" x14ac:dyDescent="0.25">
      <c r="A867" s="2" t="str">
        <f t="shared" si="29"/>
        <v>362</v>
      </c>
      <c r="B867" s="3" t="str">
        <f t="shared" si="30"/>
        <v>00;</v>
      </c>
      <c r="C867" s="170">
        <v>0</v>
      </c>
      <c r="D867" s="170"/>
      <c r="E867" s="4"/>
      <c r="F867" s="170"/>
      <c r="G867" s="170"/>
      <c r="H867" s="170"/>
      <c r="I867" s="21"/>
    </row>
    <row r="868" spans="1:9" x14ac:dyDescent="0.25">
      <c r="A868" s="2" t="str">
        <f t="shared" si="29"/>
        <v>363</v>
      </c>
      <c r="B868" s="3" t="str">
        <f t="shared" si="30"/>
        <v>00;</v>
      </c>
      <c r="C868" s="170">
        <v>0</v>
      </c>
      <c r="D868" s="170"/>
      <c r="E868" s="4"/>
      <c r="F868" s="170"/>
      <c r="G868" s="170"/>
      <c r="H868" s="170"/>
      <c r="I868" s="21"/>
    </row>
    <row r="869" spans="1:9" x14ac:dyDescent="0.25">
      <c r="A869" s="2" t="str">
        <f t="shared" si="29"/>
        <v>364</v>
      </c>
      <c r="B869" s="3" t="str">
        <f t="shared" si="30"/>
        <v>00;</v>
      </c>
      <c r="C869" s="170">
        <v>0</v>
      </c>
      <c r="D869" s="170"/>
      <c r="E869" s="4"/>
      <c r="F869" s="170"/>
      <c r="G869" s="170"/>
      <c r="H869" s="170"/>
      <c r="I869" s="21"/>
    </row>
    <row r="870" spans="1:9" x14ac:dyDescent="0.25">
      <c r="A870" s="2" t="str">
        <f t="shared" si="29"/>
        <v>365</v>
      </c>
      <c r="B870" s="3" t="str">
        <f t="shared" si="30"/>
        <v>00;</v>
      </c>
      <c r="C870" s="170">
        <v>0</v>
      </c>
      <c r="D870" s="170"/>
      <c r="E870" s="4"/>
      <c r="F870" s="170"/>
      <c r="G870" s="170"/>
      <c r="H870" s="170"/>
      <c r="I870" s="21"/>
    </row>
    <row r="871" spans="1:9" x14ac:dyDescent="0.25">
      <c r="A871" s="2" t="str">
        <f t="shared" si="29"/>
        <v>366</v>
      </c>
      <c r="B871" s="3" t="str">
        <f t="shared" si="30"/>
        <v>00;</v>
      </c>
      <c r="C871" s="170">
        <v>0</v>
      </c>
      <c r="D871" s="170"/>
      <c r="E871" s="4"/>
      <c r="F871" s="170"/>
      <c r="G871" s="170"/>
      <c r="H871" s="170"/>
      <c r="I871" s="21"/>
    </row>
    <row r="872" spans="1:9" x14ac:dyDescent="0.25">
      <c r="A872" s="2" t="str">
        <f t="shared" si="29"/>
        <v>367</v>
      </c>
      <c r="B872" s="3" t="str">
        <f t="shared" si="30"/>
        <v>00;</v>
      </c>
      <c r="C872" s="170">
        <v>0</v>
      </c>
      <c r="D872" s="170"/>
      <c r="E872" s="4"/>
      <c r="F872" s="170"/>
      <c r="G872" s="170"/>
      <c r="H872" s="170"/>
      <c r="I872" s="21"/>
    </row>
    <row r="873" spans="1:9" x14ac:dyDescent="0.25">
      <c r="A873" s="2" t="str">
        <f t="shared" si="29"/>
        <v>368</v>
      </c>
      <c r="B873" s="3" t="str">
        <f t="shared" si="30"/>
        <v>00;</v>
      </c>
      <c r="C873" s="170">
        <v>0</v>
      </c>
      <c r="D873" s="170"/>
      <c r="E873" s="4"/>
      <c r="F873" s="170"/>
      <c r="G873" s="170"/>
      <c r="H873" s="170"/>
      <c r="I873" s="21"/>
    </row>
    <row r="874" spans="1:9" x14ac:dyDescent="0.25">
      <c r="A874" s="2" t="str">
        <f t="shared" si="29"/>
        <v>369</v>
      </c>
      <c r="B874" s="3" t="str">
        <f t="shared" si="30"/>
        <v>00;</v>
      </c>
      <c r="C874" s="170">
        <v>0</v>
      </c>
      <c r="D874" s="170"/>
      <c r="E874" s="4"/>
      <c r="F874" s="170"/>
      <c r="G874" s="170"/>
      <c r="H874" s="170"/>
      <c r="I874" s="21"/>
    </row>
    <row r="875" spans="1:9" x14ac:dyDescent="0.25">
      <c r="A875" s="2" t="str">
        <f t="shared" si="29"/>
        <v>36A</v>
      </c>
      <c r="B875" s="3" t="str">
        <f t="shared" si="30"/>
        <v>00;</v>
      </c>
      <c r="C875" s="170">
        <v>0</v>
      </c>
      <c r="D875" s="170"/>
      <c r="E875" s="4"/>
      <c r="F875" s="170"/>
      <c r="G875" s="170"/>
      <c r="H875" s="170"/>
      <c r="I875" s="21"/>
    </row>
    <row r="876" spans="1:9" x14ac:dyDescent="0.25">
      <c r="A876" s="2" t="str">
        <f t="shared" si="29"/>
        <v>36B</v>
      </c>
      <c r="B876" s="3" t="str">
        <f t="shared" si="30"/>
        <v>00;</v>
      </c>
      <c r="C876" s="170">
        <v>0</v>
      </c>
      <c r="D876" s="170"/>
      <c r="E876" s="4"/>
      <c r="F876" s="170"/>
      <c r="G876" s="170"/>
      <c r="H876" s="170"/>
      <c r="I876" s="21"/>
    </row>
    <row r="877" spans="1:9" x14ac:dyDescent="0.25">
      <c r="A877" s="2" t="str">
        <f t="shared" si="29"/>
        <v>36C</v>
      </c>
      <c r="B877" s="3" t="str">
        <f t="shared" si="30"/>
        <v>00;</v>
      </c>
      <c r="C877" s="170">
        <v>0</v>
      </c>
      <c r="D877" s="170"/>
      <c r="E877" s="4"/>
      <c r="F877" s="170"/>
      <c r="G877" s="170"/>
      <c r="H877" s="170"/>
      <c r="I877" s="21"/>
    </row>
    <row r="878" spans="1:9" x14ac:dyDescent="0.25">
      <c r="A878" s="2" t="str">
        <f t="shared" si="29"/>
        <v>36D</v>
      </c>
      <c r="B878" s="3" t="str">
        <f t="shared" si="30"/>
        <v>00;</v>
      </c>
      <c r="C878" s="170">
        <v>0</v>
      </c>
      <c r="D878" s="170"/>
      <c r="E878" s="4"/>
      <c r="F878" s="170"/>
      <c r="G878" s="170"/>
      <c r="H878" s="170"/>
      <c r="I878" s="21"/>
    </row>
    <row r="879" spans="1:9" x14ac:dyDescent="0.25">
      <c r="A879" s="2" t="str">
        <f t="shared" si="29"/>
        <v>36E</v>
      </c>
      <c r="B879" s="3" t="str">
        <f t="shared" si="30"/>
        <v>00;</v>
      </c>
      <c r="C879" s="170">
        <v>0</v>
      </c>
      <c r="D879" s="170"/>
      <c r="E879" s="4"/>
      <c r="F879" s="170"/>
      <c r="G879" s="170"/>
      <c r="H879" s="170"/>
      <c r="I879" s="21"/>
    </row>
    <row r="880" spans="1:9" x14ac:dyDescent="0.25">
      <c r="A880" s="2" t="str">
        <f t="shared" si="29"/>
        <v>36F</v>
      </c>
      <c r="B880" s="3" t="str">
        <f t="shared" si="30"/>
        <v>00;</v>
      </c>
      <c r="C880" s="170">
        <v>0</v>
      </c>
      <c r="D880" s="170"/>
      <c r="E880" s="4"/>
      <c r="F880" s="170"/>
      <c r="G880" s="170"/>
      <c r="H880" s="170"/>
      <c r="I880" s="21"/>
    </row>
    <row r="881" spans="1:9" x14ac:dyDescent="0.25">
      <c r="A881" s="2" t="str">
        <f t="shared" si="29"/>
        <v>370</v>
      </c>
      <c r="B881" s="3" t="str">
        <f t="shared" si="30"/>
        <v>00;</v>
      </c>
      <c r="C881" s="170">
        <v>0</v>
      </c>
      <c r="D881" s="170"/>
      <c r="E881" s="4"/>
      <c r="F881" s="170"/>
      <c r="G881" s="170"/>
      <c r="H881" s="170"/>
      <c r="I881" s="21"/>
    </row>
    <row r="882" spans="1:9" x14ac:dyDescent="0.25">
      <c r="A882" s="2" t="str">
        <f t="shared" si="29"/>
        <v>371</v>
      </c>
      <c r="B882" s="3" t="str">
        <f t="shared" si="30"/>
        <v>00;</v>
      </c>
      <c r="C882" s="170">
        <v>0</v>
      </c>
      <c r="D882" s="170"/>
      <c r="E882" s="4"/>
      <c r="F882" s="170"/>
      <c r="G882" s="170"/>
      <c r="H882" s="170"/>
      <c r="I882" s="21"/>
    </row>
    <row r="883" spans="1:9" x14ac:dyDescent="0.25">
      <c r="A883" s="2" t="str">
        <f t="shared" si="29"/>
        <v>372</v>
      </c>
      <c r="B883" s="3" t="str">
        <f t="shared" si="30"/>
        <v>00;</v>
      </c>
      <c r="C883" s="170">
        <v>0</v>
      </c>
      <c r="D883" s="170"/>
      <c r="E883" s="4"/>
      <c r="F883" s="170"/>
      <c r="G883" s="170"/>
      <c r="H883" s="170"/>
      <c r="I883" s="21"/>
    </row>
    <row r="884" spans="1:9" x14ac:dyDescent="0.25">
      <c r="A884" s="2" t="str">
        <f t="shared" si="29"/>
        <v>373</v>
      </c>
      <c r="B884" s="3" t="str">
        <f t="shared" si="30"/>
        <v>00;</v>
      </c>
      <c r="C884" s="170">
        <v>0</v>
      </c>
      <c r="D884" s="170"/>
      <c r="E884" s="4"/>
      <c r="F884" s="170"/>
      <c r="G884" s="170"/>
      <c r="H884" s="170"/>
      <c r="I884" s="21"/>
    </row>
    <row r="885" spans="1:9" x14ac:dyDescent="0.25">
      <c r="A885" s="2" t="str">
        <f t="shared" si="29"/>
        <v>374</v>
      </c>
      <c r="B885" s="3" t="str">
        <f t="shared" si="30"/>
        <v>00;</v>
      </c>
      <c r="C885" s="170">
        <v>0</v>
      </c>
      <c r="D885" s="170"/>
      <c r="E885" s="4"/>
      <c r="F885" s="170"/>
      <c r="G885" s="170"/>
      <c r="H885" s="170"/>
      <c r="I885" s="21"/>
    </row>
    <row r="886" spans="1:9" x14ac:dyDescent="0.25">
      <c r="A886" s="2" t="str">
        <f t="shared" si="29"/>
        <v>375</v>
      </c>
      <c r="B886" s="3" t="str">
        <f t="shared" si="30"/>
        <v>00;</v>
      </c>
      <c r="C886" s="170">
        <v>0</v>
      </c>
      <c r="D886" s="170"/>
      <c r="E886" s="4"/>
      <c r="F886" s="170"/>
      <c r="G886" s="170"/>
      <c r="H886" s="170"/>
      <c r="I886" s="21"/>
    </row>
    <row r="887" spans="1:9" x14ac:dyDescent="0.25">
      <c r="A887" s="2" t="str">
        <f t="shared" si="29"/>
        <v>376</v>
      </c>
      <c r="B887" s="3" t="str">
        <f t="shared" si="30"/>
        <v>00;</v>
      </c>
      <c r="C887" s="170">
        <v>0</v>
      </c>
      <c r="D887" s="170"/>
      <c r="E887" s="4"/>
      <c r="F887" s="170"/>
      <c r="G887" s="170"/>
      <c r="H887" s="170"/>
      <c r="I887" s="21"/>
    </row>
    <row r="888" spans="1:9" x14ac:dyDescent="0.25">
      <c r="A888" s="2" t="str">
        <f t="shared" si="29"/>
        <v>377</v>
      </c>
      <c r="B888" s="3" t="str">
        <f t="shared" si="30"/>
        <v>00;</v>
      </c>
      <c r="C888" s="170">
        <v>0</v>
      </c>
      <c r="D888" s="170"/>
      <c r="E888" s="4"/>
      <c r="F888" s="170"/>
      <c r="G888" s="170"/>
      <c r="H888" s="170"/>
      <c r="I888" s="21"/>
    </row>
    <row r="889" spans="1:9" x14ac:dyDescent="0.25">
      <c r="A889" s="2" t="str">
        <f t="shared" si="29"/>
        <v>378</v>
      </c>
      <c r="B889" s="3" t="str">
        <f t="shared" si="30"/>
        <v>00;</v>
      </c>
      <c r="C889" s="170">
        <v>0</v>
      </c>
      <c r="D889" s="170"/>
      <c r="E889" s="4"/>
      <c r="F889" s="170"/>
      <c r="G889" s="170"/>
      <c r="H889" s="170"/>
      <c r="I889" s="21"/>
    </row>
    <row r="890" spans="1:9" x14ac:dyDescent="0.25">
      <c r="A890" s="2" t="str">
        <f t="shared" si="29"/>
        <v>379</v>
      </c>
      <c r="B890" s="3" t="str">
        <f t="shared" si="30"/>
        <v>00;</v>
      </c>
      <c r="C890" s="170">
        <v>0</v>
      </c>
      <c r="D890" s="170"/>
      <c r="E890" s="4"/>
      <c r="F890" s="170"/>
      <c r="G890" s="170"/>
      <c r="H890" s="170"/>
      <c r="I890" s="21"/>
    </row>
    <row r="891" spans="1:9" x14ac:dyDescent="0.25">
      <c r="A891" s="2" t="str">
        <f t="shared" si="29"/>
        <v>37A</v>
      </c>
      <c r="B891" s="3" t="str">
        <f t="shared" si="30"/>
        <v>00;</v>
      </c>
      <c r="C891" s="170">
        <v>0</v>
      </c>
      <c r="D891" s="170"/>
      <c r="E891" s="4"/>
      <c r="F891" s="170"/>
      <c r="G891" s="170"/>
      <c r="H891" s="170"/>
      <c r="I891" s="21"/>
    </row>
    <row r="892" spans="1:9" x14ac:dyDescent="0.25">
      <c r="A892" s="2" t="str">
        <f t="shared" si="29"/>
        <v>37B</v>
      </c>
      <c r="B892" s="3" t="str">
        <f t="shared" si="30"/>
        <v>00;</v>
      </c>
      <c r="C892" s="170">
        <v>0</v>
      </c>
      <c r="D892" s="170"/>
      <c r="E892" s="4"/>
      <c r="F892" s="170"/>
      <c r="G892" s="170"/>
      <c r="H892" s="170"/>
      <c r="I892" s="21"/>
    </row>
    <row r="893" spans="1:9" x14ac:dyDescent="0.25">
      <c r="A893" s="2" t="str">
        <f t="shared" si="29"/>
        <v>37C</v>
      </c>
      <c r="B893" s="3" t="str">
        <f t="shared" si="30"/>
        <v>00;</v>
      </c>
      <c r="C893" s="170">
        <v>0</v>
      </c>
      <c r="D893" s="170"/>
      <c r="E893" s="4"/>
      <c r="F893" s="170"/>
      <c r="G893" s="170"/>
      <c r="H893" s="170"/>
      <c r="I893" s="21"/>
    </row>
    <row r="894" spans="1:9" x14ac:dyDescent="0.25">
      <c r="A894" s="2" t="str">
        <f t="shared" si="29"/>
        <v>37D</v>
      </c>
      <c r="B894" s="3" t="str">
        <f t="shared" si="30"/>
        <v>00;</v>
      </c>
      <c r="C894" s="170">
        <v>0</v>
      </c>
      <c r="D894" s="170"/>
      <c r="E894" s="4"/>
      <c r="F894" s="170"/>
      <c r="G894" s="170"/>
      <c r="H894" s="170"/>
      <c r="I894" s="21"/>
    </row>
    <row r="895" spans="1:9" x14ac:dyDescent="0.25">
      <c r="A895" s="2" t="str">
        <f t="shared" si="29"/>
        <v>37E</v>
      </c>
      <c r="B895" s="3" t="str">
        <f t="shared" si="30"/>
        <v>00;</v>
      </c>
      <c r="C895" s="170">
        <v>0</v>
      </c>
      <c r="D895" s="170"/>
      <c r="E895" s="4"/>
      <c r="F895" s="170"/>
      <c r="G895" s="170"/>
      <c r="H895" s="170"/>
      <c r="I895" s="21"/>
    </row>
    <row r="896" spans="1:9" x14ac:dyDescent="0.25">
      <c r="A896" s="2" t="str">
        <f t="shared" si="29"/>
        <v>37F</v>
      </c>
      <c r="B896" s="3" t="str">
        <f t="shared" si="30"/>
        <v>00;</v>
      </c>
      <c r="C896" s="170">
        <v>0</v>
      </c>
      <c r="D896" s="170"/>
      <c r="E896" s="4"/>
      <c r="F896" s="170"/>
      <c r="G896" s="170"/>
      <c r="H896" s="170"/>
      <c r="I896" s="21"/>
    </row>
    <row r="897" spans="1:9" x14ac:dyDescent="0.25">
      <c r="A897" s="2" t="str">
        <f t="shared" si="29"/>
        <v>380</v>
      </c>
      <c r="B897" s="3" t="str">
        <f t="shared" si="30"/>
        <v>00;</v>
      </c>
      <c r="C897" s="170">
        <v>0</v>
      </c>
      <c r="D897" s="170"/>
      <c r="E897" s="4"/>
      <c r="F897" s="170"/>
      <c r="G897" s="170"/>
      <c r="H897" s="170"/>
      <c r="I897" s="21"/>
    </row>
    <row r="898" spans="1:9" x14ac:dyDescent="0.25">
      <c r="A898" s="2" t="str">
        <f t="shared" si="29"/>
        <v>381</v>
      </c>
      <c r="B898" s="3" t="str">
        <f t="shared" si="30"/>
        <v>00;</v>
      </c>
      <c r="C898" s="170">
        <v>0</v>
      </c>
      <c r="D898" s="170"/>
      <c r="E898" s="4"/>
      <c r="F898" s="170"/>
      <c r="G898" s="170"/>
      <c r="H898" s="170"/>
      <c r="I898" s="21"/>
    </row>
    <row r="899" spans="1:9" x14ac:dyDescent="0.25">
      <c r="A899" s="2" t="str">
        <f t="shared" si="29"/>
        <v>382</v>
      </c>
      <c r="B899" s="3" t="str">
        <f t="shared" si="30"/>
        <v>00;</v>
      </c>
      <c r="C899" s="170">
        <v>0</v>
      </c>
      <c r="D899" s="170"/>
      <c r="E899" s="4"/>
      <c r="F899" s="170"/>
      <c r="G899" s="170"/>
      <c r="H899" s="170"/>
      <c r="I899" s="21"/>
    </row>
    <row r="900" spans="1:9" x14ac:dyDescent="0.25">
      <c r="A900" s="2" t="str">
        <f t="shared" si="29"/>
        <v>383</v>
      </c>
      <c r="B900" s="3" t="str">
        <f t="shared" si="30"/>
        <v>00;</v>
      </c>
      <c r="C900" s="170">
        <v>0</v>
      </c>
      <c r="D900" s="170"/>
      <c r="E900" s="4"/>
      <c r="F900" s="170"/>
      <c r="G900" s="170"/>
      <c r="H900" s="170"/>
      <c r="I900" s="21"/>
    </row>
    <row r="901" spans="1:9" x14ac:dyDescent="0.25">
      <c r="A901" s="2" t="str">
        <f t="shared" si="29"/>
        <v>384</v>
      </c>
      <c r="B901" s="3" t="str">
        <f t="shared" si="30"/>
        <v>00;</v>
      </c>
      <c r="C901" s="170">
        <v>0</v>
      </c>
      <c r="D901" s="170"/>
      <c r="E901" s="4"/>
      <c r="F901" s="170"/>
      <c r="G901" s="170"/>
      <c r="H901" s="170"/>
      <c r="I901" s="21"/>
    </row>
    <row r="902" spans="1:9" x14ac:dyDescent="0.25">
      <c r="A902" s="2" t="str">
        <f t="shared" si="29"/>
        <v>385</v>
      </c>
      <c r="B902" s="3" t="str">
        <f t="shared" si="30"/>
        <v>00;</v>
      </c>
      <c r="C902" s="170">
        <v>0</v>
      </c>
      <c r="D902" s="170"/>
      <c r="E902" s="4"/>
      <c r="F902" s="170"/>
      <c r="G902" s="170"/>
      <c r="H902" s="170"/>
      <c r="I902" s="21"/>
    </row>
    <row r="903" spans="1:9" x14ac:dyDescent="0.25">
      <c r="A903" s="2" t="str">
        <f t="shared" si="29"/>
        <v>386</v>
      </c>
      <c r="B903" s="3" t="str">
        <f t="shared" si="30"/>
        <v>00;</v>
      </c>
      <c r="C903" s="170">
        <v>0</v>
      </c>
      <c r="D903" s="170"/>
      <c r="E903" s="4"/>
      <c r="F903" s="170"/>
      <c r="G903" s="170"/>
      <c r="H903" s="170"/>
      <c r="I903" s="21"/>
    </row>
    <row r="904" spans="1:9" x14ac:dyDescent="0.25">
      <c r="A904" s="2" t="str">
        <f t="shared" si="29"/>
        <v>387</v>
      </c>
      <c r="B904" s="3" t="str">
        <f t="shared" si="30"/>
        <v>00;</v>
      </c>
      <c r="C904" s="170">
        <v>0</v>
      </c>
      <c r="D904" s="170"/>
      <c r="E904" s="4"/>
      <c r="F904" s="170"/>
      <c r="G904" s="170"/>
      <c r="H904" s="170"/>
      <c r="I904" s="21"/>
    </row>
    <row r="905" spans="1:9" x14ac:dyDescent="0.25">
      <c r="A905" s="2" t="str">
        <f t="shared" si="29"/>
        <v>388</v>
      </c>
      <c r="B905" s="3" t="str">
        <f t="shared" si="30"/>
        <v>00;</v>
      </c>
      <c r="C905" s="170">
        <v>0</v>
      </c>
      <c r="D905" s="170"/>
      <c r="E905" s="4"/>
      <c r="F905" s="170"/>
      <c r="G905" s="170"/>
      <c r="H905" s="170"/>
      <c r="I905" s="21"/>
    </row>
    <row r="906" spans="1:9" x14ac:dyDescent="0.25">
      <c r="A906" s="2" t="str">
        <f t="shared" ref="A906:A969" si="31">IF(ROW()-1&lt;16,CONCATENATE("0",DEC2HEX(ROW()-1)),DEC2HEX(ROW()-1))</f>
        <v>389</v>
      </c>
      <c r="B906" s="3" t="str">
        <f t="shared" si="30"/>
        <v>00;</v>
      </c>
      <c r="C906" s="170">
        <v>0</v>
      </c>
      <c r="D906" s="170"/>
      <c r="E906" s="4"/>
      <c r="F906" s="170"/>
      <c r="G906" s="170"/>
      <c r="H906" s="170"/>
      <c r="I906" s="21"/>
    </row>
    <row r="907" spans="1:9" x14ac:dyDescent="0.25">
      <c r="A907" s="2" t="str">
        <f t="shared" si="31"/>
        <v>38A</v>
      </c>
      <c r="B907" s="3" t="str">
        <f t="shared" si="30"/>
        <v>00;</v>
      </c>
      <c r="C907" s="170">
        <v>0</v>
      </c>
      <c r="D907" s="170"/>
      <c r="E907" s="4"/>
      <c r="F907" s="170"/>
      <c r="G907" s="170"/>
      <c r="H907" s="170"/>
      <c r="I907" s="21"/>
    </row>
    <row r="908" spans="1:9" x14ac:dyDescent="0.25">
      <c r="A908" s="2" t="str">
        <f t="shared" si="31"/>
        <v>38B</v>
      </c>
      <c r="B908" s="3" t="str">
        <f t="shared" si="30"/>
        <v>00;</v>
      </c>
      <c r="C908" s="170">
        <v>0</v>
      </c>
      <c r="D908" s="170"/>
      <c r="E908" s="4"/>
      <c r="F908" s="170"/>
      <c r="G908" s="170"/>
      <c r="H908" s="170"/>
      <c r="I908" s="21"/>
    </row>
    <row r="909" spans="1:9" x14ac:dyDescent="0.25">
      <c r="A909" s="2" t="str">
        <f t="shared" si="31"/>
        <v>38C</v>
      </c>
      <c r="B909" s="3" t="str">
        <f t="shared" ref="B909:B972" si="32">IF(C909&lt;16,CONCATENATE("0",DEC2HEX(C909),";"),CONCATENATE(DEC2HEX(C909),";"))</f>
        <v>00;</v>
      </c>
      <c r="C909" s="170">
        <v>0</v>
      </c>
      <c r="D909" s="170"/>
      <c r="E909" s="4"/>
      <c r="F909" s="170"/>
      <c r="G909" s="170"/>
      <c r="H909" s="170"/>
      <c r="I909" s="21"/>
    </row>
    <row r="910" spans="1:9" x14ac:dyDescent="0.25">
      <c r="A910" s="2" t="str">
        <f t="shared" si="31"/>
        <v>38D</v>
      </c>
      <c r="B910" s="3" t="str">
        <f t="shared" si="32"/>
        <v>00;</v>
      </c>
      <c r="C910" s="170">
        <v>0</v>
      </c>
      <c r="D910" s="170"/>
      <c r="E910" s="4"/>
      <c r="F910" s="170"/>
      <c r="G910" s="170"/>
      <c r="H910" s="170"/>
      <c r="I910" s="21"/>
    </row>
    <row r="911" spans="1:9" x14ac:dyDescent="0.25">
      <c r="A911" s="2" t="str">
        <f t="shared" si="31"/>
        <v>38E</v>
      </c>
      <c r="B911" s="3" t="str">
        <f t="shared" si="32"/>
        <v>00;</v>
      </c>
      <c r="C911" s="170">
        <v>0</v>
      </c>
      <c r="D911" s="170"/>
      <c r="E911" s="4"/>
      <c r="F911" s="170"/>
      <c r="G911" s="170"/>
      <c r="H911" s="170"/>
      <c r="I911" s="21"/>
    </row>
    <row r="912" spans="1:9" x14ac:dyDescent="0.25">
      <c r="A912" s="2" t="str">
        <f t="shared" si="31"/>
        <v>38F</v>
      </c>
      <c r="B912" s="3" t="str">
        <f t="shared" si="32"/>
        <v>00;</v>
      </c>
      <c r="C912" s="170">
        <v>0</v>
      </c>
      <c r="D912" s="170"/>
      <c r="E912" s="4"/>
      <c r="F912" s="170"/>
      <c r="G912" s="170"/>
      <c r="H912" s="170"/>
      <c r="I912" s="21"/>
    </row>
    <row r="913" spans="1:9" x14ac:dyDescent="0.25">
      <c r="A913" s="2" t="str">
        <f t="shared" si="31"/>
        <v>390</v>
      </c>
      <c r="B913" s="3" t="str">
        <f t="shared" si="32"/>
        <v>00;</v>
      </c>
      <c r="C913" s="170">
        <v>0</v>
      </c>
      <c r="D913" s="170"/>
      <c r="E913" s="4"/>
      <c r="F913" s="170"/>
      <c r="G913" s="170"/>
      <c r="H913" s="170"/>
      <c r="I913" s="21"/>
    </row>
    <row r="914" spans="1:9" x14ac:dyDescent="0.25">
      <c r="A914" s="2" t="str">
        <f t="shared" si="31"/>
        <v>391</v>
      </c>
      <c r="B914" s="3" t="str">
        <f t="shared" si="32"/>
        <v>00;</v>
      </c>
      <c r="C914" s="170">
        <v>0</v>
      </c>
      <c r="D914" s="170"/>
      <c r="E914" s="4"/>
      <c r="F914" s="170"/>
      <c r="G914" s="170"/>
      <c r="H914" s="170"/>
      <c r="I914" s="21"/>
    </row>
    <row r="915" spans="1:9" x14ac:dyDescent="0.25">
      <c r="A915" s="2" t="str">
        <f t="shared" si="31"/>
        <v>392</v>
      </c>
      <c r="B915" s="3" t="str">
        <f t="shared" si="32"/>
        <v>00;</v>
      </c>
      <c r="C915" s="170">
        <v>0</v>
      </c>
      <c r="D915" s="170"/>
      <c r="E915" s="4"/>
      <c r="F915" s="170"/>
      <c r="G915" s="170"/>
      <c r="H915" s="170"/>
      <c r="I915" s="21"/>
    </row>
    <row r="916" spans="1:9" x14ac:dyDescent="0.25">
      <c r="A916" s="2" t="str">
        <f t="shared" si="31"/>
        <v>393</v>
      </c>
      <c r="B916" s="3" t="str">
        <f t="shared" si="32"/>
        <v>00;</v>
      </c>
      <c r="C916" s="170">
        <v>0</v>
      </c>
      <c r="D916" s="170"/>
      <c r="E916" s="4"/>
      <c r="F916" s="170"/>
      <c r="G916" s="170"/>
      <c r="H916" s="170"/>
      <c r="I916" s="21"/>
    </row>
    <row r="917" spans="1:9" x14ac:dyDescent="0.25">
      <c r="A917" s="2" t="str">
        <f t="shared" si="31"/>
        <v>394</v>
      </c>
      <c r="B917" s="3" t="str">
        <f t="shared" si="32"/>
        <v>00;</v>
      </c>
      <c r="C917" s="170">
        <v>0</v>
      </c>
      <c r="D917" s="170"/>
      <c r="E917" s="4"/>
      <c r="F917" s="170"/>
      <c r="G917" s="170"/>
      <c r="H917" s="170"/>
      <c r="I917" s="21"/>
    </row>
    <row r="918" spans="1:9" x14ac:dyDescent="0.25">
      <c r="A918" s="2" t="str">
        <f t="shared" si="31"/>
        <v>395</v>
      </c>
      <c r="B918" s="3" t="str">
        <f t="shared" si="32"/>
        <v>00;</v>
      </c>
      <c r="C918" s="170">
        <v>0</v>
      </c>
      <c r="D918" s="170"/>
      <c r="E918" s="4"/>
      <c r="F918" s="170"/>
      <c r="G918" s="170"/>
      <c r="H918" s="170"/>
      <c r="I918" s="21"/>
    </row>
    <row r="919" spans="1:9" x14ac:dyDescent="0.25">
      <c r="A919" s="2" t="str">
        <f t="shared" si="31"/>
        <v>396</v>
      </c>
      <c r="B919" s="3" t="str">
        <f t="shared" si="32"/>
        <v>00;</v>
      </c>
      <c r="C919" s="170">
        <v>0</v>
      </c>
      <c r="D919" s="170"/>
      <c r="E919" s="4"/>
      <c r="F919" s="170"/>
      <c r="G919" s="170"/>
      <c r="H919" s="170"/>
      <c r="I919" s="21"/>
    </row>
    <row r="920" spans="1:9" x14ac:dyDescent="0.25">
      <c r="A920" s="2" t="str">
        <f t="shared" si="31"/>
        <v>397</v>
      </c>
      <c r="B920" s="3" t="str">
        <f t="shared" si="32"/>
        <v>00;</v>
      </c>
      <c r="C920" s="170">
        <v>0</v>
      </c>
      <c r="D920" s="170"/>
      <c r="E920" s="4"/>
      <c r="F920" s="170"/>
      <c r="G920" s="170"/>
      <c r="H920" s="170"/>
      <c r="I920" s="21"/>
    </row>
    <row r="921" spans="1:9" x14ac:dyDescent="0.25">
      <c r="A921" s="2" t="str">
        <f t="shared" si="31"/>
        <v>398</v>
      </c>
      <c r="B921" s="3" t="str">
        <f t="shared" si="32"/>
        <v>00;</v>
      </c>
      <c r="C921" s="170">
        <v>0</v>
      </c>
      <c r="D921" s="170"/>
      <c r="E921" s="4"/>
      <c r="F921" s="170"/>
      <c r="G921" s="170"/>
      <c r="H921" s="170"/>
      <c r="I921" s="21"/>
    </row>
    <row r="922" spans="1:9" x14ac:dyDescent="0.25">
      <c r="A922" s="2" t="str">
        <f t="shared" si="31"/>
        <v>399</v>
      </c>
      <c r="B922" s="3" t="str">
        <f t="shared" si="32"/>
        <v>00;</v>
      </c>
      <c r="C922" s="170">
        <v>0</v>
      </c>
      <c r="D922" s="170"/>
      <c r="E922" s="4"/>
      <c r="F922" s="170"/>
      <c r="G922" s="170"/>
      <c r="H922" s="170"/>
      <c r="I922" s="21"/>
    </row>
    <row r="923" spans="1:9" x14ac:dyDescent="0.25">
      <c r="A923" s="2" t="str">
        <f t="shared" si="31"/>
        <v>39A</v>
      </c>
      <c r="B923" s="3" t="str">
        <f t="shared" si="32"/>
        <v>00;</v>
      </c>
      <c r="C923" s="170">
        <v>0</v>
      </c>
      <c r="D923" s="170"/>
      <c r="E923" s="4"/>
      <c r="F923" s="170"/>
      <c r="G923" s="170"/>
      <c r="H923" s="170"/>
      <c r="I923" s="21"/>
    </row>
    <row r="924" spans="1:9" x14ac:dyDescent="0.25">
      <c r="A924" s="2" t="str">
        <f t="shared" si="31"/>
        <v>39B</v>
      </c>
      <c r="B924" s="3" t="str">
        <f t="shared" si="32"/>
        <v>00;</v>
      </c>
      <c r="C924" s="170">
        <v>0</v>
      </c>
      <c r="D924" s="170"/>
      <c r="E924" s="4"/>
      <c r="F924" s="170"/>
      <c r="G924" s="170"/>
      <c r="H924" s="170"/>
      <c r="I924" s="21"/>
    </row>
    <row r="925" spans="1:9" x14ac:dyDescent="0.25">
      <c r="A925" s="2" t="str">
        <f t="shared" si="31"/>
        <v>39C</v>
      </c>
      <c r="B925" s="3" t="str">
        <f t="shared" si="32"/>
        <v>00;</v>
      </c>
      <c r="C925" s="170">
        <v>0</v>
      </c>
      <c r="D925" s="170"/>
      <c r="E925" s="4"/>
      <c r="F925" s="170"/>
      <c r="G925" s="170"/>
      <c r="H925" s="170"/>
      <c r="I925" s="21"/>
    </row>
    <row r="926" spans="1:9" x14ac:dyDescent="0.25">
      <c r="A926" s="2" t="str">
        <f t="shared" si="31"/>
        <v>39D</v>
      </c>
      <c r="B926" s="3" t="str">
        <f t="shared" si="32"/>
        <v>00;</v>
      </c>
      <c r="C926" s="170">
        <v>0</v>
      </c>
      <c r="D926" s="170"/>
      <c r="E926" s="4"/>
      <c r="F926" s="170"/>
      <c r="G926" s="170"/>
      <c r="H926" s="170"/>
      <c r="I926" s="21"/>
    </row>
    <row r="927" spans="1:9" x14ac:dyDescent="0.25">
      <c r="A927" s="2" t="str">
        <f t="shared" si="31"/>
        <v>39E</v>
      </c>
      <c r="B927" s="3" t="str">
        <f t="shared" si="32"/>
        <v>00;</v>
      </c>
      <c r="C927" s="170">
        <v>0</v>
      </c>
      <c r="D927" s="170"/>
      <c r="E927" s="4"/>
      <c r="F927" s="170"/>
      <c r="G927" s="170"/>
      <c r="H927" s="170"/>
      <c r="I927" s="21"/>
    </row>
    <row r="928" spans="1:9" x14ac:dyDescent="0.25">
      <c r="A928" s="2" t="str">
        <f t="shared" si="31"/>
        <v>39F</v>
      </c>
      <c r="B928" s="3" t="str">
        <f t="shared" si="32"/>
        <v>00;</v>
      </c>
      <c r="C928" s="170">
        <v>0</v>
      </c>
      <c r="D928" s="170"/>
      <c r="E928" s="4"/>
      <c r="F928" s="170"/>
      <c r="G928" s="170"/>
      <c r="H928" s="170"/>
      <c r="I928" s="21"/>
    </row>
    <row r="929" spans="1:9" x14ac:dyDescent="0.25">
      <c r="A929" s="2" t="str">
        <f t="shared" si="31"/>
        <v>3A0</v>
      </c>
      <c r="B929" s="3" t="str">
        <f t="shared" si="32"/>
        <v>00;</v>
      </c>
      <c r="C929" s="170">
        <v>0</v>
      </c>
      <c r="D929" s="170"/>
      <c r="E929" s="4"/>
      <c r="F929" s="170"/>
      <c r="G929" s="170"/>
      <c r="H929" s="170"/>
      <c r="I929" s="21"/>
    </row>
    <row r="930" spans="1:9" x14ac:dyDescent="0.25">
      <c r="A930" s="2" t="str">
        <f t="shared" si="31"/>
        <v>3A1</v>
      </c>
      <c r="B930" s="3" t="str">
        <f t="shared" si="32"/>
        <v>00;</v>
      </c>
      <c r="C930" s="170">
        <v>0</v>
      </c>
      <c r="D930" s="170"/>
      <c r="E930" s="4"/>
      <c r="F930" s="170"/>
      <c r="G930" s="170"/>
      <c r="H930" s="170"/>
      <c r="I930" s="21"/>
    </row>
    <row r="931" spans="1:9" x14ac:dyDescent="0.25">
      <c r="A931" s="2" t="str">
        <f t="shared" si="31"/>
        <v>3A2</v>
      </c>
      <c r="B931" s="3" t="str">
        <f t="shared" si="32"/>
        <v>00;</v>
      </c>
      <c r="C931" s="170">
        <v>0</v>
      </c>
      <c r="D931" s="170"/>
      <c r="E931" s="4"/>
      <c r="F931" s="170"/>
      <c r="G931" s="170"/>
      <c r="H931" s="170"/>
      <c r="I931" s="21"/>
    </row>
    <row r="932" spans="1:9" x14ac:dyDescent="0.25">
      <c r="A932" s="2" t="str">
        <f t="shared" si="31"/>
        <v>3A3</v>
      </c>
      <c r="B932" s="3" t="str">
        <f t="shared" si="32"/>
        <v>00;</v>
      </c>
      <c r="C932" s="170">
        <v>0</v>
      </c>
      <c r="D932" s="170"/>
      <c r="E932" s="4"/>
      <c r="F932" s="170"/>
      <c r="G932" s="170"/>
      <c r="H932" s="170"/>
      <c r="I932" s="21"/>
    </row>
    <row r="933" spans="1:9" x14ac:dyDescent="0.25">
      <c r="A933" s="2" t="str">
        <f t="shared" si="31"/>
        <v>3A4</v>
      </c>
      <c r="B933" s="3" t="str">
        <f t="shared" si="32"/>
        <v>00;</v>
      </c>
      <c r="C933" s="170">
        <v>0</v>
      </c>
      <c r="D933" s="170"/>
      <c r="E933" s="4"/>
      <c r="F933" s="170"/>
      <c r="G933" s="170"/>
      <c r="H933" s="170"/>
      <c r="I933" s="21"/>
    </row>
    <row r="934" spans="1:9" x14ac:dyDescent="0.25">
      <c r="A934" s="2" t="str">
        <f t="shared" si="31"/>
        <v>3A5</v>
      </c>
      <c r="B934" s="3" t="str">
        <f t="shared" si="32"/>
        <v>00;</v>
      </c>
      <c r="C934" s="170">
        <v>0</v>
      </c>
      <c r="D934" s="170"/>
      <c r="E934" s="4"/>
      <c r="F934" s="170"/>
      <c r="G934" s="170"/>
      <c r="H934" s="170"/>
      <c r="I934" s="21"/>
    </row>
    <row r="935" spans="1:9" x14ac:dyDescent="0.25">
      <c r="A935" s="2" t="str">
        <f t="shared" si="31"/>
        <v>3A6</v>
      </c>
      <c r="B935" s="3" t="str">
        <f t="shared" si="32"/>
        <v>00;</v>
      </c>
      <c r="C935" s="170">
        <v>0</v>
      </c>
      <c r="D935" s="170"/>
      <c r="E935" s="4"/>
      <c r="F935" s="170"/>
      <c r="G935" s="170"/>
      <c r="H935" s="170"/>
      <c r="I935" s="21"/>
    </row>
    <row r="936" spans="1:9" x14ac:dyDescent="0.25">
      <c r="A936" s="2" t="str">
        <f t="shared" si="31"/>
        <v>3A7</v>
      </c>
      <c r="B936" s="3" t="str">
        <f t="shared" si="32"/>
        <v>00;</v>
      </c>
      <c r="C936" s="170">
        <v>0</v>
      </c>
      <c r="D936" s="170"/>
      <c r="E936" s="4"/>
      <c r="F936" s="170"/>
      <c r="G936" s="170"/>
      <c r="H936" s="170"/>
      <c r="I936" s="21"/>
    </row>
    <row r="937" spans="1:9" x14ac:dyDescent="0.25">
      <c r="A937" s="2" t="str">
        <f t="shared" si="31"/>
        <v>3A8</v>
      </c>
      <c r="B937" s="3" t="str">
        <f t="shared" si="32"/>
        <v>00;</v>
      </c>
      <c r="C937" s="170">
        <v>0</v>
      </c>
      <c r="D937" s="170"/>
      <c r="E937" s="4"/>
      <c r="F937" s="170"/>
      <c r="G937" s="170"/>
      <c r="H937" s="170"/>
      <c r="I937" s="21"/>
    </row>
    <row r="938" spans="1:9" x14ac:dyDescent="0.25">
      <c r="A938" s="2" t="str">
        <f t="shared" si="31"/>
        <v>3A9</v>
      </c>
      <c r="B938" s="3" t="str">
        <f t="shared" si="32"/>
        <v>00;</v>
      </c>
      <c r="C938" s="170">
        <v>0</v>
      </c>
      <c r="D938" s="170"/>
      <c r="E938" s="4"/>
      <c r="F938" s="170"/>
      <c r="G938" s="170"/>
      <c r="H938" s="170"/>
      <c r="I938" s="21"/>
    </row>
    <row r="939" spans="1:9" x14ac:dyDescent="0.25">
      <c r="A939" s="2" t="str">
        <f t="shared" si="31"/>
        <v>3AA</v>
      </c>
      <c r="B939" s="3" t="str">
        <f t="shared" si="32"/>
        <v>00;</v>
      </c>
      <c r="C939" s="170">
        <v>0</v>
      </c>
      <c r="D939" s="170"/>
      <c r="E939" s="4"/>
      <c r="F939" s="170"/>
      <c r="G939" s="170"/>
      <c r="H939" s="170"/>
      <c r="I939" s="21"/>
    </row>
    <row r="940" spans="1:9" x14ac:dyDescent="0.25">
      <c r="A940" s="2" t="str">
        <f t="shared" si="31"/>
        <v>3AB</v>
      </c>
      <c r="B940" s="3" t="str">
        <f t="shared" si="32"/>
        <v>00;</v>
      </c>
      <c r="C940" s="170">
        <v>0</v>
      </c>
      <c r="D940" s="170"/>
      <c r="E940" s="4"/>
      <c r="F940" s="170"/>
      <c r="G940" s="170"/>
      <c r="H940" s="170"/>
      <c r="I940" s="21"/>
    </row>
    <row r="941" spans="1:9" x14ac:dyDescent="0.25">
      <c r="A941" s="2" t="str">
        <f t="shared" si="31"/>
        <v>3AC</v>
      </c>
      <c r="B941" s="3" t="str">
        <f t="shared" si="32"/>
        <v>00;</v>
      </c>
      <c r="C941" s="170">
        <v>0</v>
      </c>
      <c r="D941" s="170"/>
      <c r="E941" s="4"/>
      <c r="F941" s="170"/>
      <c r="G941" s="170"/>
      <c r="H941" s="170"/>
      <c r="I941" s="21"/>
    </row>
    <row r="942" spans="1:9" x14ac:dyDescent="0.25">
      <c r="A942" s="2" t="str">
        <f t="shared" si="31"/>
        <v>3AD</v>
      </c>
      <c r="B942" s="3" t="str">
        <f t="shared" si="32"/>
        <v>00;</v>
      </c>
      <c r="C942" s="170">
        <v>0</v>
      </c>
      <c r="D942" s="170"/>
      <c r="E942" s="4"/>
      <c r="F942" s="170"/>
      <c r="G942" s="170"/>
      <c r="H942" s="170"/>
      <c r="I942" s="21"/>
    </row>
    <row r="943" spans="1:9" x14ac:dyDescent="0.25">
      <c r="A943" s="2" t="str">
        <f t="shared" si="31"/>
        <v>3AE</v>
      </c>
      <c r="B943" s="3" t="str">
        <f t="shared" si="32"/>
        <v>00;</v>
      </c>
      <c r="C943" s="170">
        <v>0</v>
      </c>
      <c r="D943" s="170"/>
      <c r="E943" s="4"/>
      <c r="F943" s="170"/>
      <c r="G943" s="170"/>
      <c r="H943" s="170"/>
      <c r="I943" s="21"/>
    </row>
    <row r="944" spans="1:9" x14ac:dyDescent="0.25">
      <c r="A944" s="2" t="str">
        <f t="shared" si="31"/>
        <v>3AF</v>
      </c>
      <c r="B944" s="3" t="str">
        <f t="shared" si="32"/>
        <v>00;</v>
      </c>
      <c r="C944" s="170">
        <v>0</v>
      </c>
      <c r="D944" s="170"/>
      <c r="E944" s="4"/>
      <c r="F944" s="170"/>
      <c r="G944" s="170"/>
      <c r="H944" s="170"/>
      <c r="I944" s="21"/>
    </row>
    <row r="945" spans="1:9" x14ac:dyDescent="0.25">
      <c r="A945" s="2" t="str">
        <f t="shared" si="31"/>
        <v>3B0</v>
      </c>
      <c r="B945" s="3" t="str">
        <f t="shared" si="32"/>
        <v>00;</v>
      </c>
      <c r="C945" s="170">
        <v>0</v>
      </c>
      <c r="D945" s="170"/>
      <c r="E945" s="4"/>
      <c r="F945" s="170"/>
      <c r="G945" s="170"/>
      <c r="H945" s="170"/>
      <c r="I945" s="21"/>
    </row>
    <row r="946" spans="1:9" x14ac:dyDescent="0.25">
      <c r="A946" s="2" t="str">
        <f t="shared" si="31"/>
        <v>3B1</v>
      </c>
      <c r="B946" s="3" t="str">
        <f t="shared" si="32"/>
        <v>00;</v>
      </c>
      <c r="C946" s="170">
        <v>0</v>
      </c>
      <c r="D946" s="170"/>
      <c r="E946" s="4"/>
      <c r="F946" s="170"/>
      <c r="G946" s="170"/>
      <c r="H946" s="170"/>
      <c r="I946" s="21"/>
    </row>
    <row r="947" spans="1:9" x14ac:dyDescent="0.25">
      <c r="A947" s="2" t="str">
        <f t="shared" si="31"/>
        <v>3B2</v>
      </c>
      <c r="B947" s="3" t="str">
        <f t="shared" si="32"/>
        <v>00;</v>
      </c>
      <c r="C947" s="170">
        <v>0</v>
      </c>
      <c r="D947" s="170"/>
      <c r="E947" s="4"/>
      <c r="F947" s="170"/>
      <c r="G947" s="170"/>
      <c r="H947" s="170"/>
      <c r="I947" s="21"/>
    </row>
    <row r="948" spans="1:9" x14ac:dyDescent="0.25">
      <c r="A948" s="2" t="str">
        <f t="shared" si="31"/>
        <v>3B3</v>
      </c>
      <c r="B948" s="3" t="str">
        <f t="shared" si="32"/>
        <v>00;</v>
      </c>
      <c r="C948" s="170">
        <v>0</v>
      </c>
      <c r="D948" s="170"/>
      <c r="E948" s="4"/>
      <c r="F948" s="170"/>
      <c r="G948" s="170"/>
      <c r="H948" s="170"/>
      <c r="I948" s="21"/>
    </row>
    <row r="949" spans="1:9" x14ac:dyDescent="0.25">
      <c r="A949" s="2" t="str">
        <f t="shared" si="31"/>
        <v>3B4</v>
      </c>
      <c r="B949" s="3" t="str">
        <f t="shared" si="32"/>
        <v>00;</v>
      </c>
      <c r="C949" s="170">
        <v>0</v>
      </c>
      <c r="D949" s="170"/>
      <c r="E949" s="4"/>
      <c r="F949" s="170"/>
      <c r="G949" s="170"/>
      <c r="H949" s="170"/>
      <c r="I949" s="21"/>
    </row>
    <row r="950" spans="1:9" x14ac:dyDescent="0.25">
      <c r="A950" s="2" t="str">
        <f t="shared" si="31"/>
        <v>3B5</v>
      </c>
      <c r="B950" s="3" t="str">
        <f t="shared" si="32"/>
        <v>00;</v>
      </c>
      <c r="C950" s="170">
        <v>0</v>
      </c>
      <c r="D950" s="170"/>
      <c r="E950" s="4"/>
      <c r="F950" s="170"/>
      <c r="G950" s="170"/>
      <c r="H950" s="170"/>
      <c r="I950" s="21"/>
    </row>
    <row r="951" spans="1:9" x14ac:dyDescent="0.25">
      <c r="A951" s="2" t="str">
        <f t="shared" si="31"/>
        <v>3B6</v>
      </c>
      <c r="B951" s="3" t="str">
        <f t="shared" si="32"/>
        <v>00;</v>
      </c>
      <c r="C951" s="170">
        <v>0</v>
      </c>
      <c r="D951" s="170"/>
      <c r="E951" s="4"/>
      <c r="F951" s="170"/>
      <c r="G951" s="170"/>
      <c r="H951" s="170"/>
      <c r="I951" s="21"/>
    </row>
    <row r="952" spans="1:9" x14ac:dyDescent="0.25">
      <c r="A952" s="2" t="str">
        <f t="shared" si="31"/>
        <v>3B7</v>
      </c>
      <c r="B952" s="3" t="str">
        <f t="shared" si="32"/>
        <v>00;</v>
      </c>
      <c r="C952" s="170">
        <v>0</v>
      </c>
      <c r="D952" s="170"/>
      <c r="E952" s="4"/>
      <c r="F952" s="170"/>
      <c r="G952" s="170"/>
      <c r="H952" s="170"/>
      <c r="I952" s="21"/>
    </row>
    <row r="953" spans="1:9" x14ac:dyDescent="0.25">
      <c r="A953" s="2" t="str">
        <f t="shared" si="31"/>
        <v>3B8</v>
      </c>
      <c r="B953" s="3" t="str">
        <f t="shared" si="32"/>
        <v>00;</v>
      </c>
      <c r="C953" s="170">
        <v>0</v>
      </c>
      <c r="D953" s="170"/>
      <c r="E953" s="4"/>
      <c r="F953" s="170"/>
      <c r="G953" s="170"/>
      <c r="H953" s="170"/>
      <c r="I953" s="21"/>
    </row>
    <row r="954" spans="1:9" x14ac:dyDescent="0.25">
      <c r="A954" s="2" t="str">
        <f t="shared" si="31"/>
        <v>3B9</v>
      </c>
      <c r="B954" s="3" t="str">
        <f t="shared" si="32"/>
        <v>00;</v>
      </c>
      <c r="C954" s="170">
        <v>0</v>
      </c>
      <c r="D954" s="170"/>
      <c r="E954" s="4"/>
      <c r="F954" s="170"/>
      <c r="G954" s="170"/>
      <c r="H954" s="170"/>
      <c r="I954" s="21"/>
    </row>
    <row r="955" spans="1:9" x14ac:dyDescent="0.25">
      <c r="A955" s="2" t="str">
        <f t="shared" si="31"/>
        <v>3BA</v>
      </c>
      <c r="B955" s="3" t="str">
        <f t="shared" si="32"/>
        <v>00;</v>
      </c>
      <c r="C955" s="170">
        <v>0</v>
      </c>
      <c r="D955" s="170"/>
      <c r="E955" s="4"/>
      <c r="F955" s="170"/>
      <c r="G955" s="170"/>
      <c r="H955" s="170"/>
      <c r="I955" s="21"/>
    </row>
    <row r="956" spans="1:9" x14ac:dyDescent="0.25">
      <c r="A956" s="2" t="str">
        <f t="shared" si="31"/>
        <v>3BB</v>
      </c>
      <c r="B956" s="3" t="str">
        <f t="shared" si="32"/>
        <v>00;</v>
      </c>
      <c r="C956" s="170">
        <v>0</v>
      </c>
      <c r="D956" s="170"/>
      <c r="E956" s="4"/>
      <c r="F956" s="170"/>
      <c r="G956" s="170"/>
      <c r="H956" s="170"/>
      <c r="I956" s="21"/>
    </row>
    <row r="957" spans="1:9" x14ac:dyDescent="0.25">
      <c r="A957" s="2" t="str">
        <f t="shared" si="31"/>
        <v>3BC</v>
      </c>
      <c r="B957" s="3" t="str">
        <f t="shared" si="32"/>
        <v>00;</v>
      </c>
      <c r="C957" s="170">
        <v>0</v>
      </c>
      <c r="D957" s="170"/>
      <c r="E957" s="4"/>
      <c r="F957" s="170"/>
      <c r="G957" s="170"/>
      <c r="H957" s="170"/>
      <c r="I957" s="21"/>
    </row>
    <row r="958" spans="1:9" x14ac:dyDescent="0.25">
      <c r="A958" s="2" t="str">
        <f t="shared" si="31"/>
        <v>3BD</v>
      </c>
      <c r="B958" s="3" t="str">
        <f t="shared" si="32"/>
        <v>00;</v>
      </c>
      <c r="C958" s="170">
        <v>0</v>
      </c>
      <c r="D958" s="170"/>
      <c r="E958" s="4"/>
      <c r="F958" s="170"/>
      <c r="G958" s="170"/>
      <c r="H958" s="170"/>
      <c r="I958" s="21"/>
    </row>
    <row r="959" spans="1:9" x14ac:dyDescent="0.25">
      <c r="A959" s="2" t="str">
        <f t="shared" si="31"/>
        <v>3BE</v>
      </c>
      <c r="B959" s="3" t="str">
        <f t="shared" si="32"/>
        <v>00;</v>
      </c>
      <c r="C959" s="170">
        <v>0</v>
      </c>
      <c r="D959" s="170"/>
      <c r="E959" s="4"/>
      <c r="F959" s="170"/>
      <c r="G959" s="170"/>
      <c r="H959" s="170"/>
      <c r="I959" s="21"/>
    </row>
    <row r="960" spans="1:9" x14ac:dyDescent="0.25">
      <c r="A960" s="2" t="str">
        <f t="shared" si="31"/>
        <v>3BF</v>
      </c>
      <c r="B960" s="3" t="str">
        <f t="shared" si="32"/>
        <v>00;</v>
      </c>
      <c r="C960" s="170">
        <v>0</v>
      </c>
      <c r="D960" s="170"/>
      <c r="E960" s="4"/>
      <c r="F960" s="170"/>
      <c r="G960" s="170"/>
      <c r="H960" s="170"/>
      <c r="I960" s="21"/>
    </row>
    <row r="961" spans="1:9" x14ac:dyDescent="0.25">
      <c r="A961" s="2" t="str">
        <f t="shared" si="31"/>
        <v>3C0</v>
      </c>
      <c r="B961" s="3" t="str">
        <f t="shared" si="32"/>
        <v>00;</v>
      </c>
      <c r="C961" s="170">
        <v>0</v>
      </c>
      <c r="D961" s="170"/>
      <c r="E961" s="4"/>
      <c r="F961" s="170"/>
      <c r="G961" s="170"/>
      <c r="H961" s="170"/>
      <c r="I961" s="21"/>
    </row>
    <row r="962" spans="1:9" x14ac:dyDescent="0.25">
      <c r="A962" s="2" t="str">
        <f t="shared" si="31"/>
        <v>3C1</v>
      </c>
      <c r="B962" s="3" t="str">
        <f t="shared" si="32"/>
        <v>00;</v>
      </c>
      <c r="C962" s="170">
        <v>0</v>
      </c>
      <c r="D962" s="170"/>
      <c r="E962" s="4"/>
      <c r="F962" s="170"/>
      <c r="G962" s="170"/>
      <c r="H962" s="170"/>
      <c r="I962" s="21"/>
    </row>
    <row r="963" spans="1:9" x14ac:dyDescent="0.25">
      <c r="A963" s="2" t="str">
        <f t="shared" si="31"/>
        <v>3C2</v>
      </c>
      <c r="B963" s="3" t="str">
        <f t="shared" si="32"/>
        <v>00;</v>
      </c>
      <c r="C963" s="170">
        <v>0</v>
      </c>
      <c r="D963" s="170"/>
      <c r="E963" s="4"/>
      <c r="F963" s="170"/>
      <c r="G963" s="170"/>
      <c r="H963" s="170"/>
      <c r="I963" s="21"/>
    </row>
    <row r="964" spans="1:9" x14ac:dyDescent="0.25">
      <c r="A964" s="2" t="str">
        <f t="shared" si="31"/>
        <v>3C3</v>
      </c>
      <c r="B964" s="3" t="str">
        <f t="shared" si="32"/>
        <v>00;</v>
      </c>
      <c r="C964" s="170">
        <v>0</v>
      </c>
      <c r="D964" s="170"/>
      <c r="E964" s="4"/>
      <c r="F964" s="170"/>
      <c r="G964" s="170"/>
      <c r="H964" s="170"/>
      <c r="I964" s="21"/>
    </row>
    <row r="965" spans="1:9" x14ac:dyDescent="0.25">
      <c r="A965" s="2" t="str">
        <f t="shared" si="31"/>
        <v>3C4</v>
      </c>
      <c r="B965" s="3" t="str">
        <f t="shared" si="32"/>
        <v>00;</v>
      </c>
      <c r="C965" s="170">
        <v>0</v>
      </c>
      <c r="D965" s="170"/>
      <c r="E965" s="4"/>
      <c r="F965" s="170"/>
      <c r="G965" s="170"/>
      <c r="H965" s="170"/>
      <c r="I965" s="21"/>
    </row>
    <row r="966" spans="1:9" x14ac:dyDescent="0.25">
      <c r="A966" s="2" t="str">
        <f t="shared" si="31"/>
        <v>3C5</v>
      </c>
      <c r="B966" s="3" t="str">
        <f t="shared" si="32"/>
        <v>00;</v>
      </c>
      <c r="C966" s="170">
        <v>0</v>
      </c>
      <c r="D966" s="170"/>
      <c r="E966" s="4"/>
      <c r="F966" s="170"/>
      <c r="G966" s="170"/>
      <c r="H966" s="170"/>
      <c r="I966" s="21"/>
    </row>
    <row r="967" spans="1:9" x14ac:dyDescent="0.25">
      <c r="A967" s="2" t="str">
        <f t="shared" si="31"/>
        <v>3C6</v>
      </c>
      <c r="B967" s="3" t="str">
        <f t="shared" si="32"/>
        <v>00;</v>
      </c>
      <c r="C967" s="170">
        <v>0</v>
      </c>
      <c r="D967" s="170"/>
      <c r="E967" s="4"/>
      <c r="F967" s="170"/>
      <c r="G967" s="170"/>
      <c r="H967" s="170"/>
      <c r="I967" s="21"/>
    </row>
    <row r="968" spans="1:9" x14ac:dyDescent="0.25">
      <c r="A968" s="2" t="str">
        <f t="shared" si="31"/>
        <v>3C7</v>
      </c>
      <c r="B968" s="3" t="str">
        <f t="shared" si="32"/>
        <v>00;</v>
      </c>
      <c r="C968" s="170">
        <v>0</v>
      </c>
      <c r="D968" s="170"/>
      <c r="E968" s="4"/>
      <c r="F968" s="170"/>
      <c r="G968" s="170"/>
      <c r="H968" s="170"/>
      <c r="I968" s="21"/>
    </row>
    <row r="969" spans="1:9" x14ac:dyDescent="0.25">
      <c r="A969" s="2" t="str">
        <f t="shared" si="31"/>
        <v>3C8</v>
      </c>
      <c r="B969" s="3" t="str">
        <f t="shared" si="32"/>
        <v>00;</v>
      </c>
      <c r="C969" s="170">
        <v>0</v>
      </c>
      <c r="D969" s="170"/>
      <c r="E969" s="4"/>
      <c r="F969" s="170"/>
      <c r="G969" s="170"/>
      <c r="H969" s="170"/>
      <c r="I969" s="21"/>
    </row>
    <row r="970" spans="1:9" x14ac:dyDescent="0.25">
      <c r="A970" s="2" t="str">
        <f t="shared" ref="A970:A1033" si="33">IF(ROW()-1&lt;16,CONCATENATE("0",DEC2HEX(ROW()-1)),DEC2HEX(ROW()-1))</f>
        <v>3C9</v>
      </c>
      <c r="B970" s="3" t="str">
        <f t="shared" si="32"/>
        <v>00;</v>
      </c>
      <c r="C970" s="170">
        <v>0</v>
      </c>
      <c r="D970" s="170"/>
      <c r="E970" s="4"/>
      <c r="F970" s="170"/>
      <c r="G970" s="170"/>
      <c r="H970" s="170"/>
      <c r="I970" s="21"/>
    </row>
    <row r="971" spans="1:9" x14ac:dyDescent="0.25">
      <c r="A971" s="2" t="str">
        <f t="shared" si="33"/>
        <v>3CA</v>
      </c>
      <c r="B971" s="3" t="str">
        <f t="shared" si="32"/>
        <v>00;</v>
      </c>
      <c r="C971" s="170">
        <v>0</v>
      </c>
      <c r="D971" s="170"/>
      <c r="E971" s="4"/>
      <c r="F971" s="170"/>
      <c r="G971" s="170"/>
      <c r="H971" s="170"/>
      <c r="I971" s="21"/>
    </row>
    <row r="972" spans="1:9" x14ac:dyDescent="0.25">
      <c r="A972" s="2" t="str">
        <f t="shared" si="33"/>
        <v>3CB</v>
      </c>
      <c r="B972" s="3" t="str">
        <f t="shared" si="32"/>
        <v>00;</v>
      </c>
      <c r="C972" s="170">
        <v>0</v>
      </c>
      <c r="D972" s="170"/>
      <c r="E972" s="4"/>
      <c r="F972" s="170"/>
      <c r="G972" s="170"/>
      <c r="H972" s="170"/>
      <c r="I972" s="21"/>
    </row>
    <row r="973" spans="1:9" x14ac:dyDescent="0.25">
      <c r="A973" s="2" t="str">
        <f t="shared" si="33"/>
        <v>3CC</v>
      </c>
      <c r="B973" s="3" t="str">
        <f t="shared" ref="B973:B1036" si="34">IF(C973&lt;16,CONCATENATE("0",DEC2HEX(C973),";"),CONCATENATE(DEC2HEX(C973),";"))</f>
        <v>00;</v>
      </c>
      <c r="C973" s="170">
        <v>0</v>
      </c>
      <c r="D973" s="170"/>
      <c r="E973" s="4"/>
      <c r="F973" s="170"/>
      <c r="G973" s="170"/>
      <c r="H973" s="170"/>
      <c r="I973" s="21"/>
    </row>
    <row r="974" spans="1:9" x14ac:dyDescent="0.25">
      <c r="A974" s="2" t="str">
        <f t="shared" si="33"/>
        <v>3CD</v>
      </c>
      <c r="B974" s="3" t="str">
        <f t="shared" si="34"/>
        <v>00;</v>
      </c>
      <c r="C974" s="170">
        <v>0</v>
      </c>
      <c r="D974" s="170"/>
      <c r="E974" s="4"/>
      <c r="F974" s="170"/>
      <c r="G974" s="170"/>
      <c r="H974" s="170"/>
      <c r="I974" s="21"/>
    </row>
    <row r="975" spans="1:9" x14ac:dyDescent="0.25">
      <c r="A975" s="2" t="str">
        <f t="shared" si="33"/>
        <v>3CE</v>
      </c>
      <c r="B975" s="3" t="str">
        <f t="shared" si="34"/>
        <v>00;</v>
      </c>
      <c r="C975" s="170">
        <v>0</v>
      </c>
      <c r="D975" s="170"/>
      <c r="E975" s="4"/>
      <c r="F975" s="170"/>
      <c r="G975" s="170"/>
      <c r="H975" s="170"/>
      <c r="I975" s="21"/>
    </row>
    <row r="976" spans="1:9" x14ac:dyDescent="0.25">
      <c r="A976" s="2" t="str">
        <f t="shared" si="33"/>
        <v>3CF</v>
      </c>
      <c r="B976" s="3" t="str">
        <f t="shared" si="34"/>
        <v>00;</v>
      </c>
      <c r="C976" s="170">
        <v>0</v>
      </c>
      <c r="D976" s="170"/>
      <c r="E976" s="4"/>
      <c r="F976" s="170"/>
      <c r="G976" s="170"/>
      <c r="H976" s="170"/>
      <c r="I976" s="21"/>
    </row>
    <row r="977" spans="1:9" x14ac:dyDescent="0.25">
      <c r="A977" s="2" t="str">
        <f t="shared" si="33"/>
        <v>3D0</v>
      </c>
      <c r="B977" s="3" t="str">
        <f t="shared" si="34"/>
        <v>00;</v>
      </c>
      <c r="C977" s="170">
        <v>0</v>
      </c>
      <c r="D977" s="170"/>
      <c r="E977" s="4"/>
      <c r="F977" s="170"/>
      <c r="G977" s="170"/>
      <c r="H977" s="170"/>
      <c r="I977" s="21"/>
    </row>
    <row r="978" spans="1:9" x14ac:dyDescent="0.25">
      <c r="A978" s="2" t="str">
        <f t="shared" si="33"/>
        <v>3D1</v>
      </c>
      <c r="B978" s="3" t="str">
        <f t="shared" si="34"/>
        <v>00;</v>
      </c>
      <c r="C978" s="170">
        <v>0</v>
      </c>
      <c r="D978" s="170"/>
      <c r="E978" s="4"/>
      <c r="F978" s="170"/>
      <c r="G978" s="170"/>
      <c r="H978" s="170"/>
      <c r="I978" s="21"/>
    </row>
    <row r="979" spans="1:9" x14ac:dyDescent="0.25">
      <c r="A979" s="2" t="str">
        <f t="shared" si="33"/>
        <v>3D2</v>
      </c>
      <c r="B979" s="3" t="str">
        <f t="shared" si="34"/>
        <v>00;</v>
      </c>
      <c r="C979" s="170">
        <v>0</v>
      </c>
      <c r="D979" s="170"/>
      <c r="E979" s="4"/>
      <c r="F979" s="170"/>
      <c r="G979" s="170"/>
      <c r="H979" s="170"/>
      <c r="I979" s="21"/>
    </row>
    <row r="980" spans="1:9" x14ac:dyDescent="0.25">
      <c r="A980" s="2" t="str">
        <f t="shared" si="33"/>
        <v>3D3</v>
      </c>
      <c r="B980" s="3" t="str">
        <f t="shared" si="34"/>
        <v>00;</v>
      </c>
      <c r="C980" s="170">
        <v>0</v>
      </c>
      <c r="D980" s="170"/>
      <c r="E980" s="4"/>
      <c r="F980" s="170"/>
      <c r="G980" s="170"/>
      <c r="H980" s="170"/>
      <c r="I980" s="21"/>
    </row>
    <row r="981" spans="1:9" x14ac:dyDescent="0.25">
      <c r="A981" s="2" t="str">
        <f t="shared" si="33"/>
        <v>3D4</v>
      </c>
      <c r="B981" s="3" t="str">
        <f t="shared" si="34"/>
        <v>00;</v>
      </c>
      <c r="C981" s="170">
        <v>0</v>
      </c>
      <c r="D981" s="170"/>
      <c r="E981" s="4"/>
      <c r="F981" s="170"/>
      <c r="G981" s="170"/>
      <c r="H981" s="170"/>
      <c r="I981" s="21"/>
    </row>
    <row r="982" spans="1:9" x14ac:dyDescent="0.25">
      <c r="A982" s="2" t="str">
        <f t="shared" si="33"/>
        <v>3D5</v>
      </c>
      <c r="B982" s="3" t="str">
        <f t="shared" si="34"/>
        <v>00;</v>
      </c>
      <c r="C982" s="170">
        <v>0</v>
      </c>
      <c r="D982" s="170"/>
      <c r="E982" s="4"/>
      <c r="F982" s="170"/>
      <c r="G982" s="170"/>
      <c r="H982" s="170"/>
      <c r="I982" s="21"/>
    </row>
    <row r="983" spans="1:9" x14ac:dyDescent="0.25">
      <c r="A983" s="2" t="str">
        <f t="shared" si="33"/>
        <v>3D6</v>
      </c>
      <c r="B983" s="3" t="str">
        <f t="shared" si="34"/>
        <v>00;</v>
      </c>
      <c r="C983" s="170">
        <v>0</v>
      </c>
      <c r="D983" s="170"/>
      <c r="E983" s="4"/>
      <c r="F983" s="170"/>
      <c r="G983" s="170"/>
      <c r="H983" s="170"/>
      <c r="I983" s="21"/>
    </row>
    <row r="984" spans="1:9" x14ac:dyDescent="0.25">
      <c r="A984" s="2" t="str">
        <f t="shared" si="33"/>
        <v>3D7</v>
      </c>
      <c r="B984" s="3" t="str">
        <f t="shared" si="34"/>
        <v>00;</v>
      </c>
      <c r="C984" s="170">
        <v>0</v>
      </c>
      <c r="D984" s="170"/>
      <c r="E984" s="4"/>
      <c r="F984" s="170"/>
      <c r="G984" s="170"/>
      <c r="H984" s="170"/>
      <c r="I984" s="21"/>
    </row>
    <row r="985" spans="1:9" x14ac:dyDescent="0.25">
      <c r="A985" s="2" t="str">
        <f t="shared" si="33"/>
        <v>3D8</v>
      </c>
      <c r="B985" s="3" t="str">
        <f t="shared" si="34"/>
        <v>00;</v>
      </c>
      <c r="C985" s="170">
        <v>0</v>
      </c>
      <c r="D985" s="170"/>
      <c r="E985" s="4"/>
      <c r="F985" s="170"/>
      <c r="G985" s="170"/>
      <c r="H985" s="170"/>
      <c r="I985" s="21"/>
    </row>
    <row r="986" spans="1:9" x14ac:dyDescent="0.25">
      <c r="A986" s="2" t="str">
        <f t="shared" si="33"/>
        <v>3D9</v>
      </c>
      <c r="B986" s="3" t="str">
        <f t="shared" si="34"/>
        <v>00;</v>
      </c>
      <c r="C986" s="170">
        <v>0</v>
      </c>
      <c r="D986" s="170"/>
      <c r="E986" s="4"/>
      <c r="F986" s="170"/>
      <c r="G986" s="170"/>
      <c r="H986" s="170"/>
      <c r="I986" s="21"/>
    </row>
    <row r="987" spans="1:9" x14ac:dyDescent="0.25">
      <c r="A987" s="2" t="str">
        <f t="shared" si="33"/>
        <v>3DA</v>
      </c>
      <c r="B987" s="3" t="str">
        <f t="shared" si="34"/>
        <v>00;</v>
      </c>
      <c r="C987" s="170">
        <v>0</v>
      </c>
      <c r="D987" s="170"/>
      <c r="E987" s="4"/>
      <c r="F987" s="170"/>
      <c r="G987" s="170"/>
      <c r="H987" s="170"/>
      <c r="I987" s="21"/>
    </row>
    <row r="988" spans="1:9" x14ac:dyDescent="0.25">
      <c r="A988" s="2" t="str">
        <f t="shared" si="33"/>
        <v>3DB</v>
      </c>
      <c r="B988" s="3" t="str">
        <f t="shared" si="34"/>
        <v>00;</v>
      </c>
      <c r="C988" s="170">
        <v>0</v>
      </c>
      <c r="D988" s="170"/>
      <c r="E988" s="4"/>
      <c r="F988" s="170"/>
      <c r="G988" s="170"/>
      <c r="H988" s="170"/>
      <c r="I988" s="21"/>
    </row>
    <row r="989" spans="1:9" x14ac:dyDescent="0.25">
      <c r="A989" s="2" t="str">
        <f t="shared" si="33"/>
        <v>3DC</v>
      </c>
      <c r="B989" s="3" t="str">
        <f t="shared" si="34"/>
        <v>00;</v>
      </c>
      <c r="C989" s="170">
        <v>0</v>
      </c>
      <c r="D989" s="170"/>
      <c r="E989" s="4"/>
      <c r="F989" s="170"/>
      <c r="G989" s="170"/>
      <c r="H989" s="170"/>
      <c r="I989" s="21"/>
    </row>
    <row r="990" spans="1:9" x14ac:dyDescent="0.25">
      <c r="A990" s="2" t="str">
        <f t="shared" si="33"/>
        <v>3DD</v>
      </c>
      <c r="B990" s="3" t="str">
        <f t="shared" si="34"/>
        <v>00;</v>
      </c>
      <c r="C990" s="170">
        <v>0</v>
      </c>
      <c r="D990" s="170"/>
      <c r="E990" s="4"/>
      <c r="F990" s="170"/>
      <c r="G990" s="170"/>
      <c r="H990" s="170"/>
      <c r="I990" s="21"/>
    </row>
    <row r="991" spans="1:9" x14ac:dyDescent="0.25">
      <c r="A991" s="2" t="str">
        <f t="shared" si="33"/>
        <v>3DE</v>
      </c>
      <c r="B991" s="3" t="str">
        <f t="shared" si="34"/>
        <v>00;</v>
      </c>
      <c r="C991" s="170">
        <v>0</v>
      </c>
      <c r="D991" s="170"/>
      <c r="E991" s="4"/>
      <c r="F991" s="170"/>
      <c r="G991" s="170"/>
      <c r="H991" s="170"/>
      <c r="I991" s="21"/>
    </row>
    <row r="992" spans="1:9" x14ac:dyDescent="0.25">
      <c r="A992" s="2" t="str">
        <f t="shared" si="33"/>
        <v>3DF</v>
      </c>
      <c r="B992" s="3" t="str">
        <f t="shared" si="34"/>
        <v>00;</v>
      </c>
      <c r="C992" s="170">
        <v>0</v>
      </c>
      <c r="D992" s="170"/>
      <c r="E992" s="4"/>
      <c r="F992" s="170"/>
      <c r="G992" s="170"/>
      <c r="H992" s="170"/>
      <c r="I992" s="21"/>
    </row>
    <row r="993" spans="1:9" x14ac:dyDescent="0.25">
      <c r="A993" s="2" t="str">
        <f t="shared" si="33"/>
        <v>3E0</v>
      </c>
      <c r="B993" s="3" t="str">
        <f t="shared" si="34"/>
        <v>00;</v>
      </c>
      <c r="C993" s="170">
        <v>0</v>
      </c>
      <c r="D993" s="170"/>
      <c r="E993" s="4"/>
      <c r="F993" s="170"/>
      <c r="G993" s="170"/>
      <c r="H993" s="170"/>
      <c r="I993" s="21"/>
    </row>
    <row r="994" spans="1:9" x14ac:dyDescent="0.25">
      <c r="A994" s="2" t="str">
        <f t="shared" si="33"/>
        <v>3E1</v>
      </c>
      <c r="B994" s="3" t="str">
        <f t="shared" si="34"/>
        <v>00;</v>
      </c>
      <c r="C994" s="170">
        <v>0</v>
      </c>
      <c r="D994" s="170"/>
      <c r="E994" s="4"/>
      <c r="F994" s="170"/>
      <c r="G994" s="170"/>
      <c r="H994" s="170"/>
      <c r="I994" s="21"/>
    </row>
    <row r="995" spans="1:9" x14ac:dyDescent="0.25">
      <c r="A995" s="2" t="str">
        <f t="shared" si="33"/>
        <v>3E2</v>
      </c>
      <c r="B995" s="3" t="str">
        <f t="shared" si="34"/>
        <v>00;</v>
      </c>
      <c r="C995" s="170">
        <v>0</v>
      </c>
      <c r="D995" s="170"/>
      <c r="E995" s="4"/>
      <c r="F995" s="170"/>
      <c r="G995" s="170"/>
      <c r="H995" s="170"/>
      <c r="I995" s="21"/>
    </row>
    <row r="996" spans="1:9" x14ac:dyDescent="0.25">
      <c r="A996" s="2" t="str">
        <f t="shared" si="33"/>
        <v>3E3</v>
      </c>
      <c r="B996" s="3" t="str">
        <f t="shared" si="34"/>
        <v>00;</v>
      </c>
      <c r="C996" s="170">
        <v>0</v>
      </c>
      <c r="D996" s="170"/>
      <c r="E996" s="4"/>
      <c r="F996" s="170"/>
      <c r="G996" s="170"/>
      <c r="H996" s="170"/>
      <c r="I996" s="21"/>
    </row>
    <row r="997" spans="1:9" x14ac:dyDescent="0.25">
      <c r="A997" s="2" t="str">
        <f t="shared" si="33"/>
        <v>3E4</v>
      </c>
      <c r="B997" s="3" t="str">
        <f t="shared" si="34"/>
        <v>00;</v>
      </c>
      <c r="C997" s="170">
        <v>0</v>
      </c>
      <c r="D997" s="170"/>
      <c r="E997" s="4"/>
      <c r="F997" s="170"/>
      <c r="G997" s="170"/>
      <c r="H997" s="170"/>
      <c r="I997" s="21"/>
    </row>
    <row r="998" spans="1:9" x14ac:dyDescent="0.25">
      <c r="A998" s="2" t="str">
        <f t="shared" si="33"/>
        <v>3E5</v>
      </c>
      <c r="B998" s="3" t="str">
        <f t="shared" si="34"/>
        <v>00;</v>
      </c>
      <c r="C998" s="170">
        <v>0</v>
      </c>
      <c r="D998" s="170"/>
      <c r="E998" s="4"/>
      <c r="F998" s="170"/>
      <c r="G998" s="170"/>
      <c r="H998" s="170"/>
      <c r="I998" s="21"/>
    </row>
    <row r="999" spans="1:9" x14ac:dyDescent="0.25">
      <c r="A999" s="2" t="str">
        <f t="shared" si="33"/>
        <v>3E6</v>
      </c>
      <c r="B999" s="3" t="str">
        <f t="shared" si="34"/>
        <v>00;</v>
      </c>
      <c r="C999" s="170">
        <v>0</v>
      </c>
      <c r="D999" s="170"/>
      <c r="E999" s="4"/>
      <c r="F999" s="170"/>
      <c r="G999" s="170"/>
      <c r="H999" s="170"/>
      <c r="I999" s="21"/>
    </row>
    <row r="1000" spans="1:9" x14ac:dyDescent="0.25">
      <c r="A1000" s="2" t="str">
        <f t="shared" si="33"/>
        <v>3E7</v>
      </c>
      <c r="B1000" s="3" t="str">
        <f t="shared" si="34"/>
        <v>00;</v>
      </c>
      <c r="C1000" s="170">
        <v>0</v>
      </c>
      <c r="D1000" s="170"/>
      <c r="E1000" s="4"/>
      <c r="F1000" s="170"/>
      <c r="G1000" s="170"/>
      <c r="H1000" s="170"/>
      <c r="I1000" s="21"/>
    </row>
    <row r="1001" spans="1:9" x14ac:dyDescent="0.25">
      <c r="A1001" s="2" t="str">
        <f t="shared" si="33"/>
        <v>3E8</v>
      </c>
      <c r="B1001" s="3" t="str">
        <f t="shared" si="34"/>
        <v>00;</v>
      </c>
      <c r="C1001" s="170">
        <v>0</v>
      </c>
      <c r="D1001" s="170"/>
      <c r="E1001" s="4"/>
      <c r="F1001" s="170"/>
      <c r="G1001" s="170"/>
      <c r="H1001" s="170"/>
      <c r="I1001" s="21"/>
    </row>
    <row r="1002" spans="1:9" x14ac:dyDescent="0.25">
      <c r="A1002" s="2" t="str">
        <f t="shared" si="33"/>
        <v>3E9</v>
      </c>
      <c r="B1002" s="3" t="str">
        <f t="shared" si="34"/>
        <v>00;</v>
      </c>
      <c r="C1002" s="170">
        <v>0</v>
      </c>
      <c r="D1002" s="170"/>
      <c r="E1002" s="4"/>
      <c r="F1002" s="170"/>
      <c r="G1002" s="170"/>
      <c r="H1002" s="170"/>
      <c r="I1002" s="21"/>
    </row>
    <row r="1003" spans="1:9" x14ac:dyDescent="0.25">
      <c r="A1003" s="2" t="str">
        <f t="shared" si="33"/>
        <v>3EA</v>
      </c>
      <c r="B1003" s="3" t="str">
        <f t="shared" si="34"/>
        <v>00;</v>
      </c>
      <c r="C1003" s="170">
        <v>0</v>
      </c>
      <c r="D1003" s="170"/>
      <c r="E1003" s="4"/>
      <c r="F1003" s="170"/>
      <c r="G1003" s="170"/>
      <c r="H1003" s="170"/>
      <c r="I1003" s="21"/>
    </row>
    <row r="1004" spans="1:9" x14ac:dyDescent="0.25">
      <c r="A1004" s="2" t="str">
        <f t="shared" si="33"/>
        <v>3EB</v>
      </c>
      <c r="B1004" s="3" t="str">
        <f t="shared" si="34"/>
        <v>00;</v>
      </c>
      <c r="C1004" s="170">
        <v>0</v>
      </c>
      <c r="D1004" s="170"/>
      <c r="E1004" s="4"/>
      <c r="F1004" s="170"/>
      <c r="G1004" s="170"/>
      <c r="H1004" s="170"/>
      <c r="I1004" s="21"/>
    </row>
    <row r="1005" spans="1:9" x14ac:dyDescent="0.25">
      <c r="A1005" s="2" t="str">
        <f t="shared" si="33"/>
        <v>3EC</v>
      </c>
      <c r="B1005" s="3" t="str">
        <f t="shared" si="34"/>
        <v>00;</v>
      </c>
      <c r="C1005" s="170">
        <v>0</v>
      </c>
      <c r="D1005" s="170"/>
      <c r="E1005" s="4"/>
      <c r="F1005" s="170"/>
      <c r="G1005" s="170"/>
      <c r="H1005" s="170"/>
      <c r="I1005" s="21"/>
    </row>
    <row r="1006" spans="1:9" x14ac:dyDescent="0.25">
      <c r="A1006" s="2" t="str">
        <f t="shared" si="33"/>
        <v>3ED</v>
      </c>
      <c r="B1006" s="3" t="str">
        <f t="shared" si="34"/>
        <v>00;</v>
      </c>
      <c r="C1006" s="170">
        <v>0</v>
      </c>
      <c r="D1006" s="170"/>
      <c r="E1006" s="4"/>
      <c r="F1006" s="170"/>
      <c r="G1006" s="170"/>
      <c r="H1006" s="170"/>
      <c r="I1006" s="21"/>
    </row>
    <row r="1007" spans="1:9" x14ac:dyDescent="0.25">
      <c r="A1007" s="2" t="str">
        <f t="shared" si="33"/>
        <v>3EE</v>
      </c>
      <c r="B1007" s="3" t="str">
        <f t="shared" si="34"/>
        <v>00;</v>
      </c>
      <c r="C1007" s="170">
        <v>0</v>
      </c>
      <c r="D1007" s="170"/>
      <c r="E1007" s="4"/>
      <c r="F1007" s="170"/>
      <c r="G1007" s="170"/>
      <c r="H1007" s="170"/>
      <c r="I1007" s="21"/>
    </row>
    <row r="1008" spans="1:9" x14ac:dyDescent="0.25">
      <c r="A1008" s="2" t="str">
        <f t="shared" si="33"/>
        <v>3EF</v>
      </c>
      <c r="B1008" s="3" t="str">
        <f t="shared" si="34"/>
        <v>00;</v>
      </c>
      <c r="C1008" s="170">
        <v>0</v>
      </c>
      <c r="D1008" s="170"/>
      <c r="E1008" s="4"/>
      <c r="F1008" s="170"/>
      <c r="G1008" s="170"/>
      <c r="H1008" s="170"/>
      <c r="I1008" s="21"/>
    </row>
    <row r="1009" spans="1:9" x14ac:dyDescent="0.25">
      <c r="A1009" s="2" t="str">
        <f t="shared" si="33"/>
        <v>3F0</v>
      </c>
      <c r="B1009" s="3" t="str">
        <f t="shared" si="34"/>
        <v>00;</v>
      </c>
      <c r="C1009" s="170">
        <v>0</v>
      </c>
      <c r="D1009" s="170"/>
      <c r="E1009" s="4"/>
      <c r="F1009" s="170"/>
      <c r="G1009" s="170"/>
      <c r="H1009" s="170"/>
      <c r="I1009" s="21"/>
    </row>
    <row r="1010" spans="1:9" x14ac:dyDescent="0.25">
      <c r="A1010" s="2" t="str">
        <f t="shared" si="33"/>
        <v>3F1</v>
      </c>
      <c r="B1010" s="3" t="str">
        <f t="shared" si="34"/>
        <v>00;</v>
      </c>
      <c r="C1010" s="170">
        <v>0</v>
      </c>
      <c r="D1010" s="170"/>
      <c r="E1010" s="4"/>
      <c r="F1010" s="170"/>
      <c r="G1010" s="170"/>
      <c r="H1010" s="170"/>
      <c r="I1010" s="21"/>
    </row>
    <row r="1011" spans="1:9" x14ac:dyDescent="0.25">
      <c r="A1011" s="2" t="str">
        <f t="shared" si="33"/>
        <v>3F2</v>
      </c>
      <c r="B1011" s="3" t="str">
        <f t="shared" si="34"/>
        <v>00;</v>
      </c>
      <c r="C1011" s="170">
        <v>0</v>
      </c>
      <c r="D1011" s="170"/>
      <c r="E1011" s="4"/>
      <c r="F1011" s="170"/>
      <c r="G1011" s="170"/>
      <c r="H1011" s="170"/>
      <c r="I1011" s="21"/>
    </row>
    <row r="1012" spans="1:9" x14ac:dyDescent="0.25">
      <c r="A1012" s="2" t="str">
        <f t="shared" si="33"/>
        <v>3F3</v>
      </c>
      <c r="B1012" s="3" t="str">
        <f t="shared" si="34"/>
        <v>00;</v>
      </c>
      <c r="C1012" s="170">
        <v>0</v>
      </c>
      <c r="D1012" s="170"/>
      <c r="E1012" s="4"/>
      <c r="F1012" s="170"/>
      <c r="G1012" s="170"/>
      <c r="H1012" s="170"/>
      <c r="I1012" s="21"/>
    </row>
    <row r="1013" spans="1:9" x14ac:dyDescent="0.25">
      <c r="A1013" s="2" t="str">
        <f t="shared" si="33"/>
        <v>3F4</v>
      </c>
      <c r="B1013" s="3" t="str">
        <f t="shared" si="34"/>
        <v>00;</v>
      </c>
      <c r="C1013" s="170">
        <v>0</v>
      </c>
      <c r="D1013" s="170"/>
      <c r="E1013" s="4"/>
      <c r="F1013" s="170"/>
      <c r="G1013" s="170"/>
      <c r="H1013" s="170"/>
      <c r="I1013" s="21"/>
    </row>
    <row r="1014" spans="1:9" x14ac:dyDescent="0.25">
      <c r="A1014" s="2" t="str">
        <f t="shared" si="33"/>
        <v>3F5</v>
      </c>
      <c r="B1014" s="3" t="str">
        <f t="shared" si="34"/>
        <v>00;</v>
      </c>
      <c r="C1014" s="170">
        <v>0</v>
      </c>
      <c r="D1014" s="170"/>
      <c r="E1014" s="4"/>
      <c r="F1014" s="170"/>
      <c r="G1014" s="170"/>
      <c r="H1014" s="170"/>
      <c r="I1014" s="21"/>
    </row>
    <row r="1015" spans="1:9" x14ac:dyDescent="0.25">
      <c r="A1015" s="2" t="str">
        <f t="shared" si="33"/>
        <v>3F6</v>
      </c>
      <c r="B1015" s="3" t="str">
        <f t="shared" si="34"/>
        <v>00;</v>
      </c>
      <c r="C1015" s="170">
        <v>0</v>
      </c>
      <c r="D1015" s="170"/>
      <c r="E1015" s="4"/>
      <c r="F1015" s="170"/>
      <c r="G1015" s="170"/>
      <c r="H1015" s="170"/>
      <c r="I1015" s="21"/>
    </row>
    <row r="1016" spans="1:9" x14ac:dyDescent="0.25">
      <c r="A1016" s="2" t="str">
        <f t="shared" si="33"/>
        <v>3F7</v>
      </c>
      <c r="B1016" s="3" t="str">
        <f t="shared" si="34"/>
        <v>00;</v>
      </c>
      <c r="C1016" s="170">
        <v>0</v>
      </c>
      <c r="D1016" s="170"/>
      <c r="E1016" s="4"/>
      <c r="F1016" s="170"/>
      <c r="G1016" s="170"/>
      <c r="H1016" s="170"/>
      <c r="I1016" s="21"/>
    </row>
    <row r="1017" spans="1:9" x14ac:dyDescent="0.25">
      <c r="A1017" s="2" t="str">
        <f t="shared" si="33"/>
        <v>3F8</v>
      </c>
      <c r="B1017" s="3" t="str">
        <f t="shared" si="34"/>
        <v>00;</v>
      </c>
      <c r="C1017" s="170">
        <v>0</v>
      </c>
      <c r="D1017" s="170"/>
      <c r="E1017" s="4"/>
      <c r="F1017" s="170"/>
      <c r="G1017" s="170"/>
      <c r="H1017" s="170"/>
      <c r="I1017" s="21"/>
    </row>
    <row r="1018" spans="1:9" x14ac:dyDescent="0.25">
      <c r="A1018" s="2" t="str">
        <f t="shared" si="33"/>
        <v>3F9</v>
      </c>
      <c r="B1018" s="3" t="str">
        <f t="shared" si="34"/>
        <v>00;</v>
      </c>
      <c r="C1018" s="170">
        <v>0</v>
      </c>
      <c r="D1018" s="170"/>
      <c r="E1018" s="4"/>
      <c r="F1018" s="170"/>
      <c r="G1018" s="170"/>
      <c r="H1018" s="170"/>
      <c r="I1018" s="21"/>
    </row>
    <row r="1019" spans="1:9" x14ac:dyDescent="0.25">
      <c r="A1019" s="2" t="str">
        <f t="shared" si="33"/>
        <v>3FA</v>
      </c>
      <c r="B1019" s="3" t="str">
        <f t="shared" si="34"/>
        <v>00;</v>
      </c>
      <c r="C1019" s="170">
        <v>0</v>
      </c>
      <c r="D1019" s="170"/>
      <c r="E1019" s="4"/>
      <c r="F1019" s="170"/>
      <c r="G1019" s="170"/>
      <c r="H1019" s="170"/>
      <c r="I1019" s="21"/>
    </row>
    <row r="1020" spans="1:9" x14ac:dyDescent="0.25">
      <c r="A1020" s="2" t="str">
        <f t="shared" si="33"/>
        <v>3FB</v>
      </c>
      <c r="B1020" s="3" t="str">
        <f t="shared" si="34"/>
        <v>00;</v>
      </c>
      <c r="C1020" s="170">
        <v>0</v>
      </c>
      <c r="D1020" s="170"/>
      <c r="E1020" s="4"/>
      <c r="F1020" s="170"/>
      <c r="G1020" s="170"/>
      <c r="H1020" s="170"/>
      <c r="I1020" s="21"/>
    </row>
    <row r="1021" spans="1:9" x14ac:dyDescent="0.25">
      <c r="A1021" s="2" t="str">
        <f t="shared" si="33"/>
        <v>3FC</v>
      </c>
      <c r="B1021" s="3" t="str">
        <f t="shared" si="34"/>
        <v>00;</v>
      </c>
      <c r="C1021" s="170">
        <v>0</v>
      </c>
      <c r="D1021" s="170"/>
      <c r="E1021" s="4"/>
      <c r="F1021" s="170"/>
      <c r="G1021" s="170"/>
      <c r="H1021" s="170"/>
      <c r="I1021" s="21"/>
    </row>
    <row r="1022" spans="1:9" x14ac:dyDescent="0.25">
      <c r="A1022" s="2" t="str">
        <f t="shared" si="33"/>
        <v>3FD</v>
      </c>
      <c r="B1022" s="3" t="str">
        <f t="shared" si="34"/>
        <v>00;</v>
      </c>
      <c r="C1022" s="170">
        <v>0</v>
      </c>
      <c r="D1022" s="170"/>
      <c r="E1022" s="4"/>
      <c r="F1022" s="170"/>
      <c r="G1022" s="170"/>
      <c r="H1022" s="170"/>
      <c r="I1022" s="21"/>
    </row>
    <row r="1023" spans="1:9" x14ac:dyDescent="0.25">
      <c r="A1023" s="2" t="str">
        <f t="shared" si="33"/>
        <v>3FE</v>
      </c>
      <c r="B1023" s="3" t="str">
        <f t="shared" si="34"/>
        <v>00;</v>
      </c>
      <c r="C1023" s="170">
        <v>0</v>
      </c>
      <c r="D1023" s="170"/>
      <c r="E1023" s="4"/>
      <c r="F1023" s="170"/>
      <c r="G1023" s="170"/>
      <c r="H1023" s="170"/>
      <c r="I1023" s="21"/>
    </row>
    <row r="1024" spans="1:9" x14ac:dyDescent="0.25">
      <c r="A1024" s="2" t="str">
        <f t="shared" si="33"/>
        <v>3FF</v>
      </c>
      <c r="B1024" s="3" t="str">
        <f t="shared" si="34"/>
        <v>00;</v>
      </c>
      <c r="C1024" s="170">
        <v>0</v>
      </c>
      <c r="D1024" s="170"/>
      <c r="E1024" s="4"/>
      <c r="F1024" s="170"/>
      <c r="G1024" s="170"/>
      <c r="H1024" s="170"/>
      <c r="I1024" s="21"/>
    </row>
    <row r="1025" spans="1:9" x14ac:dyDescent="0.25">
      <c r="A1025" s="2" t="str">
        <f t="shared" si="33"/>
        <v>400</v>
      </c>
      <c r="B1025" s="3" t="str">
        <f t="shared" si="34"/>
        <v>00;</v>
      </c>
      <c r="C1025" s="170">
        <v>0</v>
      </c>
      <c r="D1025" s="170"/>
      <c r="E1025" s="4"/>
      <c r="F1025" s="170"/>
      <c r="G1025" s="170"/>
      <c r="H1025" s="170"/>
      <c r="I1025" s="21"/>
    </row>
    <row r="1026" spans="1:9" x14ac:dyDescent="0.25">
      <c r="A1026" s="2" t="str">
        <f t="shared" si="33"/>
        <v>401</v>
      </c>
      <c r="B1026" s="3" t="str">
        <f t="shared" si="34"/>
        <v>00;</v>
      </c>
      <c r="C1026" s="170">
        <v>0</v>
      </c>
      <c r="D1026" s="170"/>
      <c r="E1026" s="4"/>
      <c r="F1026" s="170"/>
      <c r="G1026" s="170"/>
      <c r="H1026" s="170"/>
      <c r="I1026" s="21"/>
    </row>
    <row r="1027" spans="1:9" x14ac:dyDescent="0.25">
      <c r="A1027" s="2" t="str">
        <f t="shared" si="33"/>
        <v>402</v>
      </c>
      <c r="B1027" s="3" t="str">
        <f t="shared" si="34"/>
        <v>00;</v>
      </c>
      <c r="C1027" s="170">
        <v>0</v>
      </c>
      <c r="D1027" s="170"/>
      <c r="E1027" s="4"/>
      <c r="F1027" s="170"/>
      <c r="G1027" s="170"/>
      <c r="H1027" s="170"/>
      <c r="I1027" s="21"/>
    </row>
    <row r="1028" spans="1:9" x14ac:dyDescent="0.25">
      <c r="A1028" s="2" t="str">
        <f t="shared" si="33"/>
        <v>403</v>
      </c>
      <c r="B1028" s="3" t="str">
        <f t="shared" si="34"/>
        <v>00;</v>
      </c>
      <c r="C1028" s="170">
        <v>0</v>
      </c>
      <c r="D1028" s="170"/>
      <c r="E1028" s="4"/>
      <c r="F1028" s="170"/>
      <c r="G1028" s="170"/>
      <c r="H1028" s="170"/>
      <c r="I1028" s="21"/>
    </row>
    <row r="1029" spans="1:9" x14ac:dyDescent="0.25">
      <c r="A1029" s="2" t="str">
        <f t="shared" si="33"/>
        <v>404</v>
      </c>
      <c r="B1029" s="3" t="str">
        <f t="shared" si="34"/>
        <v>00;</v>
      </c>
      <c r="C1029" s="170">
        <v>0</v>
      </c>
      <c r="D1029" s="170"/>
      <c r="E1029" s="4"/>
      <c r="F1029" s="170"/>
      <c r="G1029" s="170"/>
      <c r="H1029" s="170"/>
      <c r="I1029" s="21"/>
    </row>
    <row r="1030" spans="1:9" x14ac:dyDescent="0.25">
      <c r="A1030" s="2" t="str">
        <f t="shared" si="33"/>
        <v>405</v>
      </c>
      <c r="B1030" s="3" t="str">
        <f t="shared" si="34"/>
        <v>00;</v>
      </c>
      <c r="C1030" s="170">
        <v>0</v>
      </c>
      <c r="D1030" s="170"/>
      <c r="E1030" s="4"/>
      <c r="F1030" s="170"/>
      <c r="G1030" s="170"/>
      <c r="H1030" s="170"/>
      <c r="I1030" s="21"/>
    </row>
    <row r="1031" spans="1:9" x14ac:dyDescent="0.25">
      <c r="A1031" s="2" t="str">
        <f t="shared" si="33"/>
        <v>406</v>
      </c>
      <c r="B1031" s="3" t="str">
        <f t="shared" si="34"/>
        <v>00;</v>
      </c>
      <c r="C1031" s="170">
        <v>0</v>
      </c>
      <c r="D1031" s="170"/>
      <c r="E1031" s="4"/>
      <c r="F1031" s="170"/>
      <c r="G1031" s="170"/>
      <c r="H1031" s="170"/>
      <c r="I1031" s="21"/>
    </row>
    <row r="1032" spans="1:9" x14ac:dyDescent="0.25">
      <c r="A1032" s="2" t="str">
        <f t="shared" si="33"/>
        <v>407</v>
      </c>
      <c r="B1032" s="3" t="str">
        <f t="shared" si="34"/>
        <v>00;</v>
      </c>
      <c r="C1032" s="170">
        <v>0</v>
      </c>
      <c r="D1032" s="170"/>
      <c r="E1032" s="4"/>
      <c r="F1032" s="170"/>
      <c r="G1032" s="170"/>
      <c r="H1032" s="170"/>
      <c r="I1032" s="21"/>
    </row>
    <row r="1033" spans="1:9" x14ac:dyDescent="0.25">
      <c r="A1033" s="2" t="str">
        <f t="shared" si="33"/>
        <v>408</v>
      </c>
      <c r="B1033" s="3" t="str">
        <f t="shared" si="34"/>
        <v>00;</v>
      </c>
      <c r="C1033" s="170">
        <v>0</v>
      </c>
      <c r="D1033" s="170"/>
      <c r="E1033" s="4"/>
      <c r="F1033" s="170"/>
      <c r="G1033" s="170"/>
      <c r="H1033" s="170"/>
      <c r="I1033" s="21"/>
    </row>
    <row r="1034" spans="1:9" x14ac:dyDescent="0.25">
      <c r="A1034" s="2" t="str">
        <f t="shared" ref="A1034:A1057" si="35">IF(ROW()-1&lt;16,CONCATENATE("0",DEC2HEX(ROW()-1)),DEC2HEX(ROW()-1))</f>
        <v>409</v>
      </c>
      <c r="B1034" s="3" t="str">
        <f t="shared" si="34"/>
        <v>00;</v>
      </c>
      <c r="C1034" s="170">
        <v>0</v>
      </c>
      <c r="D1034" s="170"/>
      <c r="E1034" s="4"/>
      <c r="F1034" s="170"/>
      <c r="G1034" s="170"/>
      <c r="H1034" s="170"/>
      <c r="I1034" s="21"/>
    </row>
    <row r="1035" spans="1:9" x14ac:dyDescent="0.25">
      <c r="A1035" s="2" t="str">
        <f t="shared" si="35"/>
        <v>40A</v>
      </c>
      <c r="B1035" s="3" t="str">
        <f t="shared" si="34"/>
        <v>00;</v>
      </c>
      <c r="C1035" s="170">
        <v>0</v>
      </c>
      <c r="D1035" s="170"/>
      <c r="E1035" s="4"/>
      <c r="F1035" s="170"/>
      <c r="G1035" s="170"/>
      <c r="H1035" s="170"/>
      <c r="I1035" s="21"/>
    </row>
    <row r="1036" spans="1:9" x14ac:dyDescent="0.25">
      <c r="A1036" s="2" t="str">
        <f t="shared" si="35"/>
        <v>40B</v>
      </c>
      <c r="B1036" s="3" t="str">
        <f t="shared" si="34"/>
        <v>00;</v>
      </c>
      <c r="C1036" s="170">
        <v>0</v>
      </c>
      <c r="D1036" s="170"/>
      <c r="E1036" s="4"/>
      <c r="F1036" s="170"/>
      <c r="G1036" s="170"/>
      <c r="H1036" s="170"/>
      <c r="I1036" s="21"/>
    </row>
    <row r="1037" spans="1:9" x14ac:dyDescent="0.25">
      <c r="A1037" s="2" t="str">
        <f t="shared" si="35"/>
        <v>40C</v>
      </c>
      <c r="B1037" s="3" t="str">
        <f t="shared" ref="B1037:B1057" si="36">IF(C1037&lt;16,CONCATENATE("0",DEC2HEX(C1037),";"),CONCATENATE(DEC2HEX(C1037),";"))</f>
        <v>00;</v>
      </c>
      <c r="C1037" s="170">
        <v>0</v>
      </c>
      <c r="D1037" s="170"/>
      <c r="E1037" s="4"/>
      <c r="F1037" s="170"/>
      <c r="G1037" s="170"/>
      <c r="H1037" s="170"/>
      <c r="I1037" s="21"/>
    </row>
    <row r="1038" spans="1:9" x14ac:dyDescent="0.25">
      <c r="A1038" s="2" t="str">
        <f t="shared" si="35"/>
        <v>40D</v>
      </c>
      <c r="B1038" s="3" t="str">
        <f t="shared" si="36"/>
        <v>00;</v>
      </c>
      <c r="C1038" s="170">
        <v>0</v>
      </c>
      <c r="D1038" s="170"/>
      <c r="E1038" s="4"/>
      <c r="F1038" s="170"/>
      <c r="G1038" s="170"/>
      <c r="H1038" s="170"/>
      <c r="I1038" s="21"/>
    </row>
    <row r="1039" spans="1:9" x14ac:dyDescent="0.25">
      <c r="A1039" s="2" t="str">
        <f t="shared" si="35"/>
        <v>40E</v>
      </c>
      <c r="B1039" s="3" t="str">
        <f t="shared" si="36"/>
        <v>00;</v>
      </c>
      <c r="C1039" s="170">
        <v>0</v>
      </c>
      <c r="D1039" s="170"/>
      <c r="E1039" s="4"/>
      <c r="F1039" s="170"/>
      <c r="G1039" s="170"/>
      <c r="H1039" s="170"/>
      <c r="I1039" s="21"/>
    </row>
    <row r="1040" spans="1:9" x14ac:dyDescent="0.25">
      <c r="A1040" s="2" t="str">
        <f t="shared" si="35"/>
        <v>40F</v>
      </c>
      <c r="B1040" s="3" t="str">
        <f t="shared" si="36"/>
        <v>00;</v>
      </c>
      <c r="C1040" s="170">
        <v>0</v>
      </c>
      <c r="D1040" s="170"/>
      <c r="E1040" s="4"/>
      <c r="F1040" s="170"/>
      <c r="G1040" s="170"/>
      <c r="H1040" s="170"/>
      <c r="I1040" s="21"/>
    </row>
    <row r="1041" spans="1:9" x14ac:dyDescent="0.25">
      <c r="A1041" s="2" t="str">
        <f t="shared" si="35"/>
        <v>410</v>
      </c>
      <c r="B1041" s="3" t="str">
        <f t="shared" si="36"/>
        <v>00;</v>
      </c>
      <c r="C1041" s="170">
        <v>0</v>
      </c>
      <c r="D1041" s="170"/>
      <c r="E1041" s="4"/>
      <c r="F1041" s="170"/>
      <c r="G1041" s="170"/>
      <c r="H1041" s="170"/>
      <c r="I1041" s="21"/>
    </row>
    <row r="1042" spans="1:9" x14ac:dyDescent="0.25">
      <c r="A1042" s="2" t="str">
        <f t="shared" si="35"/>
        <v>411</v>
      </c>
      <c r="B1042" s="3" t="str">
        <f t="shared" si="36"/>
        <v>00;</v>
      </c>
      <c r="C1042" s="170">
        <v>0</v>
      </c>
      <c r="D1042" s="170"/>
      <c r="E1042" s="4"/>
      <c r="F1042" s="170"/>
      <c r="G1042" s="170"/>
      <c r="H1042" s="170"/>
      <c r="I1042" s="21"/>
    </row>
    <row r="1043" spans="1:9" x14ac:dyDescent="0.25">
      <c r="A1043" s="2" t="str">
        <f t="shared" si="35"/>
        <v>412</v>
      </c>
      <c r="B1043" s="3" t="str">
        <f t="shared" si="36"/>
        <v>00;</v>
      </c>
      <c r="C1043" s="170">
        <v>0</v>
      </c>
      <c r="D1043" s="170"/>
      <c r="E1043" s="4"/>
      <c r="F1043" s="170"/>
      <c r="G1043" s="170"/>
      <c r="H1043" s="170"/>
      <c r="I1043" s="21"/>
    </row>
    <row r="1044" spans="1:9" x14ac:dyDescent="0.25">
      <c r="A1044" s="2" t="str">
        <f t="shared" si="35"/>
        <v>413</v>
      </c>
      <c r="B1044" s="3" t="str">
        <f t="shared" si="36"/>
        <v>00;</v>
      </c>
      <c r="C1044" s="170">
        <v>0</v>
      </c>
      <c r="D1044" s="170"/>
      <c r="E1044" s="4"/>
      <c r="F1044" s="170"/>
      <c r="G1044" s="170"/>
      <c r="H1044" s="170"/>
      <c r="I1044" s="21"/>
    </row>
    <row r="1045" spans="1:9" x14ac:dyDescent="0.25">
      <c r="A1045" s="2" t="str">
        <f t="shared" si="35"/>
        <v>414</v>
      </c>
      <c r="B1045" s="3" t="str">
        <f t="shared" si="36"/>
        <v>00;</v>
      </c>
      <c r="C1045" s="170">
        <v>0</v>
      </c>
      <c r="D1045" s="170"/>
      <c r="E1045" s="4"/>
      <c r="F1045" s="170"/>
      <c r="G1045" s="170"/>
      <c r="H1045" s="170"/>
      <c r="I1045" s="21"/>
    </row>
    <row r="1046" spans="1:9" x14ac:dyDescent="0.25">
      <c r="A1046" s="2" t="str">
        <f t="shared" si="35"/>
        <v>415</v>
      </c>
      <c r="B1046" s="3" t="str">
        <f t="shared" si="36"/>
        <v>00;</v>
      </c>
      <c r="C1046" s="170">
        <v>0</v>
      </c>
      <c r="D1046" s="170"/>
      <c r="E1046" s="4"/>
      <c r="F1046" s="170"/>
      <c r="G1046" s="170"/>
      <c r="H1046" s="170"/>
      <c r="I1046" s="21"/>
    </row>
    <row r="1047" spans="1:9" x14ac:dyDescent="0.25">
      <c r="A1047" s="2" t="str">
        <f t="shared" si="35"/>
        <v>416</v>
      </c>
      <c r="B1047" s="3" t="str">
        <f t="shared" si="36"/>
        <v>00;</v>
      </c>
      <c r="C1047" s="170">
        <v>0</v>
      </c>
      <c r="D1047" s="170"/>
      <c r="E1047" s="4"/>
      <c r="F1047" s="170"/>
      <c r="G1047" s="170"/>
      <c r="H1047" s="170"/>
      <c r="I1047" s="21"/>
    </row>
    <row r="1048" spans="1:9" x14ac:dyDescent="0.25">
      <c r="A1048" s="2" t="str">
        <f t="shared" si="35"/>
        <v>417</v>
      </c>
      <c r="B1048" s="3" t="str">
        <f t="shared" si="36"/>
        <v>00;</v>
      </c>
      <c r="C1048" s="170">
        <v>0</v>
      </c>
      <c r="D1048" s="170"/>
      <c r="E1048" s="4"/>
      <c r="F1048" s="170"/>
      <c r="G1048" s="170"/>
      <c r="H1048" s="170"/>
      <c r="I1048" s="21"/>
    </row>
    <row r="1049" spans="1:9" x14ac:dyDescent="0.25">
      <c r="A1049" s="2" t="str">
        <f t="shared" si="35"/>
        <v>418</v>
      </c>
      <c r="B1049" s="3" t="str">
        <f t="shared" si="36"/>
        <v>00;</v>
      </c>
      <c r="C1049" s="170">
        <v>0</v>
      </c>
      <c r="D1049" s="170"/>
      <c r="E1049" s="4"/>
      <c r="F1049" s="170"/>
      <c r="G1049" s="170"/>
      <c r="H1049" s="170"/>
      <c r="I1049" s="21"/>
    </row>
    <row r="1050" spans="1:9" x14ac:dyDescent="0.25">
      <c r="A1050" s="2" t="str">
        <f t="shared" si="35"/>
        <v>419</v>
      </c>
      <c r="B1050" s="3" t="str">
        <f t="shared" si="36"/>
        <v>00;</v>
      </c>
      <c r="C1050" s="170">
        <v>0</v>
      </c>
      <c r="D1050" s="170"/>
      <c r="E1050" s="4"/>
      <c r="F1050" s="170"/>
      <c r="G1050" s="170"/>
      <c r="H1050" s="170"/>
      <c r="I1050" s="21"/>
    </row>
    <row r="1051" spans="1:9" x14ac:dyDescent="0.25">
      <c r="A1051" s="2" t="str">
        <f t="shared" si="35"/>
        <v>41A</v>
      </c>
      <c r="B1051" s="3" t="str">
        <f t="shared" si="36"/>
        <v>00;</v>
      </c>
      <c r="C1051" s="170">
        <v>0</v>
      </c>
      <c r="D1051" s="170"/>
      <c r="E1051" s="4"/>
      <c r="F1051" s="170"/>
      <c r="G1051" s="170"/>
      <c r="H1051" s="170"/>
      <c r="I1051" s="21"/>
    </row>
    <row r="1052" spans="1:9" x14ac:dyDescent="0.25">
      <c r="A1052" s="2" t="str">
        <f t="shared" si="35"/>
        <v>41B</v>
      </c>
      <c r="B1052" s="3" t="str">
        <f t="shared" si="36"/>
        <v>00;</v>
      </c>
      <c r="C1052" s="170">
        <v>0</v>
      </c>
      <c r="D1052" s="170"/>
      <c r="E1052" s="4"/>
      <c r="F1052" s="170"/>
      <c r="G1052" s="170"/>
      <c r="H1052" s="170"/>
      <c r="I1052" s="21"/>
    </row>
    <row r="1053" spans="1:9" x14ac:dyDescent="0.25">
      <c r="A1053" s="2" t="str">
        <f t="shared" si="35"/>
        <v>41C</v>
      </c>
      <c r="B1053" s="3" t="str">
        <f t="shared" si="36"/>
        <v>00;</v>
      </c>
      <c r="C1053" s="170">
        <v>0</v>
      </c>
      <c r="D1053" s="170"/>
      <c r="E1053" s="4"/>
      <c r="F1053" s="170"/>
      <c r="G1053" s="170"/>
      <c r="H1053" s="170"/>
      <c r="I1053" s="21"/>
    </row>
    <row r="1054" spans="1:9" x14ac:dyDescent="0.25">
      <c r="A1054" s="2" t="str">
        <f t="shared" si="35"/>
        <v>41D</v>
      </c>
      <c r="B1054" s="3" t="str">
        <f t="shared" si="36"/>
        <v>00;</v>
      </c>
      <c r="C1054" s="170">
        <v>0</v>
      </c>
      <c r="D1054" s="170"/>
      <c r="E1054" s="4"/>
      <c r="F1054" s="170"/>
      <c r="G1054" s="170"/>
      <c r="H1054" s="170"/>
      <c r="I1054" s="21"/>
    </row>
    <row r="1055" spans="1:9" x14ac:dyDescent="0.25">
      <c r="A1055" s="2" t="str">
        <f t="shared" si="35"/>
        <v>41E</v>
      </c>
      <c r="B1055" s="3" t="str">
        <f t="shared" si="36"/>
        <v>00;</v>
      </c>
      <c r="C1055" s="170">
        <v>0</v>
      </c>
      <c r="D1055" s="170"/>
      <c r="E1055" s="4"/>
      <c r="F1055" s="170"/>
      <c r="G1055" s="170"/>
      <c r="H1055" s="170"/>
      <c r="I1055" s="21"/>
    </row>
    <row r="1056" spans="1:9" x14ac:dyDescent="0.25">
      <c r="A1056" s="2" t="str">
        <f t="shared" si="35"/>
        <v>41F</v>
      </c>
      <c r="B1056" s="3" t="str">
        <f t="shared" si="36"/>
        <v>00;</v>
      </c>
      <c r="C1056" s="170">
        <v>0</v>
      </c>
      <c r="D1056" s="170"/>
      <c r="E1056" s="4"/>
      <c r="F1056" s="170"/>
      <c r="G1056" s="170"/>
      <c r="H1056" s="170"/>
      <c r="I1056" s="21"/>
    </row>
    <row r="1057" spans="1:9" x14ac:dyDescent="0.25">
      <c r="A1057" s="2" t="str">
        <f t="shared" si="35"/>
        <v>420</v>
      </c>
      <c r="B1057" s="3" t="str">
        <f t="shared" si="36"/>
        <v>00;</v>
      </c>
      <c r="C1057" s="170">
        <v>0</v>
      </c>
      <c r="D1057" s="170"/>
      <c r="E1057" s="4"/>
      <c r="F1057" s="170"/>
      <c r="G1057" s="170"/>
      <c r="H1057" s="170"/>
      <c r="I1057" s="2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3:D22"/>
  <sheetViews>
    <sheetView workbookViewId="0">
      <selection activeCell="C11" sqref="C11"/>
    </sheetView>
  </sheetViews>
  <sheetFormatPr defaultRowHeight="15" x14ac:dyDescent="0.25"/>
  <cols>
    <col min="2" max="2" width="19.140625" style="17" bestFit="1" customWidth="1"/>
    <col min="3" max="3" width="32.28515625" bestFit="1" customWidth="1"/>
  </cols>
  <sheetData>
    <row r="3" spans="2:4" x14ac:dyDescent="0.25">
      <c r="B3" s="24" t="s">
        <v>1165</v>
      </c>
      <c r="C3" s="6" t="s">
        <v>1166</v>
      </c>
    </row>
    <row r="4" spans="2:4" x14ac:dyDescent="0.25">
      <c r="B4" s="17">
        <v>80</v>
      </c>
      <c r="C4" t="s">
        <v>1167</v>
      </c>
    </row>
    <row r="5" spans="2:4" x14ac:dyDescent="0.25">
      <c r="B5" s="17">
        <v>81</v>
      </c>
      <c r="C5" t="s">
        <v>1497</v>
      </c>
      <c r="D5" t="s">
        <v>1476</v>
      </c>
    </row>
    <row r="6" spans="2:4" x14ac:dyDescent="0.25">
      <c r="B6" s="17">
        <v>82</v>
      </c>
      <c r="C6" t="s">
        <v>1168</v>
      </c>
    </row>
    <row r="7" spans="2:4" x14ac:dyDescent="0.25">
      <c r="B7" s="17">
        <v>83</v>
      </c>
      <c r="C7" t="s">
        <v>1957</v>
      </c>
    </row>
    <row r="8" spans="2:4" x14ac:dyDescent="0.25">
      <c r="B8" s="17">
        <v>84</v>
      </c>
      <c r="C8" t="s">
        <v>1169</v>
      </c>
    </row>
    <row r="9" spans="2:4" x14ac:dyDescent="0.25">
      <c r="B9" s="17">
        <v>85</v>
      </c>
      <c r="C9" t="s">
        <v>1170</v>
      </c>
    </row>
    <row r="10" spans="2:4" x14ac:dyDescent="0.25">
      <c r="B10" s="17">
        <v>86</v>
      </c>
      <c r="C10" t="s">
        <v>1761</v>
      </c>
    </row>
    <row r="11" spans="2:4" x14ac:dyDescent="0.25">
      <c r="B11" s="17">
        <v>87</v>
      </c>
      <c r="C11" t="s">
        <v>1775</v>
      </c>
    </row>
    <row r="12" spans="2:4" x14ac:dyDescent="0.25">
      <c r="B12" s="17">
        <v>88</v>
      </c>
      <c r="C12" t="s">
        <v>1417</v>
      </c>
    </row>
    <row r="13" spans="2:4" x14ac:dyDescent="0.25">
      <c r="B13" s="17">
        <v>89</v>
      </c>
      <c r="C13" t="s">
        <v>1415</v>
      </c>
    </row>
    <row r="14" spans="2:4" x14ac:dyDescent="0.25">
      <c r="B14" s="17" t="s">
        <v>1364</v>
      </c>
      <c r="C14" t="s">
        <v>1478</v>
      </c>
    </row>
    <row r="15" spans="2:4" x14ac:dyDescent="0.25">
      <c r="B15" s="17" t="s">
        <v>1399</v>
      </c>
      <c r="C15" t="s">
        <v>1479</v>
      </c>
    </row>
    <row r="16" spans="2:4" x14ac:dyDescent="0.25">
      <c r="B16" s="17" t="s">
        <v>1400</v>
      </c>
      <c r="C16" t="s">
        <v>1358</v>
      </c>
      <c r="D16" t="s">
        <v>1359</v>
      </c>
    </row>
    <row r="17" spans="2:4" x14ac:dyDescent="0.25">
      <c r="B17" s="17" t="s">
        <v>1480</v>
      </c>
      <c r="C17" t="s">
        <v>1407</v>
      </c>
    </row>
    <row r="18" spans="2:4" x14ac:dyDescent="0.25">
      <c r="B18" s="17" t="s">
        <v>1507</v>
      </c>
      <c r="C18" t="s">
        <v>1418</v>
      </c>
      <c r="D18" t="s">
        <v>1419</v>
      </c>
    </row>
    <row r="19" spans="2:4" x14ac:dyDescent="0.25">
      <c r="B19" s="17" t="s">
        <v>1508</v>
      </c>
      <c r="C19" t="s">
        <v>1500</v>
      </c>
    </row>
    <row r="20" spans="2:4" x14ac:dyDescent="0.25">
      <c r="B20" s="17">
        <v>90</v>
      </c>
      <c r="C20" t="s">
        <v>1509</v>
      </c>
    </row>
    <row r="21" spans="2:4" x14ac:dyDescent="0.25">
      <c r="B21" s="17">
        <v>91</v>
      </c>
      <c r="C21" t="s">
        <v>1660</v>
      </c>
    </row>
    <row r="22" spans="2:4" x14ac:dyDescent="0.25">
      <c r="B22" s="17">
        <v>92</v>
      </c>
      <c r="C22" t="s">
        <v>1667</v>
      </c>
    </row>
  </sheetData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P109"/>
  <sheetViews>
    <sheetView workbookViewId="0">
      <selection activeCell="J5" sqref="J5"/>
    </sheetView>
  </sheetViews>
  <sheetFormatPr defaultRowHeight="15" x14ac:dyDescent="0.25"/>
  <cols>
    <col min="2" max="2" width="8.7109375" customWidth="1"/>
    <col min="3" max="3" width="14.5703125" bestFit="1" customWidth="1"/>
    <col min="4" max="4" width="14.140625" bestFit="1" customWidth="1"/>
    <col min="5" max="5" width="14" bestFit="1" customWidth="1"/>
    <col min="6" max="6" width="13.5703125" style="1" bestFit="1" customWidth="1"/>
    <col min="7" max="7" width="10.85546875" style="17" bestFit="1" customWidth="1"/>
    <col min="8" max="8" width="12.140625" customWidth="1"/>
  </cols>
  <sheetData>
    <row r="1" spans="1:16" x14ac:dyDescent="0.25">
      <c r="B1" t="s">
        <v>1171</v>
      </c>
    </row>
    <row r="3" spans="1:16" x14ac:dyDescent="0.25">
      <c r="B3" s="1" t="s">
        <v>1172</v>
      </c>
      <c r="C3" s="1"/>
      <c r="D3" s="1" t="s">
        <v>1173</v>
      </c>
      <c r="E3" s="1"/>
      <c r="F3" s="1" t="s">
        <v>1174</v>
      </c>
      <c r="H3" s="1" t="s">
        <v>1062</v>
      </c>
      <c r="I3" t="s">
        <v>1175</v>
      </c>
      <c r="P3" s="35"/>
    </row>
    <row r="4" spans="1:16" x14ac:dyDescent="0.25">
      <c r="B4" s="36">
        <v>0</v>
      </c>
      <c r="C4" s="36"/>
      <c r="D4" s="36">
        <v>0</v>
      </c>
      <c r="E4" s="36"/>
      <c r="F4" s="37">
        <v>30</v>
      </c>
      <c r="P4" s="35"/>
    </row>
    <row r="5" spans="1:16" x14ac:dyDescent="0.25">
      <c r="A5" t="s">
        <v>1062</v>
      </c>
      <c r="B5">
        <f>B4*60*60*10000</f>
        <v>0</v>
      </c>
      <c r="D5">
        <f>D4*60*10000</f>
        <v>0</v>
      </c>
      <c r="F5" s="1">
        <f>F4*10000</f>
        <v>300000</v>
      </c>
      <c r="G5" s="17" t="s">
        <v>1176</v>
      </c>
      <c r="H5" s="34">
        <f>B5+D5+F5</f>
        <v>300000</v>
      </c>
      <c r="I5" s="37" t="str">
        <f>DEC2HEX(MOD(H5/256/256/256, 256),2)</f>
        <v>00</v>
      </c>
      <c r="J5" s="36" t="str">
        <f>DEC2HEX(MOD(H5/256/256, 256), 2)</f>
        <v>04</v>
      </c>
      <c r="K5" s="36" t="str">
        <f>DEC2HEX(MOD(H5/256, 256), 2)</f>
        <v>93</v>
      </c>
      <c r="L5" s="36" t="str">
        <f>DEC2HEX(MOD(H5, 256), 2)</f>
        <v>E0</v>
      </c>
      <c r="P5" s="35"/>
    </row>
    <row r="6" spans="1:16" x14ac:dyDescent="0.25">
      <c r="H6" s="1" t="str">
        <f>DEC2HEX(H5, 8)</f>
        <v>000493E0</v>
      </c>
      <c r="I6" t="s">
        <v>1175</v>
      </c>
      <c r="P6" s="35"/>
    </row>
    <row r="7" spans="1:16" ht="15.75" thickBot="1" x14ac:dyDescent="0.3">
      <c r="P7" s="35"/>
    </row>
    <row r="8" spans="1:16" ht="15.75" thickBot="1" x14ac:dyDescent="0.3">
      <c r="A8" s="46"/>
      <c r="B8" s="44" t="s">
        <v>1177</v>
      </c>
      <c r="C8" s="44"/>
      <c r="D8" s="43" t="s">
        <v>1178</v>
      </c>
      <c r="E8" s="54"/>
      <c r="F8" s="59" t="s">
        <v>1179</v>
      </c>
      <c r="P8" s="35"/>
    </row>
    <row r="9" spans="1:16" x14ac:dyDescent="0.25">
      <c r="A9" s="45" t="s">
        <v>1180</v>
      </c>
      <c r="B9" s="47">
        <v>100000</v>
      </c>
      <c r="C9" s="64"/>
      <c r="D9" s="48" t="str">
        <f>BIN2HEX(B9)</f>
        <v>20</v>
      </c>
      <c r="E9" s="55"/>
      <c r="F9" s="60"/>
      <c r="P9" s="35"/>
    </row>
    <row r="10" spans="1:16" x14ac:dyDescent="0.25">
      <c r="A10" s="41" t="s">
        <v>1181</v>
      </c>
      <c r="B10" s="49" t="str">
        <f>HEX2BIN(D10)</f>
        <v>1000</v>
      </c>
      <c r="C10" s="65"/>
      <c r="D10" s="27">
        <v>8</v>
      </c>
      <c r="E10" s="56"/>
      <c r="F10" s="61"/>
      <c r="I10" s="32" t="s">
        <v>1182</v>
      </c>
      <c r="P10" s="35"/>
    </row>
    <row r="11" spans="1:16" x14ac:dyDescent="0.25">
      <c r="A11" s="41" t="s">
        <v>1183</v>
      </c>
      <c r="B11" s="51"/>
      <c r="C11" s="66"/>
      <c r="D11" s="33" t="str">
        <f>DEC2HEX(F11)</f>
        <v>4</v>
      </c>
      <c r="E11" s="57"/>
      <c r="F11" s="62">
        <v>4</v>
      </c>
      <c r="P11" s="35"/>
    </row>
    <row r="12" spans="1:16" ht="15.75" thickBot="1" x14ac:dyDescent="0.3">
      <c r="A12" s="42" t="s">
        <v>1184</v>
      </c>
      <c r="B12" s="50"/>
      <c r="C12" s="67"/>
      <c r="D12" s="30" t="s">
        <v>1185</v>
      </c>
      <c r="E12" s="58"/>
      <c r="F12" s="63">
        <f>HEX2DEC(D12)</f>
        <v>10</v>
      </c>
      <c r="P12" s="35"/>
    </row>
    <row r="13" spans="1:16" x14ac:dyDescent="0.25">
      <c r="P13" s="35"/>
    </row>
    <row r="14" spans="1:16" x14ac:dyDescent="0.25">
      <c r="P14" s="35"/>
    </row>
    <row r="15" spans="1:16" ht="15.75" thickBot="1" x14ac:dyDescent="0.3">
      <c r="A15" t="s">
        <v>1186</v>
      </c>
      <c r="P15" s="35"/>
    </row>
    <row r="16" spans="1:16" ht="15.75" thickBot="1" x14ac:dyDescent="0.3">
      <c r="A16" s="25" t="s">
        <v>1187</v>
      </c>
      <c r="B16" s="73" t="s">
        <v>1188</v>
      </c>
      <c r="C16" s="73" t="s">
        <v>1189</v>
      </c>
      <c r="D16" s="73" t="s">
        <v>1190</v>
      </c>
      <c r="E16" s="73" t="s">
        <v>1191</v>
      </c>
      <c r="F16" s="74" t="s">
        <v>1192</v>
      </c>
      <c r="G16" s="75" t="s">
        <v>1193</v>
      </c>
      <c r="H16" s="73" t="s">
        <v>1194</v>
      </c>
      <c r="I16" s="99" t="s">
        <v>1195</v>
      </c>
      <c r="J16" s="100" t="s">
        <v>1196</v>
      </c>
      <c r="K16" s="100" t="s">
        <v>1197</v>
      </c>
      <c r="L16" s="100" t="s">
        <v>1198</v>
      </c>
      <c r="M16" s="100" t="s">
        <v>1199</v>
      </c>
      <c r="N16" s="101" t="s">
        <v>1200</v>
      </c>
      <c r="P16" s="35"/>
    </row>
    <row r="17" spans="1:16" x14ac:dyDescent="0.25">
      <c r="A17" s="76">
        <v>13</v>
      </c>
      <c r="B17" s="40" t="str">
        <f>DEC2HEX(A17,2)</f>
        <v>0D</v>
      </c>
      <c r="C17" t="str">
        <f>BIN2HEX(E17,2)</f>
        <v>00</v>
      </c>
      <c r="D17" t="str">
        <f>BIN2HEX(F17,2)</f>
        <v>01</v>
      </c>
      <c r="E17" s="70" t="s">
        <v>1201</v>
      </c>
      <c r="F17" s="1">
        <v>1</v>
      </c>
      <c r="G17" s="17">
        <v>1</v>
      </c>
      <c r="H17" s="81" t="s">
        <v>1202</v>
      </c>
      <c r="I17" s="95"/>
      <c r="J17" s="96"/>
      <c r="K17" s="96"/>
      <c r="L17" s="97" t="s">
        <v>1202</v>
      </c>
      <c r="M17" s="97" t="s">
        <v>1202</v>
      </c>
      <c r="N17" s="98" t="s">
        <v>1202</v>
      </c>
      <c r="P17" s="35"/>
    </row>
    <row r="18" spans="1:16" x14ac:dyDescent="0.25">
      <c r="A18" s="77">
        <v>13</v>
      </c>
      <c r="B18" s="40" t="str">
        <f t="shared" ref="B18:B52" si="0">DEC2HEX(A18,2)</f>
        <v>0D</v>
      </c>
      <c r="C18" t="str">
        <f t="shared" ref="C18:C52" si="1">BIN2HEX(E18,2)</f>
        <v>00</v>
      </c>
      <c r="D18" t="str">
        <f t="shared" ref="D18:D52" si="2">BIN2HEX(F18,2)</f>
        <v>02</v>
      </c>
      <c r="E18" s="70" t="s">
        <v>1201</v>
      </c>
      <c r="F18" s="1">
        <v>10</v>
      </c>
      <c r="G18" s="17">
        <v>1</v>
      </c>
      <c r="H18" s="79" t="s">
        <v>1203</v>
      </c>
      <c r="I18" s="28"/>
      <c r="J18" s="27"/>
      <c r="K18" s="27"/>
      <c r="L18" s="84" t="s">
        <v>1203</v>
      </c>
      <c r="M18" s="84" t="s">
        <v>1203</v>
      </c>
      <c r="N18" s="87" t="s">
        <v>1203</v>
      </c>
      <c r="P18" s="35"/>
    </row>
    <row r="19" spans="1:16" x14ac:dyDescent="0.25">
      <c r="A19" s="77">
        <v>13</v>
      </c>
      <c r="B19" s="40" t="str">
        <f t="shared" si="0"/>
        <v>0D</v>
      </c>
      <c r="C19" t="str">
        <f t="shared" si="1"/>
        <v>00</v>
      </c>
      <c r="D19" t="str">
        <f t="shared" si="2"/>
        <v>03</v>
      </c>
      <c r="E19" s="70" t="s">
        <v>1201</v>
      </c>
      <c r="F19" s="1">
        <v>11</v>
      </c>
      <c r="G19" s="17">
        <v>1</v>
      </c>
      <c r="H19" s="80" t="s">
        <v>1204</v>
      </c>
      <c r="I19" s="28"/>
      <c r="J19" s="27"/>
      <c r="K19" s="27"/>
      <c r="L19" s="85" t="s">
        <v>1204</v>
      </c>
      <c r="M19" s="85" t="s">
        <v>1204</v>
      </c>
      <c r="N19" s="88" t="s">
        <v>1204</v>
      </c>
      <c r="P19" s="35"/>
    </row>
    <row r="20" spans="1:16" x14ac:dyDescent="0.25">
      <c r="A20" s="77">
        <v>13</v>
      </c>
      <c r="B20" s="40" t="str">
        <f t="shared" si="0"/>
        <v>0D</v>
      </c>
      <c r="C20" t="str">
        <f t="shared" si="1"/>
        <v>00</v>
      </c>
      <c r="D20" t="str">
        <f t="shared" si="2"/>
        <v>04</v>
      </c>
      <c r="E20" s="70" t="s">
        <v>1201</v>
      </c>
      <c r="F20" s="1">
        <v>100</v>
      </c>
      <c r="G20" s="17">
        <v>2</v>
      </c>
      <c r="H20" s="78" t="s">
        <v>1202</v>
      </c>
      <c r="I20" s="28"/>
      <c r="J20" s="27"/>
      <c r="K20" s="27"/>
      <c r="L20" s="27"/>
      <c r="M20" s="86" t="s">
        <v>1202</v>
      </c>
      <c r="N20" s="89" t="s">
        <v>1202</v>
      </c>
      <c r="P20" s="35"/>
    </row>
    <row r="21" spans="1:16" x14ac:dyDescent="0.25">
      <c r="A21" s="77">
        <v>13</v>
      </c>
      <c r="B21" s="40" t="str">
        <f t="shared" si="0"/>
        <v>0D</v>
      </c>
      <c r="C21" t="str">
        <f t="shared" si="1"/>
        <v>00</v>
      </c>
      <c r="D21" t="str">
        <f t="shared" si="2"/>
        <v>08</v>
      </c>
      <c r="E21" s="70" t="s">
        <v>1201</v>
      </c>
      <c r="F21" s="1">
        <v>1000</v>
      </c>
      <c r="G21" s="17">
        <v>2</v>
      </c>
      <c r="H21" s="79" t="s">
        <v>1203</v>
      </c>
      <c r="I21" s="28"/>
      <c r="J21" s="27"/>
      <c r="K21" s="27"/>
      <c r="L21" s="27"/>
      <c r="M21" s="84" t="s">
        <v>1203</v>
      </c>
      <c r="N21" s="87" t="s">
        <v>1203</v>
      </c>
      <c r="P21" s="35"/>
    </row>
    <row r="22" spans="1:16" x14ac:dyDescent="0.25">
      <c r="A22" s="77">
        <v>13</v>
      </c>
      <c r="B22" s="40" t="str">
        <f t="shared" si="0"/>
        <v>0D</v>
      </c>
      <c r="C22" t="str">
        <f t="shared" si="1"/>
        <v>00</v>
      </c>
      <c r="D22" t="str">
        <f t="shared" si="2"/>
        <v>0C</v>
      </c>
      <c r="E22" s="70" t="s">
        <v>1201</v>
      </c>
      <c r="F22" s="1">
        <v>1100</v>
      </c>
      <c r="G22" s="17">
        <v>2</v>
      </c>
      <c r="H22" s="80" t="s">
        <v>1204</v>
      </c>
      <c r="I22" s="28"/>
      <c r="J22" s="27"/>
      <c r="K22" s="27"/>
      <c r="L22" s="27"/>
      <c r="M22" s="85" t="s">
        <v>1204</v>
      </c>
      <c r="N22" s="88" t="s">
        <v>1204</v>
      </c>
      <c r="P22" s="35"/>
    </row>
    <row r="23" spans="1:16" x14ac:dyDescent="0.25">
      <c r="A23" s="77">
        <v>13</v>
      </c>
      <c r="B23" s="40" t="str">
        <f t="shared" si="0"/>
        <v>0D</v>
      </c>
      <c r="C23" t="str">
        <f t="shared" si="1"/>
        <v>00</v>
      </c>
      <c r="D23" t="str">
        <f t="shared" si="2"/>
        <v>10</v>
      </c>
      <c r="E23" s="70" t="s">
        <v>1201</v>
      </c>
      <c r="F23" s="1">
        <v>10000</v>
      </c>
      <c r="G23" s="17">
        <v>3</v>
      </c>
      <c r="H23" s="78" t="s">
        <v>1202</v>
      </c>
      <c r="I23" s="28"/>
      <c r="J23" s="27"/>
      <c r="K23" s="27"/>
      <c r="L23" s="86" t="s">
        <v>1202</v>
      </c>
      <c r="M23" s="86" t="s">
        <v>1202</v>
      </c>
      <c r="N23" s="89" t="s">
        <v>1202</v>
      </c>
      <c r="P23" s="35"/>
    </row>
    <row r="24" spans="1:16" x14ac:dyDescent="0.25">
      <c r="A24" s="77">
        <v>13</v>
      </c>
      <c r="B24" s="40" t="str">
        <f t="shared" si="0"/>
        <v>0D</v>
      </c>
      <c r="C24" t="str">
        <f t="shared" si="1"/>
        <v>00</v>
      </c>
      <c r="D24" t="str">
        <f t="shared" si="2"/>
        <v>20</v>
      </c>
      <c r="E24" s="70" t="s">
        <v>1201</v>
      </c>
      <c r="F24" s="1">
        <v>100000</v>
      </c>
      <c r="G24" s="17">
        <v>3</v>
      </c>
      <c r="H24" s="79" t="s">
        <v>1203</v>
      </c>
      <c r="I24" s="28"/>
      <c r="J24" s="27"/>
      <c r="K24" s="27"/>
      <c r="L24" s="84" t="s">
        <v>1203</v>
      </c>
      <c r="M24" s="84" t="s">
        <v>1203</v>
      </c>
      <c r="N24" s="87" t="s">
        <v>1203</v>
      </c>
      <c r="P24" s="35"/>
    </row>
    <row r="25" spans="1:16" x14ac:dyDescent="0.25">
      <c r="A25" s="77">
        <v>13</v>
      </c>
      <c r="B25" s="40" t="str">
        <f t="shared" si="0"/>
        <v>0D</v>
      </c>
      <c r="C25" t="str">
        <f t="shared" si="1"/>
        <v>00</v>
      </c>
      <c r="D25" t="str">
        <f t="shared" si="2"/>
        <v>30</v>
      </c>
      <c r="E25" s="70" t="s">
        <v>1201</v>
      </c>
      <c r="F25" s="1">
        <v>110000</v>
      </c>
      <c r="G25" s="17">
        <v>3</v>
      </c>
      <c r="H25" s="80" t="s">
        <v>1204</v>
      </c>
      <c r="I25" s="28"/>
      <c r="J25" s="27"/>
      <c r="K25" s="27"/>
      <c r="L25" s="85" t="s">
        <v>1204</v>
      </c>
      <c r="M25" s="85" t="s">
        <v>1204</v>
      </c>
      <c r="N25" s="88" t="s">
        <v>1204</v>
      </c>
      <c r="P25" s="35"/>
    </row>
    <row r="26" spans="1:16" x14ac:dyDescent="0.25">
      <c r="A26" s="77">
        <v>13</v>
      </c>
      <c r="B26" s="40" t="str">
        <f t="shared" si="0"/>
        <v>0D</v>
      </c>
      <c r="C26" t="str">
        <f t="shared" si="1"/>
        <v>00</v>
      </c>
      <c r="D26" t="str">
        <f t="shared" si="2"/>
        <v>40</v>
      </c>
      <c r="E26" s="70" t="s">
        <v>1201</v>
      </c>
      <c r="F26" s="1">
        <v>1000000</v>
      </c>
      <c r="G26" s="17">
        <v>4</v>
      </c>
      <c r="H26" s="78" t="s">
        <v>1202</v>
      </c>
      <c r="I26" s="90" t="s">
        <v>1202</v>
      </c>
      <c r="J26" s="86" t="s">
        <v>1202</v>
      </c>
      <c r="K26" s="86" t="s">
        <v>1202</v>
      </c>
      <c r="L26" s="86" t="s">
        <v>1202</v>
      </c>
      <c r="M26" s="86" t="s">
        <v>1202</v>
      </c>
      <c r="N26" s="89" t="s">
        <v>1202</v>
      </c>
    </row>
    <row r="27" spans="1:16" x14ac:dyDescent="0.25">
      <c r="A27" s="77">
        <v>13</v>
      </c>
      <c r="B27" s="40" t="str">
        <f t="shared" si="0"/>
        <v>0D</v>
      </c>
      <c r="C27" t="str">
        <f t="shared" si="1"/>
        <v>00</v>
      </c>
      <c r="D27" t="str">
        <f t="shared" si="2"/>
        <v>80</v>
      </c>
      <c r="E27" s="70" t="s">
        <v>1201</v>
      </c>
      <c r="F27" s="1">
        <v>10000000</v>
      </c>
      <c r="G27" s="17">
        <v>4</v>
      </c>
      <c r="H27" s="79" t="s">
        <v>1203</v>
      </c>
      <c r="I27" s="91" t="s">
        <v>1203</v>
      </c>
      <c r="J27" s="84" t="s">
        <v>1203</v>
      </c>
      <c r="K27" s="84" t="s">
        <v>1203</v>
      </c>
      <c r="L27" s="84" t="s">
        <v>1203</v>
      </c>
      <c r="M27" s="84" t="s">
        <v>1203</v>
      </c>
      <c r="N27" s="87" t="s">
        <v>1203</v>
      </c>
    </row>
    <row r="28" spans="1:16" x14ac:dyDescent="0.25">
      <c r="A28" s="77">
        <v>13</v>
      </c>
      <c r="B28" s="40" t="str">
        <f t="shared" si="0"/>
        <v>0D</v>
      </c>
      <c r="C28" t="str">
        <f t="shared" si="1"/>
        <v>00</v>
      </c>
      <c r="D28" t="str">
        <f t="shared" si="2"/>
        <v>C0</v>
      </c>
      <c r="E28" s="70" t="s">
        <v>1201</v>
      </c>
      <c r="F28" s="1">
        <v>11000000</v>
      </c>
      <c r="G28" s="17">
        <v>4</v>
      </c>
      <c r="H28" s="80" t="s">
        <v>1204</v>
      </c>
      <c r="I28" s="92" t="s">
        <v>1204</v>
      </c>
      <c r="J28" s="85" t="s">
        <v>1204</v>
      </c>
      <c r="K28" s="85" t="s">
        <v>1204</v>
      </c>
      <c r="L28" s="85" t="s">
        <v>1204</v>
      </c>
      <c r="M28" s="85" t="s">
        <v>1204</v>
      </c>
      <c r="N28" s="88" t="s">
        <v>1204</v>
      </c>
    </row>
    <row r="29" spans="1:16" x14ac:dyDescent="0.25">
      <c r="A29" s="77">
        <v>13</v>
      </c>
      <c r="B29" s="40" t="str">
        <f t="shared" si="0"/>
        <v>0D</v>
      </c>
      <c r="C29" t="str">
        <f t="shared" si="1"/>
        <v>01</v>
      </c>
      <c r="D29" t="str">
        <f t="shared" si="2"/>
        <v>00</v>
      </c>
      <c r="E29">
        <v>1</v>
      </c>
      <c r="F29" s="70" t="s">
        <v>1201</v>
      </c>
      <c r="G29" s="17">
        <v>5</v>
      </c>
      <c r="H29" s="78" t="s">
        <v>1202</v>
      </c>
      <c r="I29" s="28"/>
      <c r="J29" s="27"/>
      <c r="K29" s="86" t="s">
        <v>1202</v>
      </c>
      <c r="L29" s="27"/>
      <c r="M29" s="86" t="s">
        <v>1202</v>
      </c>
      <c r="N29" s="89" t="s">
        <v>1202</v>
      </c>
    </row>
    <row r="30" spans="1:16" x14ac:dyDescent="0.25">
      <c r="A30" s="77">
        <v>13</v>
      </c>
      <c r="B30" s="40" t="str">
        <f t="shared" si="0"/>
        <v>0D</v>
      </c>
      <c r="C30" t="str">
        <f t="shared" si="1"/>
        <v>02</v>
      </c>
      <c r="D30" t="str">
        <f t="shared" si="2"/>
        <v>00</v>
      </c>
      <c r="E30">
        <v>10</v>
      </c>
      <c r="F30" s="70" t="s">
        <v>1201</v>
      </c>
      <c r="G30" s="17">
        <v>5</v>
      </c>
      <c r="H30" s="79" t="s">
        <v>1203</v>
      </c>
      <c r="I30" s="28"/>
      <c r="J30" s="27"/>
      <c r="K30" s="84" t="s">
        <v>1203</v>
      </c>
      <c r="L30" s="27"/>
      <c r="M30" s="84" t="s">
        <v>1203</v>
      </c>
      <c r="N30" s="87" t="s">
        <v>1203</v>
      </c>
    </row>
    <row r="31" spans="1:16" x14ac:dyDescent="0.25">
      <c r="A31" s="77">
        <v>13</v>
      </c>
      <c r="B31" s="40" t="str">
        <f t="shared" si="0"/>
        <v>0D</v>
      </c>
      <c r="C31" t="str">
        <f t="shared" si="1"/>
        <v>03</v>
      </c>
      <c r="D31" t="str">
        <f t="shared" si="2"/>
        <v>00</v>
      </c>
      <c r="E31">
        <v>11</v>
      </c>
      <c r="F31" s="70" t="s">
        <v>1201</v>
      </c>
      <c r="G31" s="17">
        <v>5</v>
      </c>
      <c r="H31" s="80" t="s">
        <v>1204</v>
      </c>
      <c r="I31" s="28"/>
      <c r="J31" s="27"/>
      <c r="K31" s="85" t="s">
        <v>1204</v>
      </c>
      <c r="L31" s="27"/>
      <c r="M31" s="85" t="s">
        <v>1204</v>
      </c>
      <c r="N31" s="88" t="s">
        <v>1204</v>
      </c>
    </row>
    <row r="32" spans="1:16" x14ac:dyDescent="0.25">
      <c r="A32" s="77">
        <v>13</v>
      </c>
      <c r="B32" s="40" t="str">
        <f t="shared" si="0"/>
        <v>0D</v>
      </c>
      <c r="C32" t="str">
        <f t="shared" si="1"/>
        <v>04</v>
      </c>
      <c r="D32" t="str">
        <f t="shared" si="2"/>
        <v>00</v>
      </c>
      <c r="E32">
        <v>100</v>
      </c>
      <c r="F32" s="70" t="s">
        <v>1201</v>
      </c>
      <c r="G32" s="17">
        <v>6</v>
      </c>
      <c r="H32" s="78" t="s">
        <v>1202</v>
      </c>
      <c r="I32" s="90" t="s">
        <v>1202</v>
      </c>
      <c r="J32" s="86" t="s">
        <v>1202</v>
      </c>
      <c r="K32" s="86" t="s">
        <v>1202</v>
      </c>
      <c r="L32" s="86" t="s">
        <v>1202</v>
      </c>
      <c r="M32" s="86" t="s">
        <v>1202</v>
      </c>
      <c r="N32" s="89" t="s">
        <v>1202</v>
      </c>
    </row>
    <row r="33" spans="1:14" x14ac:dyDescent="0.25">
      <c r="A33" s="77">
        <v>13</v>
      </c>
      <c r="B33" s="40" t="str">
        <f t="shared" si="0"/>
        <v>0D</v>
      </c>
      <c r="C33" t="str">
        <f t="shared" si="1"/>
        <v>08</v>
      </c>
      <c r="D33" t="str">
        <f t="shared" si="2"/>
        <v>00</v>
      </c>
      <c r="E33">
        <v>1000</v>
      </c>
      <c r="F33" s="70" t="s">
        <v>1201</v>
      </c>
      <c r="G33" s="17">
        <v>6</v>
      </c>
      <c r="H33" s="79" t="s">
        <v>1203</v>
      </c>
      <c r="I33" s="91" t="s">
        <v>1203</v>
      </c>
      <c r="J33" s="84" t="s">
        <v>1203</v>
      </c>
      <c r="K33" s="84" t="s">
        <v>1203</v>
      </c>
      <c r="L33" s="84" t="s">
        <v>1203</v>
      </c>
      <c r="M33" s="84" t="s">
        <v>1203</v>
      </c>
      <c r="N33" s="87" t="s">
        <v>1203</v>
      </c>
    </row>
    <row r="34" spans="1:14" x14ac:dyDescent="0.25">
      <c r="A34" s="77">
        <v>13</v>
      </c>
      <c r="B34" s="40" t="str">
        <f t="shared" si="0"/>
        <v>0D</v>
      </c>
      <c r="C34" t="str">
        <f t="shared" si="1"/>
        <v>0C</v>
      </c>
      <c r="D34" t="str">
        <f t="shared" si="2"/>
        <v>00</v>
      </c>
      <c r="E34">
        <v>1100</v>
      </c>
      <c r="F34" s="70" t="s">
        <v>1201</v>
      </c>
      <c r="G34" s="17">
        <v>6</v>
      </c>
      <c r="H34" s="80" t="s">
        <v>1204</v>
      </c>
      <c r="I34" s="92" t="s">
        <v>1204</v>
      </c>
      <c r="J34" s="85" t="s">
        <v>1204</v>
      </c>
      <c r="K34" s="85" t="s">
        <v>1204</v>
      </c>
      <c r="L34" s="85" t="s">
        <v>1204</v>
      </c>
      <c r="M34" s="85" t="s">
        <v>1204</v>
      </c>
      <c r="N34" s="88" t="s">
        <v>1204</v>
      </c>
    </row>
    <row r="35" spans="1:14" x14ac:dyDescent="0.25">
      <c r="A35" s="77">
        <v>13</v>
      </c>
      <c r="B35" s="40" t="str">
        <f t="shared" si="0"/>
        <v>0D</v>
      </c>
      <c r="C35" t="str">
        <f t="shared" si="1"/>
        <v>10</v>
      </c>
      <c r="D35" t="str">
        <f t="shared" si="2"/>
        <v>00</v>
      </c>
      <c r="E35">
        <v>10000</v>
      </c>
      <c r="F35" s="70" t="s">
        <v>1201</v>
      </c>
      <c r="G35" s="17">
        <v>7</v>
      </c>
      <c r="H35" s="78" t="s">
        <v>1202</v>
      </c>
      <c r="I35" s="28"/>
      <c r="J35" s="86" t="s">
        <v>1202</v>
      </c>
      <c r="K35" s="86" t="s">
        <v>1202</v>
      </c>
      <c r="L35" s="86" t="s">
        <v>1202</v>
      </c>
      <c r="M35" s="86" t="s">
        <v>1202</v>
      </c>
      <c r="N35" s="89" t="s">
        <v>1202</v>
      </c>
    </row>
    <row r="36" spans="1:14" x14ac:dyDescent="0.25">
      <c r="A36" s="77">
        <v>13</v>
      </c>
      <c r="B36" s="40" t="str">
        <f t="shared" si="0"/>
        <v>0D</v>
      </c>
      <c r="C36" t="str">
        <f t="shared" si="1"/>
        <v>20</v>
      </c>
      <c r="D36" t="str">
        <f t="shared" si="2"/>
        <v>00</v>
      </c>
      <c r="E36">
        <v>100000</v>
      </c>
      <c r="F36" s="70" t="s">
        <v>1201</v>
      </c>
      <c r="G36" s="17">
        <v>7</v>
      </c>
      <c r="H36" t="s">
        <v>1205</v>
      </c>
      <c r="I36" s="28"/>
      <c r="J36" s="27" t="s">
        <v>1205</v>
      </c>
      <c r="K36" s="27" t="s">
        <v>1205</v>
      </c>
      <c r="L36" s="27" t="s">
        <v>1205</v>
      </c>
      <c r="M36" s="27" t="s">
        <v>1205</v>
      </c>
      <c r="N36" s="31" t="s">
        <v>1205</v>
      </c>
    </row>
    <row r="37" spans="1:14" x14ac:dyDescent="0.25">
      <c r="A37" s="77">
        <v>13</v>
      </c>
      <c r="B37" s="40" t="str">
        <f t="shared" si="0"/>
        <v>0D</v>
      </c>
      <c r="C37" t="str">
        <f t="shared" si="1"/>
        <v>30</v>
      </c>
      <c r="D37" t="str">
        <f t="shared" si="2"/>
        <v>00</v>
      </c>
      <c r="E37">
        <v>110000</v>
      </c>
      <c r="F37" s="70" t="s">
        <v>1201</v>
      </c>
      <c r="G37" s="17">
        <v>7</v>
      </c>
      <c r="H37" s="78" t="s">
        <v>1202</v>
      </c>
      <c r="I37" s="28"/>
      <c r="J37" s="86" t="s">
        <v>1202</v>
      </c>
      <c r="K37" s="86" t="s">
        <v>1202</v>
      </c>
      <c r="L37" s="86" t="s">
        <v>1202</v>
      </c>
      <c r="M37" s="86" t="s">
        <v>1202</v>
      </c>
      <c r="N37" s="89" t="s">
        <v>1202</v>
      </c>
    </row>
    <row r="38" spans="1:14" x14ac:dyDescent="0.25">
      <c r="A38" s="77">
        <v>13</v>
      </c>
      <c r="B38" s="40" t="str">
        <f t="shared" si="0"/>
        <v>0D</v>
      </c>
      <c r="C38" t="str">
        <f t="shared" si="1"/>
        <v>40</v>
      </c>
      <c r="D38" t="str">
        <f t="shared" si="2"/>
        <v>00</v>
      </c>
      <c r="E38">
        <v>1000000</v>
      </c>
      <c r="F38" s="70" t="s">
        <v>1201</v>
      </c>
      <c r="G38" s="17">
        <v>8</v>
      </c>
      <c r="H38" s="78" t="s">
        <v>1202</v>
      </c>
      <c r="I38" s="28"/>
      <c r="J38" s="27"/>
      <c r="K38" s="86" t="s">
        <v>1202</v>
      </c>
      <c r="L38" s="27"/>
      <c r="M38" s="86" t="s">
        <v>1202</v>
      </c>
      <c r="N38" s="89" t="s">
        <v>1202</v>
      </c>
    </row>
    <row r="39" spans="1:14" x14ac:dyDescent="0.25">
      <c r="A39" s="77">
        <v>13</v>
      </c>
      <c r="B39" s="40" t="str">
        <f t="shared" si="0"/>
        <v>0D</v>
      </c>
      <c r="C39" t="str">
        <f t="shared" si="1"/>
        <v>80</v>
      </c>
      <c r="D39" t="str">
        <f t="shared" si="2"/>
        <v>00</v>
      </c>
      <c r="E39">
        <v>10000000</v>
      </c>
      <c r="F39" s="70" t="s">
        <v>1201</v>
      </c>
      <c r="G39" s="17">
        <v>8</v>
      </c>
      <c r="H39" t="s">
        <v>1205</v>
      </c>
      <c r="I39" s="28"/>
      <c r="J39" s="27"/>
      <c r="K39" s="27" t="s">
        <v>1205</v>
      </c>
      <c r="L39" s="27"/>
      <c r="M39" s="27" t="s">
        <v>1205</v>
      </c>
      <c r="N39" s="31" t="s">
        <v>1205</v>
      </c>
    </row>
    <row r="40" spans="1:14" ht="15.75" thickBot="1" x14ac:dyDescent="0.3">
      <c r="A40" s="77">
        <v>13</v>
      </c>
      <c r="B40" s="40" t="str">
        <f t="shared" si="0"/>
        <v>0D</v>
      </c>
      <c r="C40" t="str">
        <f t="shared" si="1"/>
        <v>C0</v>
      </c>
      <c r="D40" t="str">
        <f t="shared" si="2"/>
        <v>00</v>
      </c>
      <c r="E40">
        <v>11000000</v>
      </c>
      <c r="F40" s="70" t="s">
        <v>1201</v>
      </c>
      <c r="G40" s="17">
        <v>8</v>
      </c>
      <c r="H40" s="78" t="s">
        <v>1202</v>
      </c>
      <c r="I40" s="28"/>
      <c r="J40" s="27"/>
      <c r="K40" s="86" t="s">
        <v>1202</v>
      </c>
      <c r="L40" s="27"/>
      <c r="M40" s="86" t="s">
        <v>1202</v>
      </c>
      <c r="N40" s="89" t="s">
        <v>1202</v>
      </c>
    </row>
    <row r="41" spans="1:14" x14ac:dyDescent="0.25">
      <c r="A41" s="7">
        <v>14</v>
      </c>
      <c r="B41" s="7" t="str">
        <f t="shared" si="0"/>
        <v>0E</v>
      </c>
      <c r="C41" s="8" t="str">
        <f t="shared" si="1"/>
        <v>00</v>
      </c>
      <c r="D41" s="8" t="str">
        <f t="shared" si="2"/>
        <v>01</v>
      </c>
      <c r="E41" s="68" t="s">
        <v>1201</v>
      </c>
      <c r="F41" s="69">
        <v>1</v>
      </c>
      <c r="G41" s="20">
        <v>9</v>
      </c>
      <c r="H41" s="83" t="s">
        <v>1202</v>
      </c>
      <c r="I41" s="28"/>
      <c r="J41" s="86" t="s">
        <v>1202</v>
      </c>
      <c r="K41" s="86" t="s">
        <v>1202</v>
      </c>
      <c r="L41" s="86" t="s">
        <v>1202</v>
      </c>
      <c r="M41" s="86" t="s">
        <v>1202</v>
      </c>
      <c r="N41" s="89" t="s">
        <v>1202</v>
      </c>
    </row>
    <row r="42" spans="1:14" x14ac:dyDescent="0.25">
      <c r="A42" s="40">
        <v>14</v>
      </c>
      <c r="B42" s="40" t="str">
        <f t="shared" si="0"/>
        <v>0E</v>
      </c>
      <c r="C42" t="str">
        <f t="shared" si="1"/>
        <v>00</v>
      </c>
      <c r="D42" t="str">
        <f t="shared" si="2"/>
        <v>02</v>
      </c>
      <c r="E42" s="70" t="s">
        <v>1201</v>
      </c>
      <c r="F42" s="1">
        <v>10</v>
      </c>
      <c r="G42" s="17">
        <v>9</v>
      </c>
      <c r="H42" t="s">
        <v>1205</v>
      </c>
      <c r="I42" s="28"/>
      <c r="J42" s="27" t="s">
        <v>1205</v>
      </c>
      <c r="K42" s="27" t="s">
        <v>1205</v>
      </c>
      <c r="L42" s="27" t="s">
        <v>1205</v>
      </c>
      <c r="M42" s="27" t="s">
        <v>1205</v>
      </c>
      <c r="N42" s="31" t="s">
        <v>1205</v>
      </c>
    </row>
    <row r="43" spans="1:14" x14ac:dyDescent="0.25">
      <c r="A43" s="40">
        <v>14</v>
      </c>
      <c r="B43" s="40" t="str">
        <f t="shared" si="0"/>
        <v>0E</v>
      </c>
      <c r="C43" t="str">
        <f t="shared" si="1"/>
        <v>00</v>
      </c>
      <c r="D43" t="str">
        <f t="shared" si="2"/>
        <v>03</v>
      </c>
      <c r="E43" s="70" t="s">
        <v>1201</v>
      </c>
      <c r="F43" s="1">
        <v>11</v>
      </c>
      <c r="G43" s="17">
        <v>9</v>
      </c>
      <c r="H43" s="78" t="s">
        <v>1202</v>
      </c>
      <c r="I43" s="28"/>
      <c r="J43" s="86" t="s">
        <v>1202</v>
      </c>
      <c r="K43" s="86" t="s">
        <v>1202</v>
      </c>
      <c r="L43" s="86" t="s">
        <v>1202</v>
      </c>
      <c r="M43" s="86" t="s">
        <v>1202</v>
      </c>
      <c r="N43" s="89" t="s">
        <v>1202</v>
      </c>
    </row>
    <row r="44" spans="1:14" x14ac:dyDescent="0.25">
      <c r="A44" s="40">
        <v>14</v>
      </c>
      <c r="B44" s="40" t="str">
        <f t="shared" si="0"/>
        <v>0E</v>
      </c>
      <c r="C44" t="str">
        <f t="shared" si="1"/>
        <v>00</v>
      </c>
      <c r="D44" t="str">
        <f t="shared" si="2"/>
        <v>04</v>
      </c>
      <c r="E44" s="70" t="s">
        <v>1201</v>
      </c>
      <c r="F44" s="1">
        <v>100</v>
      </c>
      <c r="G44" s="17">
        <v>10</v>
      </c>
      <c r="H44" s="78" t="s">
        <v>1202</v>
      </c>
      <c r="I44" s="28"/>
      <c r="J44" s="27"/>
      <c r="K44" s="27"/>
      <c r="L44" s="86" t="s">
        <v>1202</v>
      </c>
      <c r="M44" s="86" t="s">
        <v>1202</v>
      </c>
      <c r="N44" s="89" t="s">
        <v>1202</v>
      </c>
    </row>
    <row r="45" spans="1:14" x14ac:dyDescent="0.25">
      <c r="A45" s="40">
        <v>14</v>
      </c>
      <c r="B45" s="40" t="str">
        <f t="shared" si="0"/>
        <v>0E</v>
      </c>
      <c r="C45" t="str">
        <f t="shared" si="1"/>
        <v>00</v>
      </c>
      <c r="D45" t="str">
        <f t="shared" si="2"/>
        <v>08</v>
      </c>
      <c r="E45" s="70" t="s">
        <v>1201</v>
      </c>
      <c r="F45" s="1">
        <v>1000</v>
      </c>
      <c r="G45" s="17">
        <v>10</v>
      </c>
      <c r="H45" t="s">
        <v>1205</v>
      </c>
      <c r="I45" s="28"/>
      <c r="J45" s="27"/>
      <c r="K45" s="27"/>
      <c r="L45" s="27" t="s">
        <v>1205</v>
      </c>
      <c r="M45" s="27" t="s">
        <v>1205</v>
      </c>
      <c r="N45" s="31" t="s">
        <v>1205</v>
      </c>
    </row>
    <row r="46" spans="1:14" x14ac:dyDescent="0.25">
      <c r="A46" s="40">
        <v>14</v>
      </c>
      <c r="B46" s="40" t="str">
        <f t="shared" si="0"/>
        <v>0E</v>
      </c>
      <c r="C46" t="str">
        <f t="shared" si="1"/>
        <v>00</v>
      </c>
      <c r="D46" t="str">
        <f t="shared" si="2"/>
        <v>0C</v>
      </c>
      <c r="E46" s="70" t="s">
        <v>1201</v>
      </c>
      <c r="F46" s="1">
        <v>1100</v>
      </c>
      <c r="G46" s="17">
        <v>10</v>
      </c>
      <c r="H46" s="78" t="s">
        <v>1202</v>
      </c>
      <c r="I46" s="28"/>
      <c r="J46" s="27"/>
      <c r="K46" s="27"/>
      <c r="L46" s="86" t="s">
        <v>1202</v>
      </c>
      <c r="M46" s="86" t="s">
        <v>1202</v>
      </c>
      <c r="N46" s="89" t="s">
        <v>1202</v>
      </c>
    </row>
    <row r="47" spans="1:14" x14ac:dyDescent="0.25">
      <c r="A47" s="40">
        <v>14</v>
      </c>
      <c r="B47" s="40" t="str">
        <f t="shared" si="0"/>
        <v>0E</v>
      </c>
      <c r="C47" t="str">
        <f t="shared" si="1"/>
        <v>00</v>
      </c>
      <c r="D47" t="str">
        <f t="shared" si="2"/>
        <v>10</v>
      </c>
      <c r="E47" s="70" t="s">
        <v>1201</v>
      </c>
      <c r="F47" s="1">
        <v>10000</v>
      </c>
      <c r="G47" s="17">
        <v>11</v>
      </c>
      <c r="H47" s="78" t="s">
        <v>1202</v>
      </c>
      <c r="I47" s="28"/>
      <c r="J47" s="27"/>
      <c r="K47" s="27"/>
      <c r="L47" s="27"/>
      <c r="M47" s="86" t="s">
        <v>1202</v>
      </c>
      <c r="N47" s="89" t="s">
        <v>1202</v>
      </c>
    </row>
    <row r="48" spans="1:14" x14ac:dyDescent="0.25">
      <c r="A48" s="40">
        <v>14</v>
      </c>
      <c r="B48" s="40" t="str">
        <f t="shared" si="0"/>
        <v>0E</v>
      </c>
      <c r="C48" t="str">
        <f t="shared" si="1"/>
        <v>00</v>
      </c>
      <c r="D48" t="str">
        <f t="shared" si="2"/>
        <v>20</v>
      </c>
      <c r="E48" s="70" t="s">
        <v>1201</v>
      </c>
      <c r="F48" s="1">
        <v>100000</v>
      </c>
      <c r="G48" s="17">
        <v>11</v>
      </c>
      <c r="H48" t="s">
        <v>1205</v>
      </c>
      <c r="I48" s="28"/>
      <c r="J48" s="27"/>
      <c r="K48" s="27"/>
      <c r="L48" s="27"/>
      <c r="M48" s="27" t="s">
        <v>1205</v>
      </c>
      <c r="N48" s="31" t="s">
        <v>1205</v>
      </c>
    </row>
    <row r="49" spans="1:14" x14ac:dyDescent="0.25">
      <c r="A49" s="40">
        <v>14</v>
      </c>
      <c r="B49" s="40" t="str">
        <f t="shared" si="0"/>
        <v>0E</v>
      </c>
      <c r="C49" t="str">
        <f t="shared" si="1"/>
        <v>00</v>
      </c>
      <c r="D49" t="str">
        <f t="shared" si="2"/>
        <v>30</v>
      </c>
      <c r="E49" s="70" t="s">
        <v>1201</v>
      </c>
      <c r="F49" s="1">
        <v>110000</v>
      </c>
      <c r="G49" s="17">
        <v>11</v>
      </c>
      <c r="H49" s="78" t="s">
        <v>1202</v>
      </c>
      <c r="I49" s="28"/>
      <c r="J49" s="27"/>
      <c r="K49" s="27"/>
      <c r="L49" s="27"/>
      <c r="M49" s="86" t="s">
        <v>1202</v>
      </c>
      <c r="N49" s="89" t="s">
        <v>1202</v>
      </c>
    </row>
    <row r="50" spans="1:14" x14ac:dyDescent="0.25">
      <c r="A50" s="40">
        <v>14</v>
      </c>
      <c r="B50" s="40" t="str">
        <f t="shared" si="0"/>
        <v>0E</v>
      </c>
      <c r="C50" t="str">
        <f t="shared" si="1"/>
        <v>00</v>
      </c>
      <c r="D50" t="str">
        <f t="shared" si="2"/>
        <v>40</v>
      </c>
      <c r="E50" s="70" t="s">
        <v>1201</v>
      </c>
      <c r="F50" s="1">
        <v>1000000</v>
      </c>
      <c r="G50" s="17">
        <v>12</v>
      </c>
      <c r="H50" s="78" t="s">
        <v>1202</v>
      </c>
      <c r="I50" s="28"/>
      <c r="J50" s="27"/>
      <c r="K50" s="27"/>
      <c r="L50" s="86" t="s">
        <v>1202</v>
      </c>
      <c r="M50" s="27"/>
      <c r="N50" s="89" t="s">
        <v>1202</v>
      </c>
    </row>
    <row r="51" spans="1:14" x14ac:dyDescent="0.25">
      <c r="A51" s="40">
        <v>14</v>
      </c>
      <c r="B51" s="40" t="str">
        <f t="shared" si="0"/>
        <v>0E</v>
      </c>
      <c r="C51" t="str">
        <f t="shared" si="1"/>
        <v>00</v>
      </c>
      <c r="D51" t="str">
        <f t="shared" si="2"/>
        <v>80</v>
      </c>
      <c r="E51" s="70" t="s">
        <v>1201</v>
      </c>
      <c r="F51" s="1">
        <v>10000000</v>
      </c>
      <c r="G51" s="17">
        <v>12</v>
      </c>
      <c r="H51" t="s">
        <v>1205</v>
      </c>
      <c r="I51" s="28"/>
      <c r="J51" s="27"/>
      <c r="K51" s="27"/>
      <c r="L51" s="27" t="s">
        <v>1205</v>
      </c>
      <c r="M51" s="27"/>
      <c r="N51" s="31" t="s">
        <v>1205</v>
      </c>
    </row>
    <row r="52" spans="1:14" ht="15.75" thickBot="1" x14ac:dyDescent="0.3">
      <c r="A52" s="11">
        <v>14</v>
      </c>
      <c r="B52" s="11" t="str">
        <f t="shared" si="0"/>
        <v>0E</v>
      </c>
      <c r="C52" s="12" t="str">
        <f t="shared" si="1"/>
        <v>00</v>
      </c>
      <c r="D52" s="12" t="str">
        <f t="shared" si="2"/>
        <v>C0</v>
      </c>
      <c r="E52" s="71" t="s">
        <v>1201</v>
      </c>
      <c r="F52" s="72">
        <v>11000000</v>
      </c>
      <c r="G52" s="19">
        <v>12</v>
      </c>
      <c r="H52" s="82" t="s">
        <v>1202</v>
      </c>
      <c r="I52" s="29"/>
      <c r="J52" s="30"/>
      <c r="K52" s="30"/>
      <c r="L52" s="93" t="s">
        <v>1202</v>
      </c>
      <c r="M52" s="30"/>
      <c r="N52" s="94" t="s">
        <v>1202</v>
      </c>
    </row>
    <row r="54" spans="1:14" ht="15.75" thickBot="1" x14ac:dyDescent="0.3">
      <c r="A54" t="s">
        <v>1206</v>
      </c>
    </row>
    <row r="55" spans="1:14" ht="15.75" thickBot="1" x14ac:dyDescent="0.3">
      <c r="A55" s="25" t="s">
        <v>1187</v>
      </c>
      <c r="B55" s="73" t="s">
        <v>1188</v>
      </c>
      <c r="C55" s="73" t="s">
        <v>1189</v>
      </c>
      <c r="D55" s="73" t="s">
        <v>1190</v>
      </c>
      <c r="E55" s="73" t="s">
        <v>1191</v>
      </c>
      <c r="F55" s="74" t="s">
        <v>1192</v>
      </c>
      <c r="G55" s="75" t="s">
        <v>1193</v>
      </c>
      <c r="H55" s="73" t="s">
        <v>1194</v>
      </c>
      <c r="I55" s="99" t="s">
        <v>1195</v>
      </c>
      <c r="J55" s="100" t="s">
        <v>1196</v>
      </c>
      <c r="K55" s="100" t="s">
        <v>1197</v>
      </c>
      <c r="L55" s="100" t="s">
        <v>1198</v>
      </c>
      <c r="M55" s="100" t="s">
        <v>1199</v>
      </c>
      <c r="N55" s="101" t="s">
        <v>1200</v>
      </c>
    </row>
    <row r="56" spans="1:14" x14ac:dyDescent="0.25">
      <c r="A56" s="76">
        <v>13</v>
      </c>
      <c r="B56" s="40" t="str">
        <f>DEC2HEX(A56,2)</f>
        <v>0D</v>
      </c>
      <c r="C56" t="str">
        <f>BIN2HEX(E56,2)</f>
        <v>00</v>
      </c>
      <c r="D56" t="str">
        <f>BIN2HEX(F56,2)</f>
        <v>01</v>
      </c>
      <c r="E56" s="70" t="s">
        <v>1201</v>
      </c>
      <c r="F56" s="1">
        <v>1</v>
      </c>
      <c r="G56" s="17">
        <v>1</v>
      </c>
      <c r="H56" s="81" t="s">
        <v>1202</v>
      </c>
      <c r="I56" s="95"/>
      <c r="J56" s="96"/>
      <c r="K56" s="96"/>
      <c r="L56" s="97" t="s">
        <v>1202</v>
      </c>
      <c r="M56" s="97" t="s">
        <v>1202</v>
      </c>
      <c r="N56" s="98" t="s">
        <v>1202</v>
      </c>
    </row>
    <row r="57" spans="1:14" x14ac:dyDescent="0.25">
      <c r="A57" s="77">
        <v>13</v>
      </c>
      <c r="B57" s="40" t="str">
        <f t="shared" ref="B57:B91" si="3">DEC2HEX(A57,2)</f>
        <v>0D</v>
      </c>
      <c r="C57" t="str">
        <f t="shared" ref="C57:C91" si="4">BIN2HEX(E57,2)</f>
        <v>00</v>
      </c>
      <c r="D57" t="str">
        <f t="shared" ref="D57:D91" si="5">BIN2HEX(F57,2)</f>
        <v>02</v>
      </c>
      <c r="E57" s="70" t="s">
        <v>1201</v>
      </c>
      <c r="F57" s="1">
        <v>10</v>
      </c>
      <c r="G57" s="17">
        <v>1</v>
      </c>
      <c r="H57" s="79" t="s">
        <v>1203</v>
      </c>
      <c r="I57" s="28"/>
      <c r="J57" s="27"/>
      <c r="K57" s="27"/>
      <c r="L57" s="84" t="s">
        <v>1203</v>
      </c>
      <c r="M57" s="84" t="s">
        <v>1203</v>
      </c>
      <c r="N57" s="87" t="s">
        <v>1203</v>
      </c>
    </row>
    <row r="58" spans="1:14" x14ac:dyDescent="0.25">
      <c r="A58" s="77">
        <v>13</v>
      </c>
      <c r="B58" s="40" t="str">
        <f t="shared" si="3"/>
        <v>0D</v>
      </c>
      <c r="C58" t="str">
        <f t="shared" si="4"/>
        <v>00</v>
      </c>
      <c r="D58" t="str">
        <f t="shared" si="5"/>
        <v>03</v>
      </c>
      <c r="E58" s="70" t="s">
        <v>1201</v>
      </c>
      <c r="F58" s="1">
        <v>11</v>
      </c>
      <c r="G58" s="17">
        <v>1</v>
      </c>
      <c r="H58" s="80" t="s">
        <v>1204</v>
      </c>
      <c r="I58" s="28"/>
      <c r="J58" s="27"/>
      <c r="K58" s="27"/>
      <c r="L58" s="85" t="s">
        <v>1204</v>
      </c>
      <c r="M58" s="85" t="s">
        <v>1204</v>
      </c>
      <c r="N58" s="88" t="s">
        <v>1204</v>
      </c>
    </row>
    <row r="59" spans="1:14" x14ac:dyDescent="0.25">
      <c r="A59" s="77">
        <v>13</v>
      </c>
      <c r="B59" s="40" t="str">
        <f t="shared" si="3"/>
        <v>0D</v>
      </c>
      <c r="C59" t="str">
        <f t="shared" si="4"/>
        <v>00</v>
      </c>
      <c r="D59" t="str">
        <f t="shared" si="5"/>
        <v>04</v>
      </c>
      <c r="E59" s="70" t="s">
        <v>1201</v>
      </c>
      <c r="F59" s="1">
        <v>100</v>
      </c>
      <c r="G59" s="17">
        <v>2</v>
      </c>
      <c r="H59" s="78" t="s">
        <v>1202</v>
      </c>
      <c r="I59" s="28"/>
      <c r="J59" s="27"/>
      <c r="K59" s="27"/>
      <c r="L59" s="27"/>
      <c r="M59" s="86" t="s">
        <v>1202</v>
      </c>
      <c r="N59" s="89" t="s">
        <v>1202</v>
      </c>
    </row>
    <row r="60" spans="1:14" x14ac:dyDescent="0.25">
      <c r="A60" s="77">
        <v>13</v>
      </c>
      <c r="B60" s="40" t="str">
        <f t="shared" si="3"/>
        <v>0D</v>
      </c>
      <c r="C60" t="str">
        <f t="shared" si="4"/>
        <v>00</v>
      </c>
      <c r="D60" t="str">
        <f t="shared" si="5"/>
        <v>08</v>
      </c>
      <c r="E60" s="70" t="s">
        <v>1201</v>
      </c>
      <c r="F60" s="1">
        <v>1000</v>
      </c>
      <c r="G60" s="17">
        <v>2</v>
      </c>
      <c r="H60" s="79" t="s">
        <v>1203</v>
      </c>
      <c r="I60" s="28"/>
      <c r="J60" s="27"/>
      <c r="K60" s="27"/>
      <c r="L60" s="27"/>
      <c r="M60" s="84" t="s">
        <v>1203</v>
      </c>
      <c r="N60" s="87" t="s">
        <v>1203</v>
      </c>
    </row>
    <row r="61" spans="1:14" x14ac:dyDescent="0.25">
      <c r="A61" s="77">
        <v>13</v>
      </c>
      <c r="B61" s="40" t="str">
        <f t="shared" si="3"/>
        <v>0D</v>
      </c>
      <c r="C61" t="str">
        <f t="shared" si="4"/>
        <v>00</v>
      </c>
      <c r="D61" t="str">
        <f t="shared" si="5"/>
        <v>0C</v>
      </c>
      <c r="E61" s="70" t="s">
        <v>1201</v>
      </c>
      <c r="F61" s="1">
        <v>1100</v>
      </c>
      <c r="G61" s="17">
        <v>2</v>
      </c>
      <c r="H61" s="80" t="s">
        <v>1204</v>
      </c>
      <c r="I61" s="28"/>
      <c r="J61" s="27"/>
      <c r="K61" s="27"/>
      <c r="L61" s="27"/>
      <c r="M61" s="85" t="s">
        <v>1204</v>
      </c>
      <c r="N61" s="88" t="s">
        <v>1204</v>
      </c>
    </row>
    <row r="62" spans="1:14" x14ac:dyDescent="0.25">
      <c r="A62" s="77">
        <v>13</v>
      </c>
      <c r="B62" s="40" t="str">
        <f t="shared" si="3"/>
        <v>0D</v>
      </c>
      <c r="C62" t="str">
        <f t="shared" si="4"/>
        <v>00</v>
      </c>
      <c r="D62" t="str">
        <f t="shared" si="5"/>
        <v>10</v>
      </c>
      <c r="E62" s="70" t="s">
        <v>1201</v>
      </c>
      <c r="F62" s="1">
        <v>10000</v>
      </c>
      <c r="G62" s="17">
        <v>3</v>
      </c>
      <c r="H62" s="78" t="s">
        <v>1202</v>
      </c>
      <c r="I62" s="28"/>
      <c r="J62" s="27"/>
      <c r="K62" s="27"/>
      <c r="L62" s="86" t="s">
        <v>1202</v>
      </c>
      <c r="M62" s="86" t="s">
        <v>1202</v>
      </c>
      <c r="N62" s="89" t="s">
        <v>1202</v>
      </c>
    </row>
    <row r="63" spans="1:14" x14ac:dyDescent="0.25">
      <c r="A63" s="77">
        <v>13</v>
      </c>
      <c r="B63" s="40" t="str">
        <f t="shared" si="3"/>
        <v>0D</v>
      </c>
      <c r="C63" t="str">
        <f t="shared" si="4"/>
        <v>00</v>
      </c>
      <c r="D63" t="str">
        <f t="shared" si="5"/>
        <v>20</v>
      </c>
      <c r="E63" s="70" t="s">
        <v>1201</v>
      </c>
      <c r="F63" s="1">
        <v>100000</v>
      </c>
      <c r="G63" s="17">
        <v>3</v>
      </c>
      <c r="H63" s="79" t="s">
        <v>1203</v>
      </c>
      <c r="I63" s="28"/>
      <c r="J63" s="27"/>
      <c r="K63" s="27"/>
      <c r="L63" s="84" t="s">
        <v>1203</v>
      </c>
      <c r="M63" s="84" t="s">
        <v>1203</v>
      </c>
      <c r="N63" s="87" t="s">
        <v>1203</v>
      </c>
    </row>
    <row r="64" spans="1:14" x14ac:dyDescent="0.25">
      <c r="A64" s="77">
        <v>13</v>
      </c>
      <c r="B64" s="40" t="str">
        <f t="shared" si="3"/>
        <v>0D</v>
      </c>
      <c r="C64" t="str">
        <f t="shared" si="4"/>
        <v>00</v>
      </c>
      <c r="D64" t="str">
        <f t="shared" si="5"/>
        <v>30</v>
      </c>
      <c r="E64" s="70" t="s">
        <v>1201</v>
      </c>
      <c r="F64" s="1">
        <v>110000</v>
      </c>
      <c r="G64" s="17">
        <v>3</v>
      </c>
      <c r="H64" s="80" t="s">
        <v>1204</v>
      </c>
      <c r="I64" s="28"/>
      <c r="J64" s="27"/>
      <c r="K64" s="27"/>
      <c r="L64" s="85" t="s">
        <v>1204</v>
      </c>
      <c r="M64" s="85" t="s">
        <v>1204</v>
      </c>
      <c r="N64" s="88" t="s">
        <v>1204</v>
      </c>
    </row>
    <row r="65" spans="1:14" x14ac:dyDescent="0.25">
      <c r="A65" s="77">
        <v>13</v>
      </c>
      <c r="B65" s="40" t="str">
        <f t="shared" si="3"/>
        <v>0D</v>
      </c>
      <c r="C65" t="str">
        <f t="shared" si="4"/>
        <v>00</v>
      </c>
      <c r="D65" t="str">
        <f t="shared" si="5"/>
        <v>40</v>
      </c>
      <c r="E65" s="70" t="s">
        <v>1201</v>
      </c>
      <c r="F65" s="1">
        <v>1000000</v>
      </c>
      <c r="G65" s="17">
        <v>4</v>
      </c>
      <c r="H65" s="78" t="s">
        <v>1202</v>
      </c>
      <c r="I65" s="90" t="s">
        <v>1202</v>
      </c>
      <c r="J65" s="86" t="s">
        <v>1202</v>
      </c>
      <c r="K65" s="86" t="s">
        <v>1202</v>
      </c>
      <c r="L65" s="86" t="s">
        <v>1202</v>
      </c>
      <c r="M65" s="86" t="s">
        <v>1202</v>
      </c>
      <c r="N65" s="89" t="s">
        <v>1202</v>
      </c>
    </row>
    <row r="66" spans="1:14" x14ac:dyDescent="0.25">
      <c r="A66" s="77">
        <v>13</v>
      </c>
      <c r="B66" s="40" t="str">
        <f t="shared" si="3"/>
        <v>0D</v>
      </c>
      <c r="C66" t="str">
        <f t="shared" si="4"/>
        <v>00</v>
      </c>
      <c r="D66" t="str">
        <f t="shared" si="5"/>
        <v>80</v>
      </c>
      <c r="E66" s="70" t="s">
        <v>1201</v>
      </c>
      <c r="F66" s="1">
        <v>10000000</v>
      </c>
      <c r="G66" s="17">
        <v>4</v>
      </c>
      <c r="H66" s="79" t="s">
        <v>1203</v>
      </c>
      <c r="I66" s="91" t="s">
        <v>1203</v>
      </c>
      <c r="J66" s="84" t="s">
        <v>1203</v>
      </c>
      <c r="K66" s="84" t="s">
        <v>1203</v>
      </c>
      <c r="L66" s="84" t="s">
        <v>1203</v>
      </c>
      <c r="M66" s="84" t="s">
        <v>1203</v>
      </c>
      <c r="N66" s="87" t="s">
        <v>1203</v>
      </c>
    </row>
    <row r="67" spans="1:14" x14ac:dyDescent="0.25">
      <c r="A67" s="77">
        <v>13</v>
      </c>
      <c r="B67" s="40" t="str">
        <f t="shared" si="3"/>
        <v>0D</v>
      </c>
      <c r="C67" t="str">
        <f t="shared" si="4"/>
        <v>00</v>
      </c>
      <c r="D67" t="str">
        <f t="shared" si="5"/>
        <v>C0</v>
      </c>
      <c r="E67" s="70" t="s">
        <v>1201</v>
      </c>
      <c r="F67" s="1">
        <v>11000000</v>
      </c>
      <c r="G67" s="17">
        <v>4</v>
      </c>
      <c r="H67" s="80" t="s">
        <v>1204</v>
      </c>
      <c r="I67" s="92" t="s">
        <v>1204</v>
      </c>
      <c r="J67" s="85" t="s">
        <v>1204</v>
      </c>
      <c r="K67" s="85" t="s">
        <v>1204</v>
      </c>
      <c r="L67" s="85" t="s">
        <v>1204</v>
      </c>
      <c r="M67" s="85" t="s">
        <v>1204</v>
      </c>
      <c r="N67" s="88" t="s">
        <v>1204</v>
      </c>
    </row>
    <row r="68" spans="1:14" x14ac:dyDescent="0.25">
      <c r="A68" s="77">
        <v>13</v>
      </c>
      <c r="B68" s="40" t="str">
        <f t="shared" si="3"/>
        <v>0D</v>
      </c>
      <c r="C68" t="str">
        <f t="shared" si="4"/>
        <v>01</v>
      </c>
      <c r="D68" t="str">
        <f t="shared" si="5"/>
        <v>00</v>
      </c>
      <c r="E68">
        <v>1</v>
      </c>
      <c r="F68" s="70" t="s">
        <v>1201</v>
      </c>
      <c r="G68" s="17">
        <v>5</v>
      </c>
      <c r="H68" s="78" t="s">
        <v>1202</v>
      </c>
      <c r="I68" s="28"/>
      <c r="J68" s="27"/>
      <c r="K68" s="86" t="s">
        <v>1202</v>
      </c>
      <c r="L68" s="27"/>
      <c r="M68" s="86" t="s">
        <v>1202</v>
      </c>
      <c r="N68" s="89" t="s">
        <v>1202</v>
      </c>
    </row>
    <row r="69" spans="1:14" x14ac:dyDescent="0.25">
      <c r="A69" s="77">
        <v>13</v>
      </c>
      <c r="B69" s="40" t="str">
        <f t="shared" si="3"/>
        <v>0D</v>
      </c>
      <c r="C69" t="str">
        <f t="shared" si="4"/>
        <v>02</v>
      </c>
      <c r="D69" t="str">
        <f t="shared" si="5"/>
        <v>00</v>
      </c>
      <c r="E69">
        <v>10</v>
      </c>
      <c r="F69" s="70" t="s">
        <v>1201</v>
      </c>
      <c r="G69" s="17">
        <v>5</v>
      </c>
      <c r="H69" s="79" t="s">
        <v>1203</v>
      </c>
      <c r="I69" s="28"/>
      <c r="J69" s="27"/>
      <c r="K69" s="84" t="s">
        <v>1203</v>
      </c>
      <c r="L69" s="27"/>
      <c r="M69" s="84" t="s">
        <v>1203</v>
      </c>
      <c r="N69" s="87" t="s">
        <v>1203</v>
      </c>
    </row>
    <row r="70" spans="1:14" x14ac:dyDescent="0.25">
      <c r="A70" s="77">
        <v>13</v>
      </c>
      <c r="B70" s="40" t="str">
        <f t="shared" si="3"/>
        <v>0D</v>
      </c>
      <c r="C70" t="str">
        <f t="shared" si="4"/>
        <v>03</v>
      </c>
      <c r="D70" t="str">
        <f t="shared" si="5"/>
        <v>00</v>
      </c>
      <c r="E70">
        <v>11</v>
      </c>
      <c r="F70" s="70" t="s">
        <v>1201</v>
      </c>
      <c r="G70" s="17">
        <v>5</v>
      </c>
      <c r="H70" s="80" t="s">
        <v>1204</v>
      </c>
      <c r="I70" s="28"/>
      <c r="J70" s="27"/>
      <c r="K70" s="85" t="s">
        <v>1204</v>
      </c>
      <c r="L70" s="27"/>
      <c r="M70" s="85" t="s">
        <v>1204</v>
      </c>
      <c r="N70" s="88" t="s">
        <v>1204</v>
      </c>
    </row>
    <row r="71" spans="1:14" x14ac:dyDescent="0.25">
      <c r="A71" s="77">
        <v>13</v>
      </c>
      <c r="B71" s="40" t="str">
        <f t="shared" si="3"/>
        <v>0D</v>
      </c>
      <c r="C71" t="str">
        <f t="shared" si="4"/>
        <v>04</v>
      </c>
      <c r="D71" t="str">
        <f t="shared" si="5"/>
        <v>00</v>
      </c>
      <c r="E71">
        <v>100</v>
      </c>
      <c r="F71" s="70" t="s">
        <v>1201</v>
      </c>
      <c r="G71" s="17">
        <v>6</v>
      </c>
      <c r="H71" s="78" t="s">
        <v>1202</v>
      </c>
      <c r="I71" s="90" t="s">
        <v>1202</v>
      </c>
      <c r="J71" s="86" t="s">
        <v>1202</v>
      </c>
      <c r="K71" s="86" t="s">
        <v>1202</v>
      </c>
      <c r="L71" s="86" t="s">
        <v>1202</v>
      </c>
      <c r="M71" s="86" t="s">
        <v>1202</v>
      </c>
      <c r="N71" s="89" t="s">
        <v>1202</v>
      </c>
    </row>
    <row r="72" spans="1:14" x14ac:dyDescent="0.25">
      <c r="A72" s="77">
        <v>13</v>
      </c>
      <c r="B72" s="40" t="str">
        <f t="shared" si="3"/>
        <v>0D</v>
      </c>
      <c r="C72" t="str">
        <f t="shared" si="4"/>
        <v>08</v>
      </c>
      <c r="D72" t="str">
        <f t="shared" si="5"/>
        <v>00</v>
      </c>
      <c r="E72">
        <v>1000</v>
      </c>
      <c r="F72" s="70" t="s">
        <v>1201</v>
      </c>
      <c r="G72" s="17">
        <v>6</v>
      </c>
      <c r="H72" s="79" t="s">
        <v>1203</v>
      </c>
      <c r="I72" s="91" t="s">
        <v>1203</v>
      </c>
      <c r="J72" s="84" t="s">
        <v>1203</v>
      </c>
      <c r="K72" s="84" t="s">
        <v>1203</v>
      </c>
      <c r="L72" s="84" t="s">
        <v>1203</v>
      </c>
      <c r="M72" s="84" t="s">
        <v>1203</v>
      </c>
      <c r="N72" s="87" t="s">
        <v>1203</v>
      </c>
    </row>
    <row r="73" spans="1:14" x14ac:dyDescent="0.25">
      <c r="A73" s="77">
        <v>13</v>
      </c>
      <c r="B73" s="40" t="str">
        <f t="shared" si="3"/>
        <v>0D</v>
      </c>
      <c r="C73" t="str">
        <f t="shared" si="4"/>
        <v>0C</v>
      </c>
      <c r="D73" t="str">
        <f t="shared" si="5"/>
        <v>00</v>
      </c>
      <c r="E73">
        <v>1100</v>
      </c>
      <c r="F73" s="70" t="s">
        <v>1201</v>
      </c>
      <c r="G73" s="17">
        <v>6</v>
      </c>
      <c r="H73" s="80" t="s">
        <v>1204</v>
      </c>
      <c r="I73" s="92" t="s">
        <v>1204</v>
      </c>
      <c r="J73" s="85" t="s">
        <v>1204</v>
      </c>
      <c r="K73" s="85" t="s">
        <v>1204</v>
      </c>
      <c r="L73" s="85" t="s">
        <v>1204</v>
      </c>
      <c r="M73" s="85" t="s">
        <v>1204</v>
      </c>
      <c r="N73" s="88" t="s">
        <v>1204</v>
      </c>
    </row>
    <row r="74" spans="1:14" x14ac:dyDescent="0.25">
      <c r="A74" s="77">
        <v>13</v>
      </c>
      <c r="B74" s="40" t="str">
        <f t="shared" si="3"/>
        <v>0D</v>
      </c>
      <c r="C74" t="str">
        <f t="shared" si="4"/>
        <v>10</v>
      </c>
      <c r="D74" t="str">
        <f t="shared" si="5"/>
        <v>00</v>
      </c>
      <c r="E74">
        <v>10000</v>
      </c>
      <c r="F74" s="70" t="s">
        <v>1201</v>
      </c>
      <c r="G74" s="17">
        <v>7</v>
      </c>
      <c r="H74" s="78" t="s">
        <v>1202</v>
      </c>
      <c r="I74" s="28"/>
      <c r="J74" s="86" t="s">
        <v>1202</v>
      </c>
      <c r="K74" s="86" t="s">
        <v>1202</v>
      </c>
      <c r="L74" s="86" t="s">
        <v>1202</v>
      </c>
      <c r="M74" s="86" t="s">
        <v>1202</v>
      </c>
      <c r="N74" s="89" t="s">
        <v>1202</v>
      </c>
    </row>
    <row r="75" spans="1:14" x14ac:dyDescent="0.25">
      <c r="A75" s="77">
        <v>13</v>
      </c>
      <c r="B75" s="40" t="str">
        <f t="shared" si="3"/>
        <v>0D</v>
      </c>
      <c r="C75" t="str">
        <f t="shared" si="4"/>
        <v>20</v>
      </c>
      <c r="D75" t="str">
        <f t="shared" si="5"/>
        <v>00</v>
      </c>
      <c r="E75">
        <v>100000</v>
      </c>
      <c r="F75" s="70" t="s">
        <v>1201</v>
      </c>
      <c r="G75" s="17">
        <v>7</v>
      </c>
      <c r="H75" t="s">
        <v>1205</v>
      </c>
      <c r="I75" s="28"/>
      <c r="J75" s="27" t="s">
        <v>1205</v>
      </c>
      <c r="K75" s="27" t="s">
        <v>1205</v>
      </c>
      <c r="L75" s="27" t="s">
        <v>1205</v>
      </c>
      <c r="M75" s="27" t="s">
        <v>1205</v>
      </c>
      <c r="N75" s="31" t="s">
        <v>1205</v>
      </c>
    </row>
    <row r="76" spans="1:14" x14ac:dyDescent="0.25">
      <c r="A76" s="77">
        <v>13</v>
      </c>
      <c r="B76" s="40" t="str">
        <f t="shared" si="3"/>
        <v>0D</v>
      </c>
      <c r="C76" t="str">
        <f t="shared" si="4"/>
        <v>30</v>
      </c>
      <c r="D76" t="str">
        <f t="shared" si="5"/>
        <v>00</v>
      </c>
      <c r="E76">
        <v>110000</v>
      </c>
      <c r="F76" s="70" t="s">
        <v>1201</v>
      </c>
      <c r="G76" s="17">
        <v>7</v>
      </c>
      <c r="H76" s="78" t="s">
        <v>1202</v>
      </c>
      <c r="I76" s="28"/>
      <c r="J76" s="86" t="s">
        <v>1202</v>
      </c>
      <c r="K76" s="86" t="s">
        <v>1202</v>
      </c>
      <c r="L76" s="86" t="s">
        <v>1202</v>
      </c>
      <c r="M76" s="86" t="s">
        <v>1202</v>
      </c>
      <c r="N76" s="89" t="s">
        <v>1202</v>
      </c>
    </row>
    <row r="77" spans="1:14" x14ac:dyDescent="0.25">
      <c r="A77" s="77">
        <v>13</v>
      </c>
      <c r="B77" s="40" t="str">
        <f t="shared" si="3"/>
        <v>0D</v>
      </c>
      <c r="C77" t="str">
        <f t="shared" si="4"/>
        <v>40</v>
      </c>
      <c r="D77" t="str">
        <f t="shared" si="5"/>
        <v>00</v>
      </c>
      <c r="E77">
        <v>1000000</v>
      </c>
      <c r="F77" s="70" t="s">
        <v>1201</v>
      </c>
      <c r="G77" s="17">
        <v>8</v>
      </c>
      <c r="H77" s="78" t="s">
        <v>1202</v>
      </c>
      <c r="I77" s="28"/>
      <c r="J77" s="27"/>
      <c r="K77" s="86" t="s">
        <v>1202</v>
      </c>
      <c r="L77" s="27"/>
      <c r="M77" s="86" t="s">
        <v>1202</v>
      </c>
      <c r="N77" s="89" t="s">
        <v>1202</v>
      </c>
    </row>
    <row r="78" spans="1:14" x14ac:dyDescent="0.25">
      <c r="A78" s="77">
        <v>13</v>
      </c>
      <c r="B78" s="40" t="str">
        <f t="shared" si="3"/>
        <v>0D</v>
      </c>
      <c r="C78" t="str">
        <f t="shared" si="4"/>
        <v>80</v>
      </c>
      <c r="D78" t="str">
        <f t="shared" si="5"/>
        <v>00</v>
      </c>
      <c r="E78">
        <v>10000000</v>
      </c>
      <c r="F78" s="70" t="s">
        <v>1201</v>
      </c>
      <c r="G78" s="17">
        <v>8</v>
      </c>
      <c r="H78" t="s">
        <v>1205</v>
      </c>
      <c r="I78" s="28"/>
      <c r="J78" s="27"/>
      <c r="K78" s="27" t="s">
        <v>1205</v>
      </c>
      <c r="L78" s="27"/>
      <c r="M78" s="27" t="s">
        <v>1205</v>
      </c>
      <c r="N78" s="31" t="s">
        <v>1205</v>
      </c>
    </row>
    <row r="79" spans="1:14" ht="15.75" thickBot="1" x14ac:dyDescent="0.3">
      <c r="A79" s="77">
        <v>13</v>
      </c>
      <c r="B79" s="40" t="str">
        <f t="shared" si="3"/>
        <v>0D</v>
      </c>
      <c r="C79" t="str">
        <f t="shared" si="4"/>
        <v>C0</v>
      </c>
      <c r="D79" t="str">
        <f t="shared" si="5"/>
        <v>00</v>
      </c>
      <c r="E79">
        <v>11000000</v>
      </c>
      <c r="F79" s="70" t="s">
        <v>1201</v>
      </c>
      <c r="G79" s="17">
        <v>8</v>
      </c>
      <c r="H79" s="78" t="s">
        <v>1202</v>
      </c>
      <c r="I79" s="28"/>
      <c r="J79" s="27"/>
      <c r="K79" s="86" t="s">
        <v>1202</v>
      </c>
      <c r="L79" s="27"/>
      <c r="M79" s="86" t="s">
        <v>1202</v>
      </c>
      <c r="N79" s="89" t="s">
        <v>1202</v>
      </c>
    </row>
    <row r="80" spans="1:14" x14ac:dyDescent="0.25">
      <c r="A80" s="7">
        <v>14</v>
      </c>
      <c r="B80" s="7" t="str">
        <f t="shared" si="3"/>
        <v>0E</v>
      </c>
      <c r="C80" s="8" t="str">
        <f t="shared" si="4"/>
        <v>00</v>
      </c>
      <c r="D80" s="8" t="str">
        <f t="shared" si="5"/>
        <v>01</v>
      </c>
      <c r="E80" s="68" t="s">
        <v>1201</v>
      </c>
      <c r="F80" s="69">
        <v>1</v>
      </c>
      <c r="G80" s="20">
        <v>9</v>
      </c>
      <c r="H80" s="83" t="s">
        <v>1202</v>
      </c>
      <c r="I80" s="28"/>
      <c r="J80" s="86" t="s">
        <v>1202</v>
      </c>
      <c r="K80" s="86" t="s">
        <v>1202</v>
      </c>
      <c r="L80" s="86" t="s">
        <v>1202</v>
      </c>
      <c r="M80" s="86" t="s">
        <v>1202</v>
      </c>
      <c r="N80" s="89" t="s">
        <v>1202</v>
      </c>
    </row>
    <row r="81" spans="1:14" x14ac:dyDescent="0.25">
      <c r="A81" s="40">
        <v>14</v>
      </c>
      <c r="B81" s="40" t="str">
        <f t="shared" si="3"/>
        <v>0E</v>
      </c>
      <c r="C81" t="str">
        <f t="shared" si="4"/>
        <v>00</v>
      </c>
      <c r="D81" t="str">
        <f t="shared" si="5"/>
        <v>02</v>
      </c>
      <c r="E81" s="70" t="s">
        <v>1201</v>
      </c>
      <c r="F81" s="1">
        <v>10</v>
      </c>
      <c r="G81" s="17">
        <v>9</v>
      </c>
      <c r="H81" t="s">
        <v>1205</v>
      </c>
      <c r="I81" s="28"/>
      <c r="J81" s="27" t="s">
        <v>1205</v>
      </c>
      <c r="K81" s="27" t="s">
        <v>1205</v>
      </c>
      <c r="L81" s="27" t="s">
        <v>1205</v>
      </c>
      <c r="M81" s="27" t="s">
        <v>1205</v>
      </c>
      <c r="N81" s="31" t="s">
        <v>1205</v>
      </c>
    </row>
    <row r="82" spans="1:14" x14ac:dyDescent="0.25">
      <c r="A82" s="40">
        <v>14</v>
      </c>
      <c r="B82" s="40" t="str">
        <f t="shared" si="3"/>
        <v>0E</v>
      </c>
      <c r="C82" t="str">
        <f t="shared" si="4"/>
        <v>00</v>
      </c>
      <c r="D82" t="str">
        <f t="shared" si="5"/>
        <v>03</v>
      </c>
      <c r="E82" s="70" t="s">
        <v>1201</v>
      </c>
      <c r="F82" s="1">
        <v>11</v>
      </c>
      <c r="G82" s="17">
        <v>9</v>
      </c>
      <c r="H82" s="78" t="s">
        <v>1202</v>
      </c>
      <c r="I82" s="28"/>
      <c r="J82" s="86" t="s">
        <v>1202</v>
      </c>
      <c r="K82" s="86" t="s">
        <v>1202</v>
      </c>
      <c r="L82" s="86" t="s">
        <v>1202</v>
      </c>
      <c r="M82" s="86" t="s">
        <v>1202</v>
      </c>
      <c r="N82" s="89" t="s">
        <v>1202</v>
      </c>
    </row>
    <row r="83" spans="1:14" x14ac:dyDescent="0.25">
      <c r="A83" s="40">
        <v>14</v>
      </c>
      <c r="B83" s="40" t="str">
        <f t="shared" si="3"/>
        <v>0E</v>
      </c>
      <c r="C83" t="str">
        <f t="shared" si="4"/>
        <v>00</v>
      </c>
      <c r="D83" t="str">
        <f t="shared" si="5"/>
        <v>04</v>
      </c>
      <c r="E83" s="70" t="s">
        <v>1201</v>
      </c>
      <c r="F83" s="1">
        <v>100</v>
      </c>
      <c r="G83" s="17">
        <v>10</v>
      </c>
      <c r="H83" s="78" t="s">
        <v>1202</v>
      </c>
      <c r="I83" s="28"/>
      <c r="J83" s="27"/>
      <c r="K83" s="27"/>
      <c r="L83" s="86" t="s">
        <v>1202</v>
      </c>
      <c r="M83" s="86" t="s">
        <v>1202</v>
      </c>
      <c r="N83" s="89" t="s">
        <v>1202</v>
      </c>
    </row>
    <row r="84" spans="1:14" x14ac:dyDescent="0.25">
      <c r="A84" s="40">
        <v>14</v>
      </c>
      <c r="B84" s="40" t="str">
        <f t="shared" si="3"/>
        <v>0E</v>
      </c>
      <c r="C84" t="str">
        <f t="shared" si="4"/>
        <v>00</v>
      </c>
      <c r="D84" t="str">
        <f t="shared" si="5"/>
        <v>08</v>
      </c>
      <c r="E84" s="70" t="s">
        <v>1201</v>
      </c>
      <c r="F84" s="1">
        <v>1000</v>
      </c>
      <c r="G84" s="17">
        <v>10</v>
      </c>
      <c r="H84" t="s">
        <v>1205</v>
      </c>
      <c r="I84" s="28"/>
      <c r="J84" s="27"/>
      <c r="K84" s="27"/>
      <c r="L84" s="27" t="s">
        <v>1205</v>
      </c>
      <c r="M84" s="27" t="s">
        <v>1205</v>
      </c>
      <c r="N84" s="31" t="s">
        <v>1205</v>
      </c>
    </row>
    <row r="85" spans="1:14" x14ac:dyDescent="0.25">
      <c r="A85" s="40">
        <v>14</v>
      </c>
      <c r="B85" s="40" t="str">
        <f t="shared" si="3"/>
        <v>0E</v>
      </c>
      <c r="C85" t="str">
        <f t="shared" si="4"/>
        <v>00</v>
      </c>
      <c r="D85" t="str">
        <f t="shared" si="5"/>
        <v>0C</v>
      </c>
      <c r="E85" s="70" t="s">
        <v>1201</v>
      </c>
      <c r="F85" s="1">
        <v>1100</v>
      </c>
      <c r="G85" s="17">
        <v>10</v>
      </c>
      <c r="H85" s="78" t="s">
        <v>1202</v>
      </c>
      <c r="I85" s="28"/>
      <c r="J85" s="27"/>
      <c r="K85" s="27"/>
      <c r="L85" s="86" t="s">
        <v>1202</v>
      </c>
      <c r="M85" s="86" t="s">
        <v>1202</v>
      </c>
      <c r="N85" s="89" t="s">
        <v>1202</v>
      </c>
    </row>
    <row r="86" spans="1:14" x14ac:dyDescent="0.25">
      <c r="A86" s="40">
        <v>14</v>
      </c>
      <c r="B86" s="40" t="str">
        <f t="shared" si="3"/>
        <v>0E</v>
      </c>
      <c r="C86" t="str">
        <f t="shared" si="4"/>
        <v>00</v>
      </c>
      <c r="D86" t="str">
        <f t="shared" si="5"/>
        <v>10</v>
      </c>
      <c r="E86" s="70" t="s">
        <v>1201</v>
      </c>
      <c r="F86" s="1">
        <v>10000</v>
      </c>
      <c r="G86" s="17">
        <v>11</v>
      </c>
      <c r="H86" s="78" t="s">
        <v>1202</v>
      </c>
      <c r="I86" s="28"/>
      <c r="J86" s="27"/>
      <c r="K86" s="27"/>
      <c r="L86" s="27"/>
      <c r="M86" s="86" t="s">
        <v>1202</v>
      </c>
      <c r="N86" s="89" t="s">
        <v>1202</v>
      </c>
    </row>
    <row r="87" spans="1:14" x14ac:dyDescent="0.25">
      <c r="A87" s="40">
        <v>14</v>
      </c>
      <c r="B87" s="40" t="str">
        <f t="shared" si="3"/>
        <v>0E</v>
      </c>
      <c r="C87" t="str">
        <f t="shared" si="4"/>
        <v>00</v>
      </c>
      <c r="D87" t="str">
        <f t="shared" si="5"/>
        <v>20</v>
      </c>
      <c r="E87" s="70" t="s">
        <v>1201</v>
      </c>
      <c r="F87" s="1">
        <v>100000</v>
      </c>
      <c r="G87" s="17">
        <v>11</v>
      </c>
      <c r="H87" t="s">
        <v>1205</v>
      </c>
      <c r="I87" s="28"/>
      <c r="J87" s="27"/>
      <c r="K87" s="27"/>
      <c r="L87" s="27"/>
      <c r="M87" s="27" t="s">
        <v>1205</v>
      </c>
      <c r="N87" s="31" t="s">
        <v>1205</v>
      </c>
    </row>
    <row r="88" spans="1:14" x14ac:dyDescent="0.25">
      <c r="A88" s="40">
        <v>14</v>
      </c>
      <c r="B88" s="40" t="str">
        <f t="shared" si="3"/>
        <v>0E</v>
      </c>
      <c r="C88" t="str">
        <f t="shared" si="4"/>
        <v>00</v>
      </c>
      <c r="D88" t="str">
        <f t="shared" si="5"/>
        <v>30</v>
      </c>
      <c r="E88" s="70" t="s">
        <v>1201</v>
      </c>
      <c r="F88" s="1">
        <v>110000</v>
      </c>
      <c r="G88" s="17">
        <v>11</v>
      </c>
      <c r="H88" s="78" t="s">
        <v>1202</v>
      </c>
      <c r="I88" s="28"/>
      <c r="J88" s="27"/>
      <c r="K88" s="27"/>
      <c r="L88" s="27"/>
      <c r="M88" s="86" t="s">
        <v>1202</v>
      </c>
      <c r="N88" s="89" t="s">
        <v>1202</v>
      </c>
    </row>
    <row r="89" spans="1:14" x14ac:dyDescent="0.25">
      <c r="A89" s="40">
        <v>14</v>
      </c>
      <c r="B89" s="40" t="str">
        <f t="shared" si="3"/>
        <v>0E</v>
      </c>
      <c r="C89" t="str">
        <f t="shared" si="4"/>
        <v>00</v>
      </c>
      <c r="D89" t="str">
        <f t="shared" si="5"/>
        <v>40</v>
      </c>
      <c r="E89" s="70" t="s">
        <v>1201</v>
      </c>
      <c r="F89" s="1">
        <v>1000000</v>
      </c>
      <c r="G89" s="17">
        <v>12</v>
      </c>
      <c r="H89" s="78" t="s">
        <v>1202</v>
      </c>
      <c r="I89" s="28"/>
      <c r="J89" s="27"/>
      <c r="K89" s="27"/>
      <c r="L89" s="86" t="s">
        <v>1202</v>
      </c>
      <c r="M89" s="27"/>
      <c r="N89" s="89" t="s">
        <v>1202</v>
      </c>
    </row>
    <row r="90" spans="1:14" x14ac:dyDescent="0.25">
      <c r="A90" s="40">
        <v>14</v>
      </c>
      <c r="B90" s="40" t="str">
        <f t="shared" si="3"/>
        <v>0E</v>
      </c>
      <c r="C90" t="str">
        <f t="shared" si="4"/>
        <v>00</v>
      </c>
      <c r="D90" t="str">
        <f t="shared" si="5"/>
        <v>80</v>
      </c>
      <c r="E90" s="70" t="s">
        <v>1201</v>
      </c>
      <c r="F90" s="1">
        <v>10000000</v>
      </c>
      <c r="G90" s="17">
        <v>12</v>
      </c>
      <c r="H90" t="s">
        <v>1205</v>
      </c>
      <c r="I90" s="28"/>
      <c r="J90" s="27"/>
      <c r="K90" s="27"/>
      <c r="L90" s="27" t="s">
        <v>1205</v>
      </c>
      <c r="M90" s="27"/>
      <c r="N90" s="31" t="s">
        <v>1205</v>
      </c>
    </row>
    <row r="91" spans="1:14" ht="15.75" thickBot="1" x14ac:dyDescent="0.3">
      <c r="A91" s="11">
        <v>14</v>
      </c>
      <c r="B91" s="11" t="str">
        <f t="shared" si="3"/>
        <v>0E</v>
      </c>
      <c r="C91" s="12" t="str">
        <f t="shared" si="4"/>
        <v>00</v>
      </c>
      <c r="D91" s="12" t="str">
        <f t="shared" si="5"/>
        <v>C0</v>
      </c>
      <c r="E91" s="71" t="s">
        <v>1201</v>
      </c>
      <c r="F91" s="72">
        <v>11000000</v>
      </c>
      <c r="G91" s="19">
        <v>12</v>
      </c>
      <c r="H91" s="82" t="s">
        <v>1202</v>
      </c>
      <c r="I91" s="29"/>
      <c r="J91" s="30"/>
      <c r="K91" s="30"/>
      <c r="L91" s="93" t="s">
        <v>1202</v>
      </c>
      <c r="M91" s="30"/>
      <c r="N91" s="94" t="s">
        <v>1202</v>
      </c>
    </row>
    <row r="93" spans="1:14" ht="15.75" thickBot="1" x14ac:dyDescent="0.3">
      <c r="B93" s="6" t="s">
        <v>1207</v>
      </c>
    </row>
    <row r="94" spans="1:14" x14ac:dyDescent="0.25">
      <c r="B94" s="18" t="s">
        <v>1208</v>
      </c>
      <c r="C94" s="8" t="s">
        <v>1209</v>
      </c>
      <c r="D94" s="8" t="s">
        <v>1210</v>
      </c>
      <c r="E94" s="8" t="s">
        <v>1210</v>
      </c>
      <c r="F94" s="9" t="s">
        <v>1211</v>
      </c>
      <c r="G94" t="s">
        <v>1212</v>
      </c>
      <c r="H94" t="s">
        <v>1195</v>
      </c>
      <c r="I94" t="s">
        <v>1213</v>
      </c>
    </row>
    <row r="95" spans="1:14" x14ac:dyDescent="0.25">
      <c r="B95">
        <v>11111111</v>
      </c>
      <c r="C95" s="103">
        <v>11111100</v>
      </c>
      <c r="D95" s="1" t="str">
        <f t="shared" ref="D95:D106" si="6">BIN2HEX(B95,2)</f>
        <v>FF</v>
      </c>
      <c r="E95" s="1" t="str">
        <f t="shared" ref="E95:E106" si="7">BIN2HEX(C95,2)</f>
        <v>FC</v>
      </c>
      <c r="F95" s="10" t="s">
        <v>1214</v>
      </c>
      <c r="G95"/>
    </row>
    <row r="96" spans="1:14" x14ac:dyDescent="0.25">
      <c r="B96">
        <v>11111111</v>
      </c>
      <c r="C96" s="103">
        <v>11110011</v>
      </c>
      <c r="D96" s="1" t="str">
        <f t="shared" si="6"/>
        <v>FF</v>
      </c>
      <c r="E96" s="1" t="str">
        <f t="shared" si="7"/>
        <v>F3</v>
      </c>
      <c r="F96" s="10" t="s">
        <v>1215</v>
      </c>
      <c r="G96"/>
    </row>
    <row r="97" spans="2:12" x14ac:dyDescent="0.25">
      <c r="B97">
        <v>11111111</v>
      </c>
      <c r="C97" s="103">
        <v>11001111</v>
      </c>
      <c r="D97" s="1" t="str">
        <f t="shared" si="6"/>
        <v>FF</v>
      </c>
      <c r="E97" s="1" t="str">
        <f t="shared" si="7"/>
        <v>CF</v>
      </c>
      <c r="F97" s="10" t="s">
        <v>1216</v>
      </c>
      <c r="G97"/>
    </row>
    <row r="98" spans="2:12" x14ac:dyDescent="0.25">
      <c r="B98">
        <v>1010110</v>
      </c>
      <c r="C98" s="104" t="s">
        <v>1217</v>
      </c>
      <c r="D98" s="1" t="str">
        <f t="shared" si="6"/>
        <v>56</v>
      </c>
      <c r="E98" s="1" t="str">
        <f t="shared" si="7"/>
        <v>55</v>
      </c>
      <c r="F98" s="10" t="s">
        <v>1218</v>
      </c>
      <c r="G98" t="s">
        <v>1219</v>
      </c>
      <c r="H98" t="s">
        <v>1219</v>
      </c>
      <c r="I98" t="s">
        <v>1219</v>
      </c>
    </row>
    <row r="99" spans="2:12" x14ac:dyDescent="0.25">
      <c r="B99" s="53">
        <v>11111100</v>
      </c>
      <c r="C99" s="105">
        <v>11111111</v>
      </c>
      <c r="D99" s="1" t="str">
        <f t="shared" si="6"/>
        <v>FC</v>
      </c>
      <c r="E99" s="1" t="str">
        <f t="shared" si="7"/>
        <v>FF</v>
      </c>
      <c r="F99" s="10" t="s">
        <v>1220</v>
      </c>
      <c r="G99"/>
    </row>
    <row r="100" spans="2:12" x14ac:dyDescent="0.25">
      <c r="B100" s="53">
        <v>11110011</v>
      </c>
      <c r="C100" s="105">
        <v>11111111</v>
      </c>
      <c r="D100" s="1" t="str">
        <f t="shared" si="6"/>
        <v>F3</v>
      </c>
      <c r="E100" s="1" t="str">
        <f t="shared" si="7"/>
        <v>FF</v>
      </c>
      <c r="F100" s="10" t="s">
        <v>1221</v>
      </c>
      <c r="G100" t="s">
        <v>1219</v>
      </c>
      <c r="H100" t="s">
        <v>1219</v>
      </c>
      <c r="I100" t="s">
        <v>1219</v>
      </c>
    </row>
    <row r="101" spans="2:12" x14ac:dyDescent="0.25">
      <c r="B101" s="53">
        <v>11001111</v>
      </c>
      <c r="C101" s="105">
        <v>11111111</v>
      </c>
      <c r="D101" s="1" t="str">
        <f t="shared" si="6"/>
        <v>CF</v>
      </c>
      <c r="E101" s="1" t="str">
        <f t="shared" si="7"/>
        <v>FF</v>
      </c>
      <c r="F101" s="10" t="s">
        <v>1222</v>
      </c>
      <c r="G101" t="s">
        <v>1219</v>
      </c>
      <c r="I101" t="s">
        <v>1219</v>
      </c>
    </row>
    <row r="102" spans="2:12" x14ac:dyDescent="0.25">
      <c r="B102" s="102" t="s">
        <v>1223</v>
      </c>
      <c r="C102" s="105">
        <v>11111111</v>
      </c>
      <c r="D102" s="1" t="str">
        <f t="shared" si="6"/>
        <v>3F</v>
      </c>
      <c r="E102" s="1" t="str">
        <f t="shared" si="7"/>
        <v>FF</v>
      </c>
      <c r="F102" s="10" t="s">
        <v>1224</v>
      </c>
      <c r="G102"/>
    </row>
    <row r="103" spans="2:12" x14ac:dyDescent="0.25">
      <c r="B103">
        <v>11111111</v>
      </c>
      <c r="C103" s="103">
        <v>11111100</v>
      </c>
      <c r="D103" s="1" t="str">
        <f t="shared" si="6"/>
        <v>FF</v>
      </c>
      <c r="E103" s="1" t="str">
        <f t="shared" si="7"/>
        <v>FC</v>
      </c>
      <c r="F103" s="10" t="s">
        <v>1225</v>
      </c>
      <c r="G103" t="s">
        <v>1219</v>
      </c>
      <c r="I103" t="s">
        <v>1219</v>
      </c>
    </row>
    <row r="104" spans="2:12" x14ac:dyDescent="0.25">
      <c r="B104">
        <v>11111111</v>
      </c>
      <c r="C104" s="103">
        <v>11110011</v>
      </c>
      <c r="D104" s="1" t="str">
        <f t="shared" si="6"/>
        <v>FF</v>
      </c>
      <c r="E104" s="1" t="str">
        <f t="shared" si="7"/>
        <v>F3</v>
      </c>
      <c r="F104" s="10" t="s">
        <v>1226</v>
      </c>
      <c r="G104"/>
      <c r="K104" s="1" t="str">
        <f>HEX2BIN(L104)</f>
        <v>10101010</v>
      </c>
      <c r="L104" t="s">
        <v>1227</v>
      </c>
    </row>
    <row r="105" spans="2:12" x14ac:dyDescent="0.25">
      <c r="B105">
        <v>11111111</v>
      </c>
      <c r="C105" s="103">
        <v>11001111</v>
      </c>
      <c r="D105" s="1" t="str">
        <f t="shared" si="6"/>
        <v>FF</v>
      </c>
      <c r="E105" s="1" t="str">
        <f t="shared" si="7"/>
        <v>CF</v>
      </c>
      <c r="F105" s="10" t="s">
        <v>1228</v>
      </c>
      <c r="G105"/>
    </row>
    <row r="106" spans="2:12" x14ac:dyDescent="0.25">
      <c r="B106">
        <v>11111111</v>
      </c>
      <c r="C106" s="104" t="s">
        <v>1223</v>
      </c>
      <c r="D106" s="1" t="str">
        <f t="shared" si="6"/>
        <v>FF</v>
      </c>
      <c r="E106" s="1" t="str">
        <f t="shared" si="7"/>
        <v>3F</v>
      </c>
      <c r="F106" s="10" t="s">
        <v>1229</v>
      </c>
      <c r="G106"/>
    </row>
    <row r="107" spans="2:12" x14ac:dyDescent="0.25">
      <c r="B107" s="40"/>
      <c r="D107" s="1"/>
      <c r="E107" s="1"/>
      <c r="F107" s="10"/>
      <c r="G107"/>
    </row>
    <row r="108" spans="2:12" x14ac:dyDescent="0.25">
      <c r="B108" s="40"/>
      <c r="D108" s="1"/>
      <c r="E108" s="1"/>
      <c r="F108" s="10"/>
      <c r="G108"/>
    </row>
    <row r="109" spans="2:12" ht="15.75" thickBot="1" x14ac:dyDescent="0.3">
      <c r="B109" s="11"/>
      <c r="C109" s="12"/>
      <c r="D109" s="72"/>
      <c r="E109" s="72"/>
      <c r="F109" s="13"/>
      <c r="G10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>
    <pageSetUpPr fitToPage="1"/>
  </sheetPr>
  <dimension ref="A1:R41"/>
  <sheetViews>
    <sheetView workbookViewId="0">
      <selection activeCell="C14" sqref="C14"/>
    </sheetView>
  </sheetViews>
  <sheetFormatPr defaultRowHeight="15" x14ac:dyDescent="0.25"/>
  <cols>
    <col min="3" max="3" width="19.42578125" bestFit="1" customWidth="1"/>
    <col min="7" max="7" width="21.28515625" customWidth="1"/>
    <col min="8" max="8" width="15.28515625" customWidth="1"/>
    <col min="9" max="9" width="6.7109375" customWidth="1"/>
    <col min="13" max="13" width="9.140625" customWidth="1"/>
    <col min="14" max="14" width="23.28515625" customWidth="1"/>
  </cols>
  <sheetData>
    <row r="1" spans="1:18" x14ac:dyDescent="0.25">
      <c r="C1" s="6" t="s">
        <v>1230</v>
      </c>
      <c r="H1" t="s">
        <v>1231</v>
      </c>
      <c r="I1" t="s">
        <v>1232</v>
      </c>
      <c r="J1" t="s">
        <v>1233</v>
      </c>
      <c r="N1" s="6" t="s">
        <v>1234</v>
      </c>
      <c r="R1" s="6"/>
    </row>
    <row r="2" spans="1:18" x14ac:dyDescent="0.25">
      <c r="A2">
        <v>0</v>
      </c>
      <c r="B2" t="str">
        <f>DEC2HEX(A2)</f>
        <v>0</v>
      </c>
      <c r="C2" t="s">
        <v>1235</v>
      </c>
      <c r="D2" t="s">
        <v>77</v>
      </c>
      <c r="H2" t="s">
        <v>1236</v>
      </c>
      <c r="N2" t="s">
        <v>1237</v>
      </c>
      <c r="O2" t="s">
        <v>1238</v>
      </c>
    </row>
    <row r="3" spans="1:18" x14ac:dyDescent="0.25">
      <c r="A3">
        <f>A2+1</f>
        <v>1</v>
      </c>
      <c r="B3" t="str">
        <f t="shared" ref="B3:B41" si="0">DEC2HEX(A3)</f>
        <v>1</v>
      </c>
      <c r="C3" t="s">
        <v>1239</v>
      </c>
      <c r="D3" t="s">
        <v>95</v>
      </c>
      <c r="G3" t="s">
        <v>1240</v>
      </c>
      <c r="H3" t="s">
        <v>1241</v>
      </c>
      <c r="I3" t="s">
        <v>1242</v>
      </c>
      <c r="J3" t="s">
        <v>1243</v>
      </c>
      <c r="N3" t="s">
        <v>1244</v>
      </c>
    </row>
    <row r="4" spans="1:18" x14ac:dyDescent="0.25">
      <c r="A4">
        <f t="shared" ref="A4:A22" si="1">A3+1</f>
        <v>2</v>
      </c>
      <c r="B4" t="str">
        <f t="shared" si="0"/>
        <v>2</v>
      </c>
      <c r="C4" t="s">
        <v>1245</v>
      </c>
      <c r="D4" t="s">
        <v>81</v>
      </c>
      <c r="G4" t="s">
        <v>1246</v>
      </c>
      <c r="H4" t="s">
        <v>1247</v>
      </c>
      <c r="I4" t="s">
        <v>1248</v>
      </c>
      <c r="J4" t="s">
        <v>1249</v>
      </c>
      <c r="N4" t="s">
        <v>1250</v>
      </c>
      <c r="O4" t="s">
        <v>1251</v>
      </c>
    </row>
    <row r="5" spans="1:18" x14ac:dyDescent="0.25">
      <c r="A5">
        <f t="shared" si="1"/>
        <v>3</v>
      </c>
      <c r="B5" t="str">
        <f t="shared" si="0"/>
        <v>3</v>
      </c>
      <c r="C5" t="s">
        <v>1252</v>
      </c>
      <c r="D5" t="s">
        <v>79</v>
      </c>
      <c r="N5" t="s">
        <v>1253</v>
      </c>
    </row>
    <row r="6" spans="1:18" x14ac:dyDescent="0.25">
      <c r="A6">
        <f t="shared" si="1"/>
        <v>4</v>
      </c>
      <c r="B6" t="str">
        <f t="shared" si="0"/>
        <v>4</v>
      </c>
      <c r="C6" t="s">
        <v>1254</v>
      </c>
      <c r="D6" t="s">
        <v>80</v>
      </c>
      <c r="H6" t="s">
        <v>1255</v>
      </c>
      <c r="N6" t="s">
        <v>1256</v>
      </c>
    </row>
    <row r="7" spans="1:18" x14ac:dyDescent="0.25">
      <c r="A7">
        <f t="shared" si="1"/>
        <v>5</v>
      </c>
      <c r="B7" t="str">
        <f t="shared" si="0"/>
        <v>5</v>
      </c>
      <c r="C7" t="s">
        <v>1257</v>
      </c>
      <c r="D7" t="s">
        <v>1258</v>
      </c>
      <c r="N7" t="s">
        <v>1259</v>
      </c>
    </row>
    <row r="8" spans="1:18" x14ac:dyDescent="0.25">
      <c r="A8">
        <f t="shared" si="1"/>
        <v>6</v>
      </c>
      <c r="B8" t="str">
        <f t="shared" si="0"/>
        <v>6</v>
      </c>
      <c r="C8" t="s">
        <v>1260</v>
      </c>
      <c r="D8" t="s">
        <v>1261</v>
      </c>
      <c r="N8" t="s">
        <v>1262</v>
      </c>
    </row>
    <row r="9" spans="1:18" x14ac:dyDescent="0.25">
      <c r="A9">
        <f t="shared" si="1"/>
        <v>7</v>
      </c>
      <c r="B9" t="str">
        <f t="shared" si="0"/>
        <v>7</v>
      </c>
      <c r="C9" t="s">
        <v>1263</v>
      </c>
      <c r="D9" t="s">
        <v>1264</v>
      </c>
      <c r="N9" t="s">
        <v>1265</v>
      </c>
    </row>
    <row r="10" spans="1:18" x14ac:dyDescent="0.25">
      <c r="A10">
        <f t="shared" si="1"/>
        <v>8</v>
      </c>
      <c r="B10" t="str">
        <f t="shared" si="0"/>
        <v>8</v>
      </c>
      <c r="C10" t="s">
        <v>1266</v>
      </c>
      <c r="D10" t="s">
        <v>1267</v>
      </c>
      <c r="N10" t="s">
        <v>1268</v>
      </c>
      <c r="R10" t="s">
        <v>1269</v>
      </c>
    </row>
    <row r="11" spans="1:18" x14ac:dyDescent="0.25">
      <c r="A11">
        <f t="shared" si="1"/>
        <v>9</v>
      </c>
      <c r="B11" t="str">
        <f t="shared" si="0"/>
        <v>9</v>
      </c>
      <c r="C11" t="s">
        <v>1270</v>
      </c>
      <c r="D11" t="s">
        <v>1271</v>
      </c>
      <c r="N11" t="s">
        <v>1272</v>
      </c>
    </row>
    <row r="12" spans="1:18" x14ac:dyDescent="0.25">
      <c r="A12">
        <f t="shared" si="1"/>
        <v>10</v>
      </c>
      <c r="B12" t="str">
        <f t="shared" si="0"/>
        <v>A</v>
      </c>
      <c r="C12" t="s">
        <v>1273</v>
      </c>
      <c r="D12" t="s">
        <v>1274</v>
      </c>
      <c r="N12" t="s">
        <v>1275</v>
      </c>
    </row>
    <row r="13" spans="1:18" x14ac:dyDescent="0.25">
      <c r="A13">
        <f t="shared" si="1"/>
        <v>11</v>
      </c>
      <c r="B13" t="str">
        <f t="shared" si="0"/>
        <v>B</v>
      </c>
      <c r="C13" t="s">
        <v>1276</v>
      </c>
      <c r="D13" t="s">
        <v>1277</v>
      </c>
      <c r="N13" t="s">
        <v>1278</v>
      </c>
    </row>
    <row r="14" spans="1:18" x14ac:dyDescent="0.25">
      <c r="A14">
        <f t="shared" si="1"/>
        <v>12</v>
      </c>
      <c r="B14" t="str">
        <f t="shared" si="0"/>
        <v>C</v>
      </c>
      <c r="C14" t="s">
        <v>1279</v>
      </c>
      <c r="D14" t="s">
        <v>1280</v>
      </c>
      <c r="F14" t="s">
        <v>1281</v>
      </c>
      <c r="N14" t="s">
        <v>1282</v>
      </c>
    </row>
    <row r="15" spans="1:18" x14ac:dyDescent="0.25">
      <c r="A15">
        <f t="shared" si="1"/>
        <v>13</v>
      </c>
      <c r="B15" t="str">
        <f t="shared" si="0"/>
        <v>D</v>
      </c>
      <c r="C15" t="s">
        <v>1283</v>
      </c>
      <c r="D15" t="s">
        <v>1284</v>
      </c>
      <c r="F15" t="s">
        <v>1281</v>
      </c>
    </row>
    <row r="16" spans="1:18" x14ac:dyDescent="0.25">
      <c r="A16">
        <f t="shared" si="1"/>
        <v>14</v>
      </c>
      <c r="B16" t="str">
        <f t="shared" si="0"/>
        <v>E</v>
      </c>
      <c r="C16" t="s">
        <v>1285</v>
      </c>
      <c r="D16" t="s">
        <v>1286</v>
      </c>
      <c r="F16" t="s">
        <v>1281</v>
      </c>
      <c r="N16" t="s">
        <v>1287</v>
      </c>
    </row>
    <row r="17" spans="1:15" x14ac:dyDescent="0.25">
      <c r="A17">
        <f t="shared" si="1"/>
        <v>15</v>
      </c>
      <c r="B17" t="str">
        <f t="shared" si="0"/>
        <v>F</v>
      </c>
      <c r="C17" t="s">
        <v>1288</v>
      </c>
      <c r="D17" t="s">
        <v>1289</v>
      </c>
      <c r="F17" t="s">
        <v>1281</v>
      </c>
    </row>
    <row r="18" spans="1:15" x14ac:dyDescent="0.25">
      <c r="A18">
        <f t="shared" si="1"/>
        <v>16</v>
      </c>
      <c r="B18" t="str">
        <f t="shared" si="0"/>
        <v>10</v>
      </c>
      <c r="C18" t="s">
        <v>1290</v>
      </c>
      <c r="D18" t="s">
        <v>1291</v>
      </c>
      <c r="F18" t="s">
        <v>1281</v>
      </c>
    </row>
    <row r="19" spans="1:15" x14ac:dyDescent="0.25">
      <c r="A19">
        <f t="shared" si="1"/>
        <v>17</v>
      </c>
      <c r="B19" t="str">
        <f t="shared" si="0"/>
        <v>11</v>
      </c>
      <c r="C19" t="s">
        <v>1292</v>
      </c>
      <c r="D19" t="s">
        <v>1293</v>
      </c>
      <c r="F19" t="s">
        <v>1281</v>
      </c>
      <c r="N19" t="s">
        <v>1294</v>
      </c>
      <c r="O19" t="s">
        <v>1295</v>
      </c>
    </row>
    <row r="20" spans="1:15" x14ac:dyDescent="0.25">
      <c r="A20">
        <f t="shared" si="1"/>
        <v>18</v>
      </c>
      <c r="B20" t="str">
        <f t="shared" si="0"/>
        <v>12</v>
      </c>
      <c r="C20" t="s">
        <v>1296</v>
      </c>
      <c r="D20" t="s">
        <v>1297</v>
      </c>
      <c r="F20" t="s">
        <v>1298</v>
      </c>
    </row>
    <row r="21" spans="1:15" x14ac:dyDescent="0.25">
      <c r="A21">
        <f t="shared" si="1"/>
        <v>19</v>
      </c>
      <c r="B21" t="str">
        <f t="shared" si="0"/>
        <v>13</v>
      </c>
      <c r="C21" t="s">
        <v>1299</v>
      </c>
      <c r="D21" t="s">
        <v>1300</v>
      </c>
      <c r="F21" t="s">
        <v>1281</v>
      </c>
    </row>
    <row r="22" spans="1:15" x14ac:dyDescent="0.25">
      <c r="A22">
        <f t="shared" si="1"/>
        <v>20</v>
      </c>
      <c r="B22" t="str">
        <f t="shared" si="0"/>
        <v>14</v>
      </c>
      <c r="C22" t="s">
        <v>1301</v>
      </c>
      <c r="D22" t="s">
        <v>1302</v>
      </c>
    </row>
    <row r="23" spans="1:15" x14ac:dyDescent="0.25">
      <c r="D23" t="s">
        <v>1303</v>
      </c>
    </row>
    <row r="24" spans="1:15" x14ac:dyDescent="0.25">
      <c r="A24">
        <v>21</v>
      </c>
      <c r="B24" t="str">
        <f t="shared" si="0"/>
        <v>15</v>
      </c>
      <c r="C24" t="s">
        <v>1304</v>
      </c>
      <c r="D24" t="s">
        <v>1305</v>
      </c>
    </row>
    <row r="25" spans="1:15" x14ac:dyDescent="0.25">
      <c r="A25">
        <v>22</v>
      </c>
      <c r="B25" t="str">
        <f t="shared" si="0"/>
        <v>16</v>
      </c>
      <c r="C25" t="s">
        <v>1306</v>
      </c>
      <c r="D25" s="39" t="s">
        <v>1307</v>
      </c>
    </row>
    <row r="26" spans="1:15" x14ac:dyDescent="0.25">
      <c r="A26">
        <v>23</v>
      </c>
      <c r="B26" t="str">
        <f t="shared" si="0"/>
        <v>17</v>
      </c>
      <c r="C26" t="s">
        <v>1308</v>
      </c>
      <c r="D26" t="s">
        <v>1309</v>
      </c>
    </row>
    <row r="27" spans="1:15" x14ac:dyDescent="0.25">
      <c r="A27">
        <v>24</v>
      </c>
      <c r="B27" t="str">
        <f t="shared" si="0"/>
        <v>18</v>
      </c>
      <c r="C27" t="s">
        <v>1310</v>
      </c>
      <c r="D27" t="s">
        <v>1311</v>
      </c>
    </row>
    <row r="28" spans="1:15" x14ac:dyDescent="0.25">
      <c r="A28">
        <v>25</v>
      </c>
      <c r="B28" t="str">
        <f t="shared" si="0"/>
        <v>19</v>
      </c>
      <c r="C28" t="s">
        <v>1312</v>
      </c>
      <c r="D28" t="s">
        <v>1313</v>
      </c>
    </row>
    <row r="29" spans="1:15" x14ac:dyDescent="0.25">
      <c r="A29">
        <v>26</v>
      </c>
      <c r="B29" t="str">
        <f t="shared" si="0"/>
        <v>1A</v>
      </c>
      <c r="C29" t="s">
        <v>1314</v>
      </c>
      <c r="D29" t="s">
        <v>1315</v>
      </c>
    </row>
    <row r="30" spans="1:15" x14ac:dyDescent="0.25">
      <c r="A30">
        <v>27</v>
      </c>
      <c r="B30" t="str">
        <f t="shared" si="0"/>
        <v>1B</v>
      </c>
      <c r="C30" t="s">
        <v>1316</v>
      </c>
      <c r="D30" t="s">
        <v>1317</v>
      </c>
    </row>
    <row r="31" spans="1:15" x14ac:dyDescent="0.25">
      <c r="A31">
        <v>28</v>
      </c>
      <c r="B31" t="str">
        <f t="shared" si="0"/>
        <v>1C</v>
      </c>
      <c r="C31" t="s">
        <v>1318</v>
      </c>
      <c r="D31" t="s">
        <v>1319</v>
      </c>
    </row>
    <row r="32" spans="1:15" x14ac:dyDescent="0.25">
      <c r="A32">
        <v>29</v>
      </c>
      <c r="B32" t="str">
        <f t="shared" si="0"/>
        <v>1D</v>
      </c>
      <c r="C32" t="s">
        <v>1320</v>
      </c>
      <c r="D32" t="s">
        <v>1321</v>
      </c>
    </row>
    <row r="33" spans="1:4" x14ac:dyDescent="0.25">
      <c r="A33">
        <v>30</v>
      </c>
      <c r="B33" t="str">
        <f t="shared" si="0"/>
        <v>1E</v>
      </c>
      <c r="C33" t="s">
        <v>1322</v>
      </c>
      <c r="D33" t="s">
        <v>1323</v>
      </c>
    </row>
    <row r="34" spans="1:4" x14ac:dyDescent="0.25">
      <c r="A34">
        <v>31</v>
      </c>
      <c r="B34" t="str">
        <f t="shared" si="0"/>
        <v>1F</v>
      </c>
      <c r="C34" t="s">
        <v>1324</v>
      </c>
      <c r="D34" t="s">
        <v>1325</v>
      </c>
    </row>
    <row r="35" spans="1:4" x14ac:dyDescent="0.25">
      <c r="A35">
        <v>32</v>
      </c>
      <c r="B35" t="str">
        <f t="shared" si="0"/>
        <v>20</v>
      </c>
      <c r="C35" t="s">
        <v>1326</v>
      </c>
      <c r="D35" t="s">
        <v>1327</v>
      </c>
    </row>
    <row r="36" spans="1:4" x14ac:dyDescent="0.25">
      <c r="A36">
        <v>33</v>
      </c>
      <c r="B36" t="str">
        <f t="shared" si="0"/>
        <v>21</v>
      </c>
      <c r="C36" t="s">
        <v>1328</v>
      </c>
      <c r="D36" t="s">
        <v>1329</v>
      </c>
    </row>
    <row r="37" spans="1:4" x14ac:dyDescent="0.25">
      <c r="A37">
        <v>34</v>
      </c>
      <c r="B37" t="str">
        <f t="shared" si="0"/>
        <v>22</v>
      </c>
      <c r="C37" t="s">
        <v>1330</v>
      </c>
      <c r="D37" t="s">
        <v>1331</v>
      </c>
    </row>
    <row r="38" spans="1:4" x14ac:dyDescent="0.25">
      <c r="A38">
        <v>35</v>
      </c>
      <c r="B38" t="str">
        <f t="shared" si="0"/>
        <v>23</v>
      </c>
      <c r="C38" t="s">
        <v>1332</v>
      </c>
      <c r="D38" t="s">
        <v>1333</v>
      </c>
    </row>
    <row r="39" spans="1:4" x14ac:dyDescent="0.25">
      <c r="A39">
        <v>36</v>
      </c>
      <c r="B39" t="str">
        <f t="shared" si="0"/>
        <v>24</v>
      </c>
      <c r="C39" t="s">
        <v>1334</v>
      </c>
      <c r="D39" t="s">
        <v>1335</v>
      </c>
    </row>
    <row r="40" spans="1:4" x14ac:dyDescent="0.25">
      <c r="A40">
        <v>37</v>
      </c>
      <c r="B40" t="str">
        <f t="shared" si="0"/>
        <v>25</v>
      </c>
      <c r="C40" t="s">
        <v>1336</v>
      </c>
      <c r="D40" t="s">
        <v>1337</v>
      </c>
    </row>
    <row r="41" spans="1:4" x14ac:dyDescent="0.25">
      <c r="A41">
        <v>38</v>
      </c>
      <c r="B41" t="str">
        <f t="shared" si="0"/>
        <v>26</v>
      </c>
      <c r="C41" t="s">
        <v>1338</v>
      </c>
      <c r="D41" t="s">
        <v>1339</v>
      </c>
    </row>
  </sheetData>
  <hyperlinks>
    <hyperlink ref="D25" location="Workflows!A1" display="MuR Workflow status" xr:uid="{00000000-0004-0000-0800-000000000000}"/>
  </hyperlinks>
  <pageMargins left="0.7" right="0.7" top="0.75" bottom="0.75" header="0.3" footer="0.3"/>
  <pageSetup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XLog</vt:lpstr>
      <vt:lpstr>Device</vt:lpstr>
      <vt:lpstr>XCODE</vt:lpstr>
      <vt:lpstr>Program</vt:lpstr>
      <vt:lpstr>Settings</vt:lpstr>
      <vt:lpstr>CustomVar</vt:lpstr>
      <vt:lpstr>Calc</vt:lpstr>
      <vt:lpstr>MemoryVar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mu@interelme.com</dc:creator>
  <cp:keywords/>
  <dc:description/>
  <cp:lastModifiedBy>Mahesh Uddama</cp:lastModifiedBy>
  <cp:revision/>
  <dcterms:created xsi:type="dcterms:W3CDTF">2011-08-03T22:38:43Z</dcterms:created>
  <dcterms:modified xsi:type="dcterms:W3CDTF">2023-07-13T09:11:18Z</dcterms:modified>
  <cp:category/>
  <cp:contentStatus/>
</cp:coreProperties>
</file>